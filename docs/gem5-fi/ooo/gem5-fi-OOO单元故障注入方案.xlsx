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.说明与总览" sheetId="1" state="visible" r:id="rId1"/>
    <sheet xmlns:r="http://schemas.openxmlformats.org/officeDocument/2006/relationships" name="1.单元与现有研究" sheetId="2" state="visible" r:id="rId2"/>
    <sheet xmlns:r="http://schemas.openxmlformats.org/officeDocument/2006/relationships" name="2.OOO参数基线" sheetId="3" state="visible" r:id="rId3"/>
    <sheet xmlns:r="http://schemas.openxmlformats.org/officeDocument/2006/relationships" name="3.位置x模型矩阵" sheetId="4" state="visible" r:id="rId4"/>
    <sheet xmlns:r="http://schemas.openxmlformats.org/officeDocument/2006/relationships" name="4.观测点定义" sheetId="5" state="visible" r:id="rId5"/>
    <sheet xmlns:r="http://schemas.openxmlformats.org/officeDocument/2006/relationships" name="5.频率与统计" sheetId="6" state="visible" r:id="rId6"/>
    <sheet xmlns:r="http://schemas.openxmlformats.org/officeDocument/2006/relationships" name="6.负载清单" sheetId="7" state="visible" r:id="rId7"/>
    <sheet xmlns:r="http://schemas.openxmlformats.org/officeDocument/2006/relationships" name="7.展开执行矩阵" sheetId="8" state="visible" r:id="rId8"/>
    <sheet xmlns:r="http://schemas.openxmlformats.org/officeDocument/2006/relationships" name="8.文献与来源" sheetId="9" state="visible" r:id="rId9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rlito"/>
      <sz val="11"/>
    </font>
    <font>
      <name val="Arial"/>
      <color rgb="FF1F2937"/>
      <sz val="11"/>
    </font>
    <font>
      <name val="Arial"/>
      <b val="1"/>
      <color rgb="FF17365D"/>
      <sz val="16"/>
    </font>
    <font>
      <name val="Arial"/>
      <b val="1"/>
      <color rgb="FF2F6B6B"/>
      <sz val="12"/>
    </font>
    <font>
      <name val="Arial"/>
      <color rgb="FF1F2937"/>
      <sz val="10"/>
    </font>
    <font>
      <name val="Arial"/>
      <b val="1"/>
      <color rgb="FFFFFFFF"/>
      <sz val="10"/>
    </font>
    <font>
      <name val="Carlito"/>
      <sz val="11"/>
    </font>
    <font>
      <name val="微软雅黑"/>
      <b val="1"/>
      <color rgb="FF1F1F1F"/>
      <sz val="9"/>
    </font>
    <font>
      <name val="宋体"/>
      <sz val="9"/>
    </font>
    <font>
      <name val="微软雅黑"/>
      <color rgb="FF1F1F1F"/>
      <sz val="9"/>
    </font>
    <font>
      <name val="微软雅黑"/>
      <b val="1"/>
      <color rgb="FFFFFFFF"/>
      <sz val="10"/>
    </font>
    <font>
      <name val="Carlito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EAF3F8"/>
      </patternFill>
    </fill>
    <fill>
      <patternFill patternType="solid">
        <fgColor rgb="FFF2F2F2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2F6B6B"/>
      </patternFill>
    </fill>
    <fill>
      <patternFill patternType="solid">
        <fgColor rgb="FFD9EAF7"/>
      </patternFill>
    </fill>
    <fill>
      <patternFill patternType="solid">
        <fgColor rgb="FFD9E1F2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1F4E78"/>
      </patternFill>
    </fill>
  </fills>
  <borders count="4">
    <border/>
    <border>
      <top style="thin">
        <color rgb="FFD9E2F3"/>
      </top>
      <bottom style="thin">
        <color rgb="FFD9E2F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2">
    <xf numFmtId="0" fontId="6" fillId="0" borderId="0"/>
    <xf numFmtId="0" fontId="6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1">
      <alignment vertical="top" wrapText="1"/>
    </xf>
    <xf numFmtId="0" fontId="1" fillId="0" borderId="0" applyAlignment="1" pivotButton="0" quotePrefix="0" xfId="1">
      <alignment vertical="top" wrapText="1"/>
    </xf>
    <xf numFmtId="0" fontId="3" fillId="0" borderId="0" applyAlignment="1" pivotButton="0" quotePrefix="0" xfId="1">
      <alignment vertical="top" wrapText="1"/>
    </xf>
    <xf numFmtId="0" fontId="1" fillId="2" borderId="0" applyAlignment="1" pivotButton="0" quotePrefix="0" xfId="1">
      <alignment vertical="top" wrapText="1"/>
    </xf>
    <xf numFmtId="0" fontId="1" fillId="3" borderId="0" applyAlignment="1" pivotButton="0" quotePrefix="0" xfId="1">
      <alignment vertical="top" wrapText="1"/>
    </xf>
    <xf numFmtId="0" fontId="4" fillId="0" borderId="1" applyAlignment="1" pivotButton="0" quotePrefix="0" xfId="1">
      <alignment vertical="top" wrapText="1"/>
    </xf>
    <xf numFmtId="0" fontId="5" fillId="4" borderId="2" applyAlignment="1" pivotButton="0" quotePrefix="0" xfId="1">
      <alignment horizontal="center" vertical="center" wrapText="1"/>
    </xf>
    <xf numFmtId="0" fontId="4" fillId="2" borderId="1" applyAlignment="1" pivotButton="0" quotePrefix="0" xfId="1">
      <alignment vertical="top" wrapText="1"/>
    </xf>
    <xf numFmtId="0" fontId="4" fillId="5" borderId="1" applyAlignment="1" pivotButton="0" quotePrefix="0" xfId="1">
      <alignment vertical="top" wrapText="1"/>
    </xf>
    <xf numFmtId="0" fontId="5" fillId="6" borderId="1" applyAlignment="1" pivotButton="0" quotePrefix="0" xfId="1">
      <alignment vertical="center" wrapText="1"/>
    </xf>
    <xf numFmtId="0" fontId="4" fillId="7" borderId="1" applyAlignment="1" pivotButton="0" quotePrefix="0" xfId="1">
      <alignment vertical="top" wrapText="1"/>
    </xf>
    <xf numFmtId="10" fontId="4" fillId="7" borderId="1" applyAlignment="1" pivotButton="0" quotePrefix="0" xfId="1">
      <alignment vertical="top" wrapText="1"/>
    </xf>
    <xf numFmtId="0" fontId="0" fillId="0" borderId="0" applyAlignment="1" pivotButton="0" quotePrefix="0" xfId="1">
      <alignment wrapText="1"/>
    </xf>
    <xf numFmtId="0" fontId="7" fillId="8" borderId="3" applyAlignment="1" pivotButton="0" quotePrefix="0" xfId="1">
      <alignment horizontal="left" vertical="top" wrapText="1"/>
    </xf>
    <xf numFmtId="0" fontId="9" fillId="8" borderId="3" applyAlignment="1" pivotButton="0" quotePrefix="0" xfId="1">
      <alignment horizontal="left" vertical="top" wrapText="1"/>
    </xf>
    <xf numFmtId="0" fontId="0" fillId="0" borderId="0" applyAlignment="1" pivotButton="0" quotePrefix="0" xfId="0">
      <alignment vertical="center"/>
    </xf>
    <xf numFmtId="0" fontId="7" fillId="9" borderId="3" applyAlignment="1" pivotButton="0" quotePrefix="0" xfId="1">
      <alignment horizontal="left" vertical="top" wrapText="1"/>
    </xf>
    <xf numFmtId="0" fontId="9" fillId="9" borderId="3" applyAlignment="1" pivotButton="0" quotePrefix="0" xfId="1">
      <alignment horizontal="left" vertical="top" wrapText="1"/>
    </xf>
    <xf numFmtId="0" fontId="7" fillId="10" borderId="3" applyAlignment="1" pivotButton="0" quotePrefix="0" xfId="1">
      <alignment horizontal="left" vertical="top" wrapText="1"/>
    </xf>
    <xf numFmtId="0" fontId="9" fillId="10" borderId="3" applyAlignment="1" pivotButton="0" quotePrefix="0" xfId="1">
      <alignment horizontal="left" vertical="top" wrapText="1"/>
    </xf>
    <xf numFmtId="0" fontId="7" fillId="11" borderId="3" applyAlignment="1" pivotButton="0" quotePrefix="0" xfId="1">
      <alignment horizontal="left" vertical="top" wrapText="1"/>
    </xf>
    <xf numFmtId="0" fontId="9" fillId="11" borderId="3" applyAlignment="1" pivotButton="0" quotePrefix="0" xfId="1">
      <alignment horizontal="left" vertical="top" wrapText="1"/>
    </xf>
    <xf numFmtId="0" fontId="7" fillId="12" borderId="3" applyAlignment="1" pivotButton="0" quotePrefix="0" xfId="1">
      <alignment horizontal="left" vertical="top" wrapText="1"/>
    </xf>
    <xf numFmtId="0" fontId="9" fillId="12" borderId="3" applyAlignment="1" pivotButton="0" quotePrefix="0" xfId="1">
      <alignment horizontal="left" vertical="top" wrapText="1"/>
    </xf>
    <xf numFmtId="0" fontId="7" fillId="5" borderId="3" applyAlignment="1" pivotButton="0" quotePrefix="0" xfId="1">
      <alignment horizontal="left" vertical="top" wrapText="1"/>
    </xf>
    <xf numFmtId="0" fontId="9" fillId="5" borderId="3" applyAlignment="1" pivotButton="0" quotePrefix="0" xfId="1">
      <alignment horizontal="left" vertical="top" wrapText="1"/>
    </xf>
    <xf numFmtId="0" fontId="0" fillId="0" borderId="0" applyAlignment="1" pivotButton="0" quotePrefix="0" xfId="0">
      <alignment wrapText="1"/>
    </xf>
    <xf numFmtId="0" fontId="10" fillId="4" borderId="2" applyAlignment="1" pivotButton="0" quotePrefix="0" xfId="1">
      <alignment horizontal="center" vertical="center" wrapText="1"/>
    </xf>
    <xf numFmtId="0" fontId="5" fillId="13" borderId="2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5" fillId="13" borderId="0" applyAlignment="1" pivotButton="0" quotePrefix="0" xfId="0">
      <alignment wrapText="1"/>
    </xf>
    <xf numFmtId="0" fontId="5" fillId="13" borderId="2" applyAlignment="1" pivotButton="0" quotePrefix="0" xfId="0">
      <alignment wrapText="1"/>
    </xf>
    <xf numFmtId="0" fontId="5" fillId="13" borderId="2" applyAlignment="1" pivotButton="0" quotePrefix="0" xfId="0">
      <alignment horizontal="center" wrapText="1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11" fillId="14" borderId="0" applyAlignment="1" pivotButton="0" quotePrefix="0" xfId="0">
      <alignment horizontal="center" wrapText="1"/>
    </xf>
    <xf numFmtId="0" fontId="11" fillId="1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4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 wrapText="1"/>
    </xf>
  </cellXfs>
  <cellStyles count="2">
    <cellStyle name="常规" xfId="0"/>
    <cellStyle name="Normal" xfId="1"/>
  </cellStyles>
  <dxfs count="2">
    <dxf>
      <font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1:A2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5"/>
  <cols>
    <col width="125" customWidth="1" min="1" max="1"/>
  </cols>
  <sheetData>
    <row r="1" ht="30" customHeight="1">
      <c r="A1" s="1" t="inlineStr">
        <is>
          <t>OOO 单元故障注入方案 - 总览</t>
        </is>
      </c>
    </row>
    <row r="2" ht="30" customHeight="1">
      <c r="A2" s="2" t="n"/>
    </row>
    <row r="3" ht="30" customHeight="1">
      <c r="A3" s="4" t="inlineStr">
        <is>
          <t>范围：Int Decode、Int Rename、Int Dispatch/ROB、FP/SIMD Decode、FP/SIMD Rename、FP/SIMD Dispatch/ROB。</t>
        </is>
      </c>
    </row>
    <row r="4" ht="30" customHeight="1">
      <c r="A4" s="4" t="inlineStr">
        <is>
          <t>统一基线：gem5 stable O3_ARM_v7a_3。主基线是可复现实验模型，不是鲲鹏 920、Neoverse 或其他商业核的复刻。</t>
        </is>
      </c>
    </row>
    <row r="5" ht="30" customHeight="1">
      <c r="A5" s="4" t="inlineStr">
        <is>
          <t>关键参数：fetch/decode/rename=3，dispatch=6，issue/writeback/commit=8，ROB=40，IQ=32，Int PRF=128，Float PRF=192，Vec PRF=48，单线程。</t>
        </is>
      </c>
    </row>
    <row r="6" ht="72" customHeight="1">
      <c r="A6" s="4" t="inlineStr">
        <is>
          <t>保护机制核验：六个 OOO 单元均无 gem5 stable 或 ARM 通用架构定义的 ECC/parity/端到端硬件校验保护；不加入这类未来对照模型。实际纳入的完整性路径只有 ARM 译码合法性/Undefined Instruction 异常，以及 ROB 按序提交、精确异常、squash/回滚和 FP 异常提交门控；它们由现有 D/FD/B/FB 模型覆盖。影子状态、golden trace、软件 checksum/assert、gem5 assert/panic 均为观测或仿真器故障，不是 Hardware RAS。</t>
        </is>
      </c>
    </row>
    <row r="7" ht="30" customHeight="1">
      <c r="A7" s="2" t="n"/>
    </row>
    <row r="8" ht="30" customHeight="1">
      <c r="A8" s="3" t="inlineStr">
        <is>
          <t>工作簿结构</t>
        </is>
      </c>
    </row>
    <row r="9" ht="30" customHeight="1">
      <c r="A9" s="2" t="inlineStr">
        <is>
          <t>1.单元与现有研究：填入论文已经覆盖的结构、模型、负载和结果，并区分直接证据、机制类比与研究空白。</t>
        </is>
      </c>
    </row>
    <row r="10" ht="30" customHeight="1">
      <c r="A10" s="2" t="inlineStr">
        <is>
          <t>2.OOO参数基线：给出 gem5 可直接设置的 B0 参数，以及不改变主结论口径的单因素敏感性配置。</t>
        </is>
      </c>
    </row>
    <row r="11" ht="30" customHeight="1">
      <c r="A11" s="2" t="inlineStr">
        <is>
          <t>3.位置x模型矩阵：每行一个单元×注入位置×故障模型，并新增故障表现形式/子模型字段，明确频率、负载、触发、传播监控、预期结果和设计理由。</t>
        </is>
      </c>
    </row>
    <row r="12" ht="30" customHeight="1">
      <c r="A12" s="2" t="inlineStr">
        <is>
          <t>4.观测点定义：L0-L5 传播链。SDC 率分母使用可分析 activated，不使用 attempted。</t>
        </is>
      </c>
    </row>
    <row r="13" ht="30" customHeight="1">
      <c r="A13" s="2" t="inlineStr">
        <is>
          <t>5.频率与统计：按 eligible event 归一化，F0 单次、F1-F3 重复、F4 突发、F5 永久、F6 确定性事件。</t>
        </is>
      </c>
    </row>
    <row r="14" ht="30" customHeight="1">
      <c r="A14" s="2" t="inlineStr">
        <is>
          <t>6.负载清单：论文复现、公开通用、真实应用和针对 OOO 机制的自设探针。</t>
        </is>
      </c>
    </row>
    <row r="15" ht="30" customHeight="1">
      <c r="A15" s="2" t="inlineStr">
        <is>
          <t>7.展开执行矩阵：模型×故障表现形式/子模型×频率×负载全展开。黄色列执行后人工录入，蓝色列自动计算。</t>
        </is>
      </c>
    </row>
    <row r="16" ht="30" customHeight="1">
      <c r="A16" s="2" t="inlineStr">
        <is>
          <t>8.文献与来源：本地论文与 gem5 官方源码。</t>
        </is>
      </c>
    </row>
    <row r="17" ht="30" customHeight="1">
      <c r="A17" s="2" t="n"/>
    </row>
    <row r="18" ht="30" customHeight="1">
      <c r="A18" s="3" t="inlineStr">
        <is>
          <t>统计与判定边界</t>
        </is>
      </c>
    </row>
    <row r="19" ht="30" customHeight="1">
      <c r="A19" s="5" t="inlineStr">
        <is>
          <t>1) attempted、eligible、activated 分开记录。目标字段未被读取、选择或用于状态转移时记 Injected-not-activated，不进入结果率分母。</t>
        </is>
      </c>
    </row>
    <row r="20" ht="30" customHeight="1">
      <c r="A20" s="5" t="inlineStr">
        <is>
          <t>2) F0/F6 是单故障实验；F1-F4 是同一运行内多事件压力实验；F5 是永久故障。三类结果分别报告，不合并为一个故障率。</t>
        </is>
      </c>
    </row>
    <row r="21" ht="30" customHeight="1">
      <c r="A21" s="5" t="inlineStr">
        <is>
          <t>3) 每个有效RunID先取得30个独立activated预试验样本；配置一致时可计入累计，否则作废重采。所有RunID固定累计至少385个；仅task_plan.md预登记的18个重点RunID累计到2401个（含前385个），统一报告Wilson 95%区间，不按中途区间序贯停止。</t>
        </is>
      </c>
    </row>
    <row r="22" ht="30" customHeight="1">
      <c r="A22" s="5" t="inlineStr">
        <is>
          <t>4) 合法换值必须从当前有效候选集合选择，保存 source/target；不能把随机非法位串称为换值。</t>
        </is>
      </c>
    </row>
    <row r="23" ht="72" customHeight="1">
      <c r="A23" s="5" t="inlineStr">
        <is>
          <t>5) 首检层级与最终结局独立记录：首检四类且互斥（Hardware RAS / OS / Application / None）；Hardware RAS检测（任意时点）只在实际收到硬件错误报告时记 1，不按注入位置推定。最终结局分 Masked、Detected-contained、Data Corruption、Crash、Timeout，另列 Simulator failure。golden output 对比只作为离线 oracle，不算运行时检测。</t>
        </is>
      </c>
    </row>
    <row r="24" ht="72" customHeight="1">
      <c r="A24" s="5" t="inlineStr">
        <is>
          <t>6) 最终结局分为 Masked、Detected-contained、Data Corruption、Crash、Timeout，另列 Simulator failure。SDC 是 Hardware RAS 全程静默时的错误结果总类：SDC = RAS-silent Data Corruption + RAS-silent Crash + RAS-silent Timeout。Crash、Timeout、Data Corruption 仅是最终表现形式；OS 或 Application 检出不排除 SDC。Masked 与 Simulator failure 不计入 SDC；离线 oracle 不算运行时检测。</t>
        </is>
      </c>
    </row>
    <row r="25" ht="30" customHeight="1">
      <c r="A25" s="5" t="inlineStr">
        <is>
          <t>7) 对共享 ROB，Int 与 FP/SIMD 行使用相同物理 ROB，但通过动态指令类型过滤形成互斥 campaign，不能把同一注入重复计入两组。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F6B6B"/>
    <outlinePr summaryBelow="1" summaryRight="1"/>
    <pageSetUpPr/>
  </sheetPr>
  <dimension ref="A1:G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5"/>
  <cols>
    <col width="18" customWidth="1" min="1" max="1"/>
    <col width="34" customWidth="1" min="2" max="2"/>
    <col width="72" customWidth="1" min="3" max="3"/>
    <col width="68" customWidth="1" min="4" max="4"/>
    <col width="24" customWidth="1" min="5" max="5"/>
    <col width="22" customWidth="1" min="6" max="6"/>
    <col width="46" customWidth="1" min="7" max="7"/>
  </cols>
  <sheetData>
    <row r="1" ht="34.04999923706055" customHeight="1">
      <c r="A1" s="7" t="inlineStr">
        <is>
          <t>单元</t>
        </is>
      </c>
      <c r="B1" s="7" t="inlineStr">
        <is>
          <t>作用</t>
        </is>
      </c>
      <c r="C1" s="7" t="inlineStr">
        <is>
          <t>现有文章</t>
        </is>
      </c>
      <c r="D1" s="7" t="inlineStr">
        <is>
          <t>现有文章结果</t>
        </is>
      </c>
      <c r="E1" s="7" t="inlineStr">
        <is>
          <t>指标口径</t>
        </is>
      </c>
      <c r="F1" s="7" t="inlineStr">
        <is>
          <t>证据直接性</t>
        </is>
      </c>
      <c r="G1" s="7" t="inlineStr">
        <is>
          <t>研究空白/本方案增量</t>
        </is>
      </c>
    </row>
    <row r="2" ht="120" customHeight="1">
      <c r="A2" s="6" t="inlineStr">
        <is>
          <t>Int Decode</t>
        </is>
      </c>
      <c r="B2" s="6" t="inlineStr">
        <is>
          <t>把 AArch64 指令字译成内部操作，识别 opcode、源/目的寄存器、立即数、位宽、移位、标志位和异常属性。</t>
        </is>
      </c>
      <c r="C2" s="6" t="inlineStr">
        <is>
          <t>MICRO'24 DelayAVF：Ibex in-order RISC-V，RTL+NanGate 45nm+Verilator；对译码器 1007 根线逐线加入 10%-90% 周期的小延迟故障，并把同一周期产生的状态位错误集合注入后续执行。IISWC'15 与 TC'23 明确不直接注入组合逻辑。</t>
        </is>
      </c>
      <c r="D2" s="6" t="inlineStr">
        <is>
          <t>DelayAVF 排序为 ALU &gt; Decoder &gt; Regfile。d=90% 时 Decoder 的 ACE interference 最大/平均为 13.03%/6.73%，ACE compounding 为 2.47%/1.14%，ORACE 估算偏差最大/平均 21.80%/10.45%。论文只给程序可见失败，不分 SDC/Crash。</t>
        </is>
      </c>
      <c r="E2" s="6" t="inlineStr">
        <is>
          <t>DelayAVF，不是 SDC 率</t>
        </is>
      </c>
      <c r="F2" s="6" t="inlineStr">
        <is>
          <t>直接机制证据，但核心/ISA/流水线类型不同</t>
        </is>
      </c>
      <c r="G2" s="6" t="inlineStr">
        <is>
          <t>空白：AArch64 合法 opcode 换值、寄存器字段错配、立即数拼接、uop 序列和 ready/valid 时序。</t>
        </is>
      </c>
    </row>
    <row r="3" ht="120" customHeight="1">
      <c r="A3" s="6" t="inlineStr">
        <is>
          <t>Int Rename</t>
        </is>
      </c>
      <c r="B3" s="6" t="inlineStr">
        <is>
          <t>用 speculative RAT 把 x0-x30 映射到 Int PRF，分配新物理寄存器，维护 free list、ready/busy 和分支 checkpoint。</t>
        </is>
      </c>
      <c r="C3" s="6" t="inlineStr">
        <is>
          <t>本地论文无直接注入结果。TC'23 能追踪架构/物理寄存器号但未注入 RAT。HPCA'24 gem5-MARVEL 声称框架可扩展到 register renaming unit，正文结果只覆盖 PRF/L1I/L1D/LQ/SQ。CHAOS 修改架构寄存器值，不修改映射。</t>
        </is>
      </c>
      <c r="D3" s="6" t="inlineStr">
        <is>
          <t>无直接实测结果。</t>
        </is>
      </c>
      <c r="E3" s="6" t="inlineStr">
        <is>
          <t>不适用</t>
        </is>
      </c>
      <c r="F3" s="6" t="inlineStr">
        <is>
          <t>同机制线索</t>
        </is>
      </c>
      <c r="G3" s="6" t="inlineStr">
        <is>
          <t>空白：RAT 合法标签替换、free-list 泄漏/重复分配、checkpoint 回滚、ready 状态、旧映射读出。</t>
        </is>
      </c>
    </row>
    <row r="4" ht="120" customHeight="1">
      <c r="A4" s="6" t="inlineStr">
        <is>
          <t>Int Dispatch / ROB</t>
        </is>
      </c>
      <c r="B4" s="6" t="inlineStr">
        <is>
          <t>把重命名后的 uop 分派到 IQ/FU，并在 ROB 中按程序序记录 PC、寄存器标识符、完成/异常/回滚状态，保证精确提交。</t>
        </is>
      </c>
      <c r="C4" s="6" t="inlineStr">
        <is>
          <t>TC'23：Armv8 类 A72/Armv7 类 A15，ROB 128/40 项；MiBench 10 个；单比特瞬态，2000 次/结构/负载；commit 比较 PC、opcode、操作数/立即数和寄存器内容。IISWC'15 只列 ROB 配置，未报告 ROB 结果。</t>
        </is>
      </c>
      <c r="D4" s="6" t="inlineStr">
        <is>
          <t>TC'23 中 ROB 的 SDC 概率为 0.0%（口径：到达软件层的 non-Benign 故障中产生 SDC 的比例）。作者认为 PC/物理寄存器号损坏通常在 commit 前触发依赖检查失败并 Crash；Masked 占多数。</t>
        </is>
      </c>
      <c r="E4" s="6" t="inlineStr">
        <is>
          <t>non-Benign 条件 SDC 占比，不等于总 AVF</t>
        </is>
      </c>
      <c r="F4" s="6" t="inlineStr">
        <is>
          <t>直接</t>
        </is>
      </c>
      <c r="G4" s="6" t="inlineStr">
        <is>
          <t>空白：ROB 状态位、head/tail、合法标签换值、dispatch steering、commit/squash 时序和 FP 激活子集。</t>
        </is>
      </c>
    </row>
    <row r="5" ht="120" customHeight="1">
      <c r="A5" s="6" t="inlineStr">
        <is>
          <t>FP/SIMD Decode</t>
        </is>
      </c>
      <c r="B5" s="6" t="inlineStr">
        <is>
          <t>译码 AArch64 标量 FP 和 AdvSIMD/NEON 指令，确定标量/向量模式、元素宽度、lane、舍入/异常行为与 uop 序列。</t>
        </is>
      </c>
      <c r="C5" s="6" t="inlineStr">
        <is>
          <t>无直接研究。DelayAVF 的 Decoder 是仅整数的 Ibex 译码器；TC'23 的负载无 FP 操作。</t>
        </is>
      </c>
      <c r="D5" s="6" t="inlineStr">
        <is>
          <t>无直接实测结果。</t>
        </is>
      </c>
      <c r="E5" s="6" t="inlineStr">
        <is>
          <t>不适用</t>
        </is>
      </c>
      <c r="F5" s="6" t="inlineStr">
        <is>
          <t>机制类比</t>
        </is>
      </c>
      <c r="G5" s="6" t="inlineStr">
        <is>
          <t>空白：合法 FP/SIMD opcode 换值、lane/元素宽度、标量/向量模式、FPCR 相关控制和 uop 拆分。</t>
        </is>
      </c>
    </row>
    <row r="6" ht="120" customHeight="1">
      <c r="A6" s="6" t="inlineStr">
        <is>
          <t>FP/SIMD Rename</t>
        </is>
      </c>
      <c r="B6" s="6" t="inlineStr">
        <is>
          <t>把 V 寄存器的标量 FP/128-bit SIMD 目的和源映射到 Float/Vec PRF，维护对应 free list、ready 状态和 checkpoint。</t>
        </is>
      </c>
      <c r="C6" s="6" t="inlineStr">
        <is>
          <t>无直接研究。TC'23 明确因 MiBench 无 FP 操作而不注入 FP PRF，更未注入 FP/SIMD RAT。Harpocrates 注入 FP 功能单元，不注入重命名。</t>
        </is>
      </c>
      <c r="D6" s="6" t="inlineStr">
        <is>
          <t>无直接实测结果。</t>
        </is>
      </c>
      <c r="E6" s="6" t="inlineStr">
        <is>
          <t>不适用</t>
        </is>
      </c>
      <c r="F6" s="6" t="inlineStr">
        <is>
          <t>空白</t>
        </is>
      </c>
      <c r="G6" s="6" t="inlineStr">
        <is>
          <t>空白：FP/Vec RAT、跨类别选择、partial-write/zeroing 语义、free list、checkpoint 和 ready 时序。</t>
        </is>
      </c>
    </row>
    <row r="7" ht="120" customHeight="1">
      <c r="A7" s="6" t="inlineStr">
        <is>
          <t>FP/SIMD Dispatch/ROB</t>
        </is>
      </c>
      <c r="B7" s="6" t="inlineStr">
        <is>
          <t>将 FP/SIMD uop 分派到可执行对应 opClass 的 FU，并在共享 ROB 中维护完成、FP 异常、目的标签和按序提交。</t>
        </is>
      </c>
      <c r="C7" s="6" t="inlineStr">
        <is>
          <t>TC'23 的统一 ROB 是直接结构证据，但其负载无 FP/SIMD 指令，不能作为 FP 激活结果。Veritas/Harpocrates 对 FP 功能单元的结果不等同于 FP dispatch/ROB。</t>
        </is>
      </c>
      <c r="D7" s="6" t="inlineStr">
        <is>
          <t>无 FP/SIMD 激活子集的直接结果；只能保留 TC'23 的 ROB 机制结论作为先验。</t>
        </is>
      </c>
      <c r="E7" s="6" t="inlineStr">
        <is>
          <t>结构直接、激活域不直接</t>
        </is>
      </c>
      <c r="F7" s="6" t="inlineStr">
        <is>
          <t>部分直接</t>
        </is>
      </c>
      <c r="G7" s="6" t="inlineStr">
        <is>
          <t>空白：FP FU steering、lane writeback mask、完成事件配对、FP exception/done、squash 和 commit 时序。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2F6B6B"/>
    <outlinePr summaryBelow="1" summaryRight="1"/>
    <pageSetUpPr/>
  </sheetPr>
  <dimension ref="A1:E3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5"/>
  <cols>
    <col width="30" customWidth="1" min="1" max="1"/>
    <col width="38" customWidth="1" min="2" max="2"/>
    <col width="20" customWidth="1" min="3" max="3"/>
    <col width="68" customWidth="1" min="4" max="4"/>
    <col width="42" customWidth="1" min="5" max="5"/>
  </cols>
  <sheetData>
    <row r="1" ht="34.04999923706055" customHeight="1">
      <c r="A1" s="7" t="inlineStr">
        <is>
          <t>结构/参数</t>
        </is>
      </c>
      <c r="B1" s="7" t="inlineStr">
        <is>
          <t>B0最终值</t>
        </is>
      </c>
      <c r="C1" s="7" t="inlineStr">
        <is>
          <t>处理</t>
        </is>
      </c>
      <c r="D1" s="7" t="inlineStr">
        <is>
          <t>依据/合理性判断</t>
        </is>
      </c>
      <c r="E1" s="7" t="inlineStr">
        <is>
          <t>敏感性配置</t>
        </is>
      </c>
    </row>
    <row r="2" ht="58.04999923706055" customHeight="1">
      <c r="A2" s="6" t="inlineStr">
        <is>
          <t>CPU模型</t>
        </is>
      </c>
      <c r="B2" s="8" t="inlineStr">
        <is>
          <t>gem5 stable O3_ARM_v7a_3 / ArmO3CPU</t>
        </is>
      </c>
      <c r="C2" s="6" t="inlineStr">
        <is>
          <t>主基线</t>
        </is>
      </c>
      <c r="D2" s="6" t="inlineStr">
        <is>
          <t>官方 Arm O3 示例，可直接复现；不是商业核复刻</t>
        </is>
      </c>
      <c r="E2" s="6" t="inlineStr">
        <is>
          <t>S0=BaseO3CPU 默认宽核，仅做敏感性</t>
        </is>
      </c>
    </row>
    <row r="3" ht="58.04999923706055" customHeight="1">
      <c r="A3" s="6" t="inlineStr">
        <is>
          <t>线程</t>
        </is>
      </c>
      <c r="B3" s="8" t="inlineStr">
        <is>
          <t>1</t>
        </is>
      </c>
      <c r="C3" s="6" t="inlineStr">
        <is>
          <t>保留</t>
        </is>
      </c>
      <c r="D3" s="6" t="inlineStr">
        <is>
          <t>避免 SMT 共享策略把结构容量和故障传播混在一起</t>
        </is>
      </c>
      <c r="E3" s="6" t="inlineStr">
        <is>
          <t>不在主 campaign 开 SMT</t>
        </is>
      </c>
    </row>
    <row r="4" ht="58.04999923706055" customHeight="1">
      <c r="A4" s="6" t="inlineStr">
        <is>
          <t>fetchWidth / fetchBufferSize</t>
        </is>
      </c>
      <c r="B4" s="8" t="inlineStr">
        <is>
          <t>3 / 16B</t>
        </is>
      </c>
      <c r="C4" s="6" t="inlineStr">
        <is>
          <t>保留</t>
        </is>
      </c>
      <c r="D4" s="6" t="inlineStr">
        <is>
          <t>O3_ARM_v7a_3 明确覆盖</t>
        </is>
      </c>
      <c r="E4" s="6" t="inlineStr">
        <is>
          <t>B0</t>
        </is>
      </c>
    </row>
    <row r="5" ht="58.04999923706055" customHeight="1">
      <c r="A5" s="6" t="inlineStr">
        <is>
          <t>decodeWidth / fetchToDecodeDelay</t>
        </is>
      </c>
      <c r="B5" s="8" t="inlineStr">
        <is>
          <t>3 / 3 cycles</t>
        </is>
      </c>
      <c r="C5" s="6" t="inlineStr">
        <is>
          <t>保留</t>
        </is>
      </c>
      <c r="D5" s="6" t="inlineStr">
        <is>
          <t>O3_ARM_v7a_3 明确覆盖</t>
        </is>
      </c>
      <c r="E5" s="6" t="inlineStr">
        <is>
          <t>S1=4-wide decode，其他参数不变</t>
        </is>
      </c>
    </row>
    <row r="6" ht="58.04999923706055" customHeight="1">
      <c r="A6" s="6" t="inlineStr">
        <is>
          <t>decodeToRenameDelay / renameWidth</t>
        </is>
      </c>
      <c r="B6" s="8" t="inlineStr">
        <is>
          <t>2 cycles / 3</t>
        </is>
      </c>
      <c r="C6" s="6" t="inlineStr">
        <is>
          <t>保留</t>
        </is>
      </c>
      <c r="D6" s="6" t="inlineStr">
        <is>
          <t>O3_ARM_v7a_3 明确覆盖</t>
        </is>
      </c>
      <c r="E6" s="6" t="inlineStr">
        <is>
          <t>S1=4-wide rename</t>
        </is>
      </c>
    </row>
    <row r="7" ht="58.04999923706055" customHeight="1">
      <c r="A7" s="6" t="inlineStr">
        <is>
          <t>renameToIEWDelay / renameToROBDelay</t>
        </is>
      </c>
      <c r="B7" s="8" t="inlineStr">
        <is>
          <t>1 / 1 cycle</t>
        </is>
      </c>
      <c r="C7" s="6" t="inlineStr">
        <is>
          <t>保留</t>
        </is>
      </c>
      <c r="D7" s="6" t="inlineStr">
        <is>
          <t>O3_ARM_v7a_3 明确覆盖</t>
        </is>
      </c>
      <c r="E7" s="6" t="inlineStr">
        <is>
          <t>B0</t>
        </is>
      </c>
    </row>
    <row r="8" ht="58.04999923706055" customHeight="1">
      <c r="A8" s="6" t="inlineStr">
        <is>
          <t>dispatchWidth</t>
        </is>
      </c>
      <c r="B8" s="8" t="inlineStr">
        <is>
          <t>6</t>
        </is>
      </c>
      <c r="C8" s="6" t="inlineStr">
        <is>
          <t>保留</t>
        </is>
      </c>
      <c r="D8" s="6" t="inlineStr">
        <is>
          <t>O3_ARM_v7a_3 明确覆盖</t>
        </is>
      </c>
      <c r="E8" s="6" t="inlineStr">
        <is>
          <t>S2=8</t>
        </is>
      </c>
    </row>
    <row r="9" ht="58.04999923706055" customHeight="1">
      <c r="A9" s="6" t="inlineStr">
        <is>
          <t>issueWidth / wbWidth / commitWidth</t>
        </is>
      </c>
      <c r="B9" s="8" t="inlineStr">
        <is>
          <t>8 / 8 / 8</t>
        </is>
      </c>
      <c r="C9" s="6" t="inlineStr">
        <is>
          <t>保留</t>
        </is>
      </c>
      <c r="D9" s="6" t="inlineStr">
        <is>
          <t>O3_ARM_v7a_3 明确覆盖</t>
        </is>
      </c>
      <c r="E9" s="6" t="inlineStr">
        <is>
          <t>B0</t>
        </is>
      </c>
    </row>
    <row r="10" ht="58.04999923706055" customHeight="1">
      <c r="A10" s="6" t="inlineStr">
        <is>
          <t>squashWidth</t>
        </is>
      </c>
      <c r="B10" s="8" t="inlineStr">
        <is>
          <t>8</t>
        </is>
      </c>
      <c r="C10" s="6" t="inlineStr">
        <is>
          <t>保留</t>
        </is>
      </c>
      <c r="D10" s="6" t="inlineStr">
        <is>
          <t>O3_ARM_v7a_3 明确覆盖</t>
        </is>
      </c>
      <c r="E10" s="6" t="inlineStr">
        <is>
          <t>S3=无限制即时 squash（Base 默认未指定）</t>
        </is>
      </c>
    </row>
    <row r="11" ht="58.04999923706055" customHeight="1">
      <c r="A11" s="6" t="inlineStr">
        <is>
          <t>IQ entries</t>
        </is>
      </c>
      <c r="B11" s="8" t="inlineStr">
        <is>
          <t>32</t>
        </is>
      </c>
      <c r="C11" s="6" t="inlineStr">
        <is>
          <t>保留</t>
        </is>
      </c>
      <c r="D11" s="6" t="inlineStr">
        <is>
          <t>O3_ARM_v7a_IQ.numEntries</t>
        </is>
      </c>
      <c r="E11" s="6" t="inlineStr">
        <is>
          <t>S4=64</t>
        </is>
      </c>
    </row>
    <row r="12" ht="58.04999923706055" customHeight="1">
      <c r="A12" s="6" t="inlineStr">
        <is>
          <t>ROB entries / ROBs</t>
        </is>
      </c>
      <c r="B12" s="8" t="inlineStr">
        <is>
          <t>40 / 1</t>
        </is>
      </c>
      <c r="C12" s="6" t="inlineStr">
        <is>
          <t>保留</t>
        </is>
      </c>
      <c r="D12" s="6" t="inlineStr">
        <is>
          <t>O3_ARM_v7a_3 覆盖 numROBEntries；BaseO3CPU numRobs=1</t>
        </is>
      </c>
      <c r="E12" s="6" t="inlineStr">
        <is>
          <t>S4=128；S5=192</t>
        </is>
      </c>
    </row>
    <row r="13" ht="58.04999923706055" customHeight="1">
      <c r="A13" s="6" t="inlineStr">
        <is>
          <t>Int physical registers</t>
        </is>
      </c>
      <c r="B13" s="8" t="inlineStr">
        <is>
          <t>128</t>
        </is>
      </c>
      <c r="C13" s="6" t="inlineStr">
        <is>
          <t>保留</t>
        </is>
      </c>
      <c r="D13" s="6" t="inlineStr">
        <is>
          <t>O3_ARM_v7a_3 明确覆盖</t>
        </is>
      </c>
      <c r="E13" s="6" t="inlineStr">
        <is>
          <t>S4=192；S5=256</t>
        </is>
      </c>
    </row>
    <row r="14" ht="58.04999923706055" customHeight="1">
      <c r="A14" s="6" t="inlineStr">
        <is>
          <t>Float physical registers</t>
        </is>
      </c>
      <c r="B14" s="8" t="inlineStr">
        <is>
          <t>192</t>
        </is>
      </c>
      <c r="C14" s="6" t="inlineStr">
        <is>
          <t>保留</t>
        </is>
      </c>
      <c r="D14" s="6" t="inlineStr">
        <is>
          <t>O3_ARM_v7a_3 明确覆盖</t>
        </is>
      </c>
      <c r="E14" s="6" t="inlineStr">
        <is>
          <t>S4=256</t>
        </is>
      </c>
    </row>
    <row r="15" ht="58.04999923706055" customHeight="1">
      <c r="A15" s="6" t="inlineStr">
        <is>
          <t>Vector physical registers</t>
        </is>
      </c>
      <c r="B15" s="8" t="inlineStr">
        <is>
          <t>48</t>
        </is>
      </c>
      <c r="C15" s="6" t="inlineStr">
        <is>
          <t>保留</t>
        </is>
      </c>
      <c r="D15" s="6" t="inlineStr">
        <is>
          <t>O3_ARM_v7a_3 明确覆盖</t>
        </is>
      </c>
      <c r="E15" s="6" t="inlineStr">
        <is>
          <t>S4=64；不把它解释为商业核 PRF 容量</t>
        </is>
      </c>
    </row>
    <row r="16" ht="58.04999923706055" customHeight="1">
      <c r="A16" s="6" t="inlineStr">
        <is>
          <t>Vector predicate registers</t>
        </is>
      </c>
      <c r="B16" s="8" t="inlineStr">
        <is>
          <t>32</t>
        </is>
      </c>
      <c r="C16" s="6" t="inlineStr">
        <is>
          <t>继承默认但主负载不用</t>
        </is>
      </c>
      <c r="D16" s="6" t="inlineStr">
        <is>
          <t>BaseO3CPU 默认；B0 聚焦 AArch64 FP/AdvSIMD，不宣称 SVE 微架构复刻</t>
        </is>
      </c>
      <c r="E16" s="6" t="inlineStr">
        <is>
          <t>仅在显式 SVE 扩展 campaign 中启用</t>
        </is>
      </c>
    </row>
    <row r="17" ht="58.04999923706055" customHeight="1">
      <c r="A17" s="6" t="inlineStr">
        <is>
          <t>整数 FU</t>
        </is>
      </c>
      <c r="B17" s="8" t="inlineStr">
        <is>
          <t>2×IntAlu(opLat=1) + 1×IntMult/IntDiv/System</t>
        </is>
      </c>
      <c r="C17" s="6" t="inlineStr">
        <is>
          <t>保留</t>
        </is>
      </c>
      <c r="D17" s="6" t="inlineStr">
        <is>
          <t>O3_ARM_v7a 官方 FU pool</t>
        </is>
      </c>
      <c r="E17" s="6" t="inlineStr">
        <is>
          <t>不在 OOO 主实验改变</t>
        </is>
      </c>
    </row>
    <row r="18" ht="58.04999923706055" customHeight="1">
      <c r="A18" s="6" t="inlineStr">
        <is>
          <t>FP/SIMD FU</t>
        </is>
      </c>
      <c r="B18" s="8" t="inlineStr">
        <is>
          <t>2 个；按 opClass 使用 3-33 cycle 延迟</t>
        </is>
      </c>
      <c r="C18" s="6" t="inlineStr">
        <is>
          <t>保留</t>
        </is>
      </c>
      <c r="D18" s="6" t="inlineStr">
        <is>
          <t>O3_ARM_v7a_FP 官方定义</t>
        </is>
      </c>
      <c r="E18" s="6" t="inlineStr">
        <is>
          <t>S6=1 个 FP/SIMD FU，研究资源竞争</t>
        </is>
      </c>
    </row>
    <row r="19" ht="58.04999923706055" customHeight="1">
      <c r="A19" s="6" t="inlineStr">
        <is>
          <t>trapLatency</t>
        </is>
      </c>
      <c r="B19" s="8" t="inlineStr">
        <is>
          <t>13 cycles</t>
        </is>
      </c>
      <c r="C19" s="6" t="inlineStr">
        <is>
          <t>保留</t>
        </is>
      </c>
      <c r="D19" s="6" t="inlineStr">
        <is>
          <t>O3_ARM_v7a_3 与 BaseO3CPU 一致</t>
        </is>
      </c>
      <c r="E19" s="6" t="inlineStr">
        <is>
          <t>B0</t>
        </is>
      </c>
    </row>
    <row r="20" ht="58.04999923706055" customHeight="1">
      <c r="A20" s="6" t="inlineStr">
        <is>
          <t>backComSize / forwardComSize</t>
        </is>
      </c>
      <c r="B20" s="8" t="inlineStr">
        <is>
          <t>5 / 5</t>
        </is>
      </c>
      <c r="C20" s="6" t="inlineStr">
        <is>
          <t>保留</t>
        </is>
      </c>
      <c r="D20" s="6" t="inlineStr">
        <is>
          <t>O3_ARM_v7a_3 明确覆盖</t>
        </is>
      </c>
      <c r="E20" s="6" t="inlineStr">
        <is>
          <t>B0</t>
        </is>
      </c>
    </row>
    <row r="21" ht="58.04999923706055" customHeight="1">
      <c r="A21" s="6" t="inlineStr">
        <is>
          <t>ISA/向量范围</t>
        </is>
      </c>
      <c r="B21" s="8" t="inlineStr">
        <is>
          <t>AArch64 + scalar FP + AdvSIMD/NEON 128-bit</t>
        </is>
      </c>
      <c r="C21" s="6" t="inlineStr">
        <is>
          <t>限定</t>
        </is>
      </c>
      <c r="D21" s="6" t="inlineStr">
        <is>
          <t>与 Arm O3 示例可执行能力和公开负载相容；不把 N2/N3 的 SVE2 特性硬套到 B0</t>
        </is>
      </c>
      <c r="E21" s="6" t="inlineStr">
        <is>
          <t>SVE 单独扩展，不与 B0 合并</t>
        </is>
      </c>
    </row>
    <row r="22" ht="58.04999923706055" customHeight="1">
      <c r="A22" s="6" t="inlineStr">
        <is>
          <t>OOO结构保护</t>
        </is>
      </c>
      <c r="B22" s="8" t="inlineStr">
        <is>
          <t>无 ECC/parity</t>
        </is>
      </c>
      <c r="C22" s="6" t="inlineStr">
        <is>
          <t>按要求不实现</t>
        </is>
      </c>
      <c r="D22" s="6" t="inlineStr">
        <is>
          <t>官方 gem5 参数与核对论文没有明确配置这些保护；影子 trace 只作 oracle</t>
        </is>
      </c>
      <c r="E22" s="6" t="inlineStr">
        <is>
          <t>不建立“有保护”主组</t>
        </is>
      </c>
    </row>
    <row r="23" ht="58.04999923706055" customHeight="1">
      <c r="A23" s="6" t="inlineStr">
        <is>
          <t>时钟</t>
        </is>
      </c>
      <c r="B23" s="8" t="inlineStr">
        <is>
          <t>2.6GHz 仅用于辅助换算</t>
        </is>
      </c>
      <c r="C23" s="6" t="inlineStr">
        <is>
          <t>沿用 LSU 口径</t>
        </is>
      </c>
      <c r="D23" s="6" t="inlineStr">
        <is>
          <t>注入频率以 eligible event 为主，避免 IPC 和宽度差异造成偏置</t>
        </is>
      </c>
      <c r="E23" s="6" t="inlineStr">
        <is>
          <t>1ms=2,600,000 cycles</t>
        </is>
      </c>
    </row>
    <row r="24" ht="58.04999923706055" customHeight="1">
      <c r="A24" s="6" t="inlineStr">
        <is>
          <t>检查点与运行模式</t>
        </is>
      </c>
      <c r="B24" s="8" t="inlineStr">
        <is>
          <t>SE 主跑；FS 复现 TC'23/OS 传播</t>
        </is>
      </c>
      <c r="C24" s="6" t="inlineStr">
        <is>
          <t>新增</t>
        </is>
      </c>
      <c r="D24" s="6" t="inlineStr">
        <is>
          <t>OOO 内部定位用 SE 成本低；异常、内核和完整传播必须用 FS 复核</t>
        </is>
      </c>
      <c r="E24" s="6" t="inlineStr">
        <is>
          <t>每个主结论至少一个 FS 负载</t>
        </is>
      </c>
    </row>
    <row r="25" ht="58.04999923706055" customHeight="1">
      <c r="A25" s="13" t="inlineStr">
        <is>
          <t>逐单元保护机制核验（只列实际存在且纳入实现的机制）</t>
        </is>
      </c>
      <c r="B25" s="13" t="n"/>
      <c r="C25" s="13" t="n"/>
      <c r="D25" s="13" t="n"/>
      <c r="E25" s="13" t="n"/>
    </row>
    <row r="26" ht="58.04999923706055" customHeight="1">
      <c r="A26" s="13" t="inlineStr">
        <is>
          <t>Int Decode</t>
        </is>
      </c>
      <c r="B26" s="13" t="inlineStr">
        <is>
          <t>有：AArch64 非法/未定义编码的合法性判定与 Undefined Instruction 异常路径</t>
        </is>
      </c>
      <c r="C26" s="13" t="inlineStr">
        <is>
          <t>实现</t>
        </is>
      </c>
      <c r="D26" s="13" t="inlineStr">
        <is>
          <t>D01/D02 的原始指令扰动 + L5 OS首检/最终结局；合法换值仍按 Application/None 统计</t>
        </is>
      </c>
      <c r="E26" s="13" t="inlineStr">
        <is>
          <t>不是ECC/parity；不是Hardware RAS</t>
        </is>
      </c>
    </row>
    <row r="27" ht="58.04999923706055" customHeight="1">
      <c r="A27" s="13" t="inlineStr">
        <is>
          <t>FP/SIMD Decode</t>
        </is>
      </c>
      <c r="B27" s="13" t="inlineStr">
        <is>
          <t>有：FP/SIMD 指令合法性与异常属性元数据进入精确异常/FP状态路径</t>
        </is>
      </c>
      <c r="C27" s="13" t="inlineStr">
        <is>
          <t>实现</t>
        </is>
      </c>
      <c r="D27" s="13" t="inlineStr">
        <is>
          <t>FD01/FD02/FD05/FD06/FD08/FD09，观察异常提交与OS/Application首检</t>
        </is>
      </c>
      <c r="E27" s="13" t="inlineStr">
        <is>
          <t>不是ECC/parity；FPSR/FPCR是架构状态，不是RAS</t>
        </is>
      </c>
    </row>
    <row r="28" ht="58.04999923706055" customHeight="1">
      <c r="A28" s="13" t="inlineStr">
        <is>
          <t>Int Rename</t>
        </is>
      </c>
      <c r="B28" s="13" t="inlineStr">
        <is>
          <t>无 ARM 架构可见的重命名校验保护；gem5 stable无该单元ECC/parity配置</t>
        </is>
      </c>
      <c r="C28" s="13" t="inlineStr">
        <is>
          <t>不实现保护对照</t>
        </is>
      </c>
      <c r="D28" s="13" t="inlineStr">
        <is>
          <t>仅注入RAT/free-list/ready/checkpoint本身（R01-R09）并记录局部不变量偏差</t>
        </is>
      </c>
      <c r="E28" s="13" t="inlineStr">
        <is>
          <t>影子RAT/free+allocated守恒是观测器</t>
        </is>
      </c>
    </row>
    <row r="29" ht="58.04999923706055" customHeight="1">
      <c r="A29" s="13" t="inlineStr">
        <is>
          <t>Int Dispatch / ROB</t>
        </is>
      </c>
      <c r="B29" s="13" t="inlineStr">
        <is>
          <t>有功能性完整性约束：按序提交、精确异常、squash/回滚和生命周期门控；无ECC/parity</t>
        </is>
      </c>
      <c r="C29" s="13" t="inlineStr">
        <is>
          <t>实现</t>
        </is>
      </c>
      <c r="D29" s="13" t="inlineStr">
        <is>
          <t>B04/B05/B08/B09覆盖状态与事务故障；gem5依赖检查/断言只记Simulator failure</t>
        </is>
      </c>
      <c r="E29" s="13" t="inlineStr">
        <is>
          <t>不能记Hardware RAS</t>
        </is>
      </c>
    </row>
    <row r="30" ht="58.04999923706055" customHeight="1">
      <c r="A30" s="13" t="inlineStr">
        <is>
          <t>FP/SIMD Rename</t>
        </is>
      </c>
      <c r="B30" s="13" t="inlineStr">
        <is>
          <t>无 ARM 架构可见的重命名校验保护；gem5 stable无该单元ECC/parity配置</t>
        </is>
      </c>
      <c r="C30" s="13" t="inlineStr">
        <is>
          <t>不实现保护对照</t>
        </is>
      </c>
      <c r="D30" s="13" t="inlineStr">
        <is>
          <t>仅注入FP/Vec RAT/free-list/ready/checkpoint/partial-write（FR01-FR10）</t>
        </is>
      </c>
      <c r="E30" s="13" t="inlineStr">
        <is>
          <t>影子状态只用于传播观测</t>
        </is>
      </c>
    </row>
    <row r="31" ht="58.04999923706055" customHeight="1">
      <c r="A31" s="13" t="inlineStr">
        <is>
          <t>FP/SIMD Dispatch / ROB</t>
        </is>
      </c>
      <c r="B31" s="13" t="inlineStr">
        <is>
          <t>有功能性完整性约束：FP异常/完成门控、按序提交、squash/回滚；无ECC/parity</t>
        </is>
      </c>
      <c r="C31" s="13" t="inlineStr">
        <is>
          <t>实现</t>
        </is>
      </c>
      <c r="D31" s="13" t="inlineStr">
        <is>
          <t>FB04/FB05/FB08/FB09覆盖；FPSR/异常标志仅在实际产生时记录</t>
        </is>
      </c>
      <c r="E31" s="13" t="inlineStr">
        <is>
          <t>不能按位置推定Hardware RAS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7365D"/>
    <outlinePr summaryBelow="1" summaryRight="1"/>
    <pageSetUpPr/>
  </sheetPr>
  <dimension ref="A1:N5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5"/>
  <cols>
    <col width="12" customWidth="1" min="1" max="1"/>
    <col width="24" customWidth="1" min="2" max="2"/>
    <col width="55" customWidth="1" min="3" max="3"/>
    <col width="18" customWidth="1" min="4" max="4"/>
    <col width="72" customWidth="1" min="5" max="5"/>
    <col width="48" customWidth="1" min="6" max="6"/>
    <col width="20" customWidth="1" min="7" max="7"/>
    <col width="42" customWidth="1" min="8" max="8"/>
    <col width="36" customWidth="1" min="9" max="9"/>
    <col width="74" customWidth="1" min="10" max="10"/>
    <col width="52" customWidth="1" min="11" max="11"/>
    <col width="48" customWidth="1" min="12" max="12"/>
    <col width="38" customWidth="1" min="13" max="13"/>
    <col width="48" customWidth="1" min="14" max="14"/>
  </cols>
  <sheetData>
    <row r="1" ht="34.04999923706055" customHeight="1">
      <c r="A1" s="7" t="inlineStr">
        <is>
          <t>模型ID</t>
        </is>
      </c>
      <c r="B1" s="7" t="inlineStr">
        <is>
          <t>单元</t>
        </is>
      </c>
      <c r="C1" s="7" t="inlineStr">
        <is>
          <t>注入位置（结构与正常作用）</t>
        </is>
      </c>
      <c r="D1" s="7" t="inlineStr">
        <is>
          <t>故障类型</t>
        </is>
      </c>
      <c r="E1" s="7" t="inlineStr">
        <is>
          <t>故障模型（实施步骤与激活口径）</t>
        </is>
      </c>
      <c r="F1" s="28" t="inlineStr">
        <is>
          <t>故障表现形式/子模型</t>
        </is>
      </c>
      <c r="G1" s="7" t="inlineStr">
        <is>
          <t>适用频率</t>
        </is>
      </c>
      <c r="H1" s="7" t="inlineStr">
        <is>
          <t>适用负载（真实名称）</t>
        </is>
      </c>
      <c r="I1" s="7" t="inlineStr">
        <is>
          <t>事件触发条件</t>
        </is>
      </c>
      <c r="J1" s="7" t="inlineStr">
        <is>
          <t>传播链重点观测</t>
        </is>
      </c>
      <c r="K1" s="7" t="inlineStr">
        <is>
          <t>预期结果（待验证假设）</t>
        </is>
      </c>
      <c r="L1" s="28" t="inlineStr">
        <is>
          <t>设计理由</t>
        </is>
      </c>
      <c r="M1" s="7" t="inlineStr">
        <is>
          <t>文献依据/直接性</t>
        </is>
      </c>
      <c r="N1" s="28" t="inlineStr">
        <is>
          <t>保护机制归属</t>
        </is>
      </c>
    </row>
    <row r="2" ht="37.15000152587891" customFormat="1" customHeight="1" s="16">
      <c r="A2" s="14" t="inlineStr">
        <is>
          <t>D01</t>
        </is>
      </c>
      <c r="B2" s="14" t="inlineStr">
        <is>
          <t>Int Decode</t>
        </is>
      </c>
      <c r="C2" s="15" t="inlineStr">
        <is>
          <t>fetch/decode边界的32-bit A64指令字锁存器；保存本周期将被译码的原始指令。</t>
        </is>
      </c>
      <c r="D2" s="15" t="inlineStr">
        <is>
          <t>单比特翻转</t>
        </is>
      </c>
      <c r="E2" s="15" t="inlineStr">
        <is>
          <t>在译码读取前翻转指令字1 bit。每次运行只选一个当前有效字段，在字段内均匀抽1 bit做XOR；保存动态指令ID、原值、故障值和bit编号。仅当故障字段被下游读取/选择/用于状态转移时计activated。触发：有效A64整数指令进入decode。</t>
        </is>
      </c>
      <c r="F2" s="15" t="inlineStr">
        <is>
          <t>D01-a opcode/主操作码字段；D01-b 源/目的寄存器字段；D01-c 立即数/移位字段；D01-d 标志与控制字段；每次只翻1 bit</t>
        </is>
      </c>
      <c r="G2" s="15" t="inlineStr">
        <is>
          <t>F0 / F1 / F2</t>
        </is>
      </c>
      <c r="H2" s="15" t="inlineStr">
        <is>
          <t>W3 A64-DecodeProbe
W6 CoreMark+Embench</t>
        </is>
      </c>
      <c r="I2" s="15" t="inlineStr">
        <is>
          <t>有效A64整数指令进入decode</t>
        </is>
      </c>
      <c r="J2" s="15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K2" s="15" t="inlineStr">
        <is>
          <t>高位/major opcode翻转更易illegal或Crash；寄存器/立即数字段翻转更易产生合法但错误执行和SDC</t>
        </is>
      </c>
      <c r="L2" s="15" t="inlineStr">
        <is>
          <t>最基本瞬态基线；按字段分层统计，避免只得到整体平均</t>
        </is>
      </c>
      <c r="M2" s="15" t="inlineStr">
        <is>
          <t>IISWC15/TC23使用单bit基线；译码直接证据为MICRO24</t>
        </is>
      </c>
      <c r="N2" s="15" t="inlineStr">
        <is>
          <t>架构合法性/异常路径（非ECC/parity）</t>
        </is>
      </c>
    </row>
    <row r="3" ht="37.15000152587891" customFormat="1" customHeight="1" s="16">
      <c r="A3" s="14" t="inlineStr">
        <is>
          <t>D02</t>
        </is>
      </c>
      <c r="B3" s="14" t="inlineStr">
        <is>
          <t>Int Decode</t>
        </is>
      </c>
      <c r="C3" s="15" t="inlineStr">
        <is>
          <t>同一32-bit指令字锁存器；模拟一次多位扰动而不改其他流水状态。</t>
        </is>
      </c>
      <c r="D3" s="15" t="inlineStr">
        <is>
          <t>双比特翻转</t>
        </is>
      </c>
      <c r="E3" s="15" t="inlineStr">
        <is>
          <t>在同一指令字内翻转2 bit，并按opcode/operand跨字段与同字段分层。同一字段同时翻转2个不同bit，50%相邻、50%非相邻；两bit在同一事件生效，不与其他字段叠加。保存bit距离和原/故障值。仅当字段被消费时计activated。触发：有效A64整数指令进入decode。</t>
        </is>
      </c>
      <c r="F3" s="15" t="inlineStr">
        <is>
          <t>D02-a 同字段相邻双bit；D02-b 同字段非相邻双bit；D02-c opcode/operand跨字段双bit</t>
        </is>
      </c>
      <c r="G3" s="15" t="inlineStr">
        <is>
          <t>F0 / F2</t>
        </is>
      </c>
      <c r="H3" s="15" t="inlineStr">
        <is>
          <t>W3 A64-DecodeProbe
W6 CoreMark+Embench</t>
        </is>
      </c>
      <c r="I3" s="15" t="inlineStr">
        <is>
          <t>有效A64整数指令进入decode</t>
        </is>
      </c>
      <c r="J3" s="15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K3" s="15" t="inlineStr">
        <is>
          <t>合法指令替换与illegal两极化增强；跨字段双翻转可能绕开单字段规律</t>
        </is>
      </c>
      <c r="L3" s="15" t="inlineStr">
        <is>
          <t>覆盖MBU和DelayAVF观察到的多状态位错误</t>
        </is>
      </c>
      <c r="M3" s="15" t="inlineStr">
        <is>
          <t>MICRO24；CHAOS26多bit规律类比</t>
        </is>
      </c>
      <c r="N3" s="15" t="inlineStr">
        <is>
          <t>架构合法性/异常路径（非ECC/parity）</t>
        </is>
      </c>
    </row>
    <row r="4" ht="37.15000152587891" customFormat="1" customHeight="1" s="16">
      <c r="A4" s="14" t="inlineStr">
        <is>
          <t>D03</t>
        </is>
      </c>
      <c r="B4" s="14" t="inlineStr">
        <is>
          <t>Int Decode</t>
        </is>
      </c>
      <c r="C4" s="15" t="inlineStr">
        <is>
          <t>major opcode/opClass译码输出；决定ALU、branch、load/store、system等内部类别。</t>
        </is>
      </c>
      <c r="D4" s="15" t="inlineStr">
        <is>
          <t>换值</t>
        </is>
      </c>
      <c r="E4" s="15" t="inlineStr">
        <is>
          <t>把opClass替换为同格式、操作数字段兼容的另一合法整数opClass，如ADD↔SUB、AND↔ORR。从当前有效且生命周期合法的候选集合中选择另一个合法值；禁止空闲、越界或编码非法候选。保存source/target和候选集大小。仅当替换值被消费时计activated。触发：候选opClass非空且目标FU可用。</t>
        </is>
      </c>
      <c r="F4" s="15" t="inlineStr">
        <is>
          <t>D03-a 算术opClass合法换值（ADD↔SUB）；D03-b 逻辑opClass合法换值（AND↔ORR）；D03-c 跨FU合法类别换值</t>
        </is>
      </c>
      <c r="G4" s="15" t="inlineStr">
        <is>
          <t>F0 / F2 / F6</t>
        </is>
      </c>
      <c r="H4" s="15" t="inlineStr">
        <is>
          <t>W3 A64-DecodeProbe
W6 CoreMark+Embench</t>
        </is>
      </c>
      <c r="I4" s="15" t="inlineStr">
        <is>
          <t>候选opClass非空且目标FU可用</t>
        </is>
      </c>
      <c r="J4" s="15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K4" s="15" t="inlineStr">
        <is>
          <t>比随机翻转更易静默通过合法性检查，预期SDC比例上升；跨FU替换更易Crash/Timeout</t>
        </is>
      </c>
      <c r="L4" s="15" t="inlineStr">
        <is>
          <t>直接研究合法控制替换而非非法编码</t>
        </is>
      </c>
      <c r="M4" s="15" t="inlineStr">
        <is>
          <t>本方案结构化模型；MICRO24提供译码时延机制证据</t>
        </is>
      </c>
      <c r="N4" s="15" t="inlineStr">
        <is>
          <t>架构合法性/异常路径（非ECC/parity）</t>
        </is>
      </c>
    </row>
    <row r="5" ht="37.15000152587891" customFormat="1" customHeight="1" s="16">
      <c r="A5" s="14" t="inlineStr">
        <is>
          <t>D04</t>
        </is>
      </c>
      <c r="B5" s="14" t="inlineStr">
        <is>
          <t>Int Decode</t>
        </is>
      </c>
      <c r="C5" s="15" t="inlineStr">
        <is>
          <t>译码输出的src0/src1/dst架构寄存器号。</t>
        </is>
      </c>
      <c r="D5" s="15" t="inlineStr">
        <is>
          <t>换值</t>
        </is>
      </c>
      <c r="E5" s="15" t="inlineStr">
        <is>
          <t>把一个源或目的寄存器替换为另一当前合法架构寄存器；源互换、dst替换、x0注入分开统计。从当前有效且生命周期合法的候选集合中选择另一个合法值；禁止空闲、越界或编码非法候选。保存source/target和候选集大小。仅当替换值被消费时计activated。触发：至少两个可选架构寄存器。</t>
        </is>
      </c>
      <c r="F5" s="15" t="inlineStr">
        <is>
          <t>D04-a src0替换；D04-b src1替换；D04-c src0/src1互换；D04-d dst替换；D04-e x0注入；子模型分开统计</t>
        </is>
      </c>
      <c r="G5" s="15" t="inlineStr">
        <is>
          <t>F0 / F2 / F6</t>
        </is>
      </c>
      <c r="H5" s="15" t="inlineStr">
        <is>
          <t>W3 A64-DecodeProbe
W4 Rename-Dependency</t>
        </is>
      </c>
      <c r="I5" s="15" t="inlineStr">
        <is>
          <t>至少两个可选架构寄存器</t>
        </is>
      </c>
      <c r="J5" s="15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K5" s="15" t="inlineStr">
        <is>
          <t>源/目的仍合法，易进入rename并产生静默数据路径；dst=x0可能掩蔽，src=x0可能稳定偏差</t>
        </is>
      </c>
      <c r="L5" s="15" t="inlineStr">
        <is>
          <t>覆盖译码字段到rename映射的关键静默路径</t>
        </is>
      </c>
      <c r="M5" s="15" t="inlineStr">
        <is>
          <t>本方案结构化模型</t>
        </is>
      </c>
      <c r="N5" s="15" t="inlineStr">
        <is>
          <t>架构合法性/异常路径（非ECC/parity）</t>
        </is>
      </c>
    </row>
    <row r="6" ht="37.15000152587891" customFormat="1" customHeight="1" s="16">
      <c r="A6" s="14" t="inlineStr">
        <is>
          <t>D05</t>
        </is>
      </c>
      <c r="B6" s="14" t="inlineStr">
        <is>
          <t>Int Decode</t>
        </is>
      </c>
      <c r="C6" s="15" t="inlineStr">
        <is>
          <t>立即数抽取、符号扩展与分段拼接输出。</t>
        </is>
      </c>
      <c r="D6" s="15" t="inlineStr">
        <is>
          <t>错位拼接</t>
        </is>
      </c>
      <c r="E6" s="15" t="inlineStr">
        <is>
          <t>将imm片段互换、循环移位、符号扩展改零扩展或读取上一条imm；每种规则独立，保留完整位宽。仅命中含对应立即数字段的指令且错误imm被执行时计activated。</t>
        </is>
      </c>
      <c r="F6" s="15" t="inlineStr">
        <is>
          <t>D05-a 立即数字段互换；D05-b 立即数循环移位；D05-c 符号扩展↔零扩展；D05-d 读取上一条立即数</t>
        </is>
      </c>
      <c r="G6" s="15" t="inlineStr">
        <is>
          <t>F0 / F2 / F6</t>
        </is>
      </c>
      <c r="H6" s="15" t="inlineStr">
        <is>
          <t>W3 A64-DecodeProbe
W6 CoreMark+Embench</t>
        </is>
      </c>
      <c r="I6" s="15" t="inlineStr">
        <is>
          <t>命中立即数/shift/extend指令</t>
        </is>
      </c>
      <c r="J6" s="15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K6" s="15" t="inlineStr">
        <is>
          <t>地址/算术立即数仍合法时易SDC；分支偏移错误更易控制流异常</t>
        </is>
      </c>
      <c r="L6" s="15" t="inlineStr">
        <is>
          <t>适配A64分散立即数字段和扩展逻辑</t>
        </is>
      </c>
      <c r="M6" s="15" t="inlineStr">
        <is>
          <t>本方案结构化模型</t>
        </is>
      </c>
      <c r="N6" s="15" t="inlineStr">
        <is>
          <t>架构合法性/异常路径（非ECC/parity）</t>
        </is>
      </c>
    </row>
    <row r="7" ht="37.15000152587891" customFormat="1" customHeight="1" s="16">
      <c r="A7" s="14" t="inlineStr">
        <is>
          <t>D06</t>
        </is>
      </c>
      <c r="B7" s="14" t="inlineStr">
        <is>
          <t>Int Decode</t>
        </is>
      </c>
      <c r="C7" s="15" t="inlineStr">
        <is>
          <t>位宽、shift/extend、setflags、signed/unsigned等控制位输出。</t>
        </is>
      </c>
      <c r="D7" s="15" t="inlineStr">
        <is>
          <t>状态</t>
        </is>
      </c>
      <c r="E7" s="15" t="inlineStr">
        <is>
          <t>把sf、S、shift type、extend type或条件码控制替换为另一合法组合，数据字段保持不变。清零、伪造、提前置位和延后清除分成独立子模型，每次运行只改变一种状态转移；记录前后状态机轨迹和关联动态指令。仅当错误状态参与仲裁/转移时计activated。触发：目标控制位被指令实际使用。</t>
        </is>
      </c>
      <c r="F7" s="15" t="inlineStr">
        <is>
          <t>D06-a sf位换值；D06-b setflags/S位换值；D06-c shift类型换值；D06-d extend类型换值；D06-e signed/unsigned控制换值</t>
        </is>
      </c>
      <c r="G7" s="15" t="inlineStr">
        <is>
          <t>F0 / F2 / F6</t>
        </is>
      </c>
      <c r="H7" s="15" t="inlineStr">
        <is>
          <t>W3 A64-DecodeProbe
W6 CoreMark+Embench</t>
        </is>
      </c>
      <c r="I7" s="15" t="inlineStr">
        <is>
          <t>目标控制位被指令实际使用</t>
        </is>
      </c>
      <c r="J7" s="15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K7" s="15" t="inlineStr">
        <is>
          <t>32/64位和符号语义错误通常仍可提交，预期是高价值SDC路径；setflags错误可能延迟到后续分支才显现</t>
        </is>
      </c>
      <c r="L7" s="15" t="inlineStr">
        <is>
          <t>控制位对数据/控制传播作用不同，必须独立监控</t>
        </is>
      </c>
      <c r="M7" s="15" t="inlineStr">
        <is>
          <t>本方案结构化模型</t>
        </is>
      </c>
      <c r="N7" s="15" t="inlineStr">
        <is>
          <t>架构合法性/异常路径（非ECC/parity）</t>
        </is>
      </c>
    </row>
    <row r="8" ht="37.15000152587891" customFormat="1" customHeight="1" s="16">
      <c r="A8" s="14" t="inlineStr">
        <is>
          <t>D07</t>
        </is>
      </c>
      <c r="B8" s="14" t="inlineStr">
        <is>
          <t>Int Decode</t>
        </is>
      </c>
      <c r="C8" s="15" t="inlineStr">
        <is>
          <t>decode valid/ready握手与输出流水锁存器。</t>
        </is>
      </c>
      <c r="D8" s="15" t="inlineStr">
        <is>
          <t>时序</t>
        </is>
      </c>
      <c r="E8" s="15" t="inlineStr">
        <is>
          <t>让一条decode结果提前1拍读取旧tuple、延后1拍、丢失或重复一次。绑定一个动态指令/事件ID，提前、延后、丢失、重复分开执行；数据载荷保持正确。仅当下游因此读取旧值、漏发、重复或改变顺序时计activated。触发：连续两条有效整数指令且tuple不同。</t>
        </is>
      </c>
      <c r="F8" s="15" t="inlineStr">
        <is>
          <t>D07-a 提前1拍；D07-b 延后1拍；D07-c 丢失一次；D07-d 重复一次；按事件ID分开统计</t>
        </is>
      </c>
      <c r="G8" s="15" t="inlineStr">
        <is>
          <t>F0 / F4 / F6</t>
        </is>
      </c>
      <c r="H8" s="15" t="inlineStr">
        <is>
          <t>W3 A64-DecodeProbe
W5 ROB-Recovery</t>
        </is>
      </c>
      <c r="I8" s="15" t="inlineStr">
        <is>
          <t>连续两条有效整数指令且tuple不同</t>
        </is>
      </c>
      <c r="J8" s="15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K8" s="15" t="inlineStr">
        <is>
          <t>提前/重复可能造成旧指令或重复uop进入rename；延后多为性能损失，丢失可能错误提交或死锁</t>
        </is>
      </c>
      <c r="L8" s="15" t="inlineStr">
        <is>
          <t>覆盖小时延故障在周期级模拟器中的可实现映射</t>
        </is>
      </c>
      <c r="M8" s="15" t="inlineStr">
        <is>
          <t>MICRO24方法论类比</t>
        </is>
      </c>
      <c r="N8" s="15" t="inlineStr">
        <is>
          <t>架构合法性/异常路径（非ECC/parity）</t>
        </is>
      </c>
    </row>
    <row r="9" ht="37.15000152587891" customFormat="1" customHeight="1" s="16">
      <c r="A9" s="14" t="inlineStr">
        <is>
          <t>D08</t>
        </is>
      </c>
      <c r="B9" s="14" t="inlineStr">
        <is>
          <t>Int Decode</t>
        </is>
      </c>
      <c r="C9" s="15" t="inlineStr">
        <is>
          <t>复杂指令拆分后的uop序列、uop index和last-uop标记。</t>
        </is>
      </c>
      <c r="D9" s="15" t="inlineStr">
        <is>
          <t>状态/时序</t>
        </is>
      </c>
      <c r="E9" s="15" t="inlineStr">
        <is>
          <t>对多uop指令丢失、重复、互换一个uop，或提前伪造last-uop。绑定一个动态指令/事件ID，提前、延后、丢失、重复分开执行；数据载荷保持正确。仅当下游因此读取旧值、漏发、重复或改变顺序时计activated。触发：decode产生至少2个uop。</t>
        </is>
      </c>
      <c r="F9" s="15" t="inlineStr">
        <is>
          <t>D08-a 丢失一个uop；D08-b 重复一个uop；D08-c 互换uop顺序；D08-d 提前伪造last-uop</t>
        </is>
      </c>
      <c r="G9" s="15" t="inlineStr">
        <is>
          <t>F0 / F4 / F6</t>
        </is>
      </c>
      <c r="H9" s="15" t="inlineStr">
        <is>
          <t>W3 A64-DecodeProbe
W5 ROB-Recovery</t>
        </is>
      </c>
      <c r="I9" s="15" t="inlineStr">
        <is>
          <t>decode产生至少2个uop</t>
        </is>
      </c>
      <c r="J9" s="15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K9" s="15" t="inlineStr">
        <is>
          <t>漏/重复微操作可能绕过单条opcode比较并造成部分副作用；ROB计数不一致时易Crash</t>
        </is>
      </c>
      <c r="L9" s="15" t="inlineStr">
        <is>
          <t>适配decode真正的序列生成功能</t>
        </is>
      </c>
      <c r="M9" s="15" t="inlineStr">
        <is>
          <t>本方案结构化模型</t>
        </is>
      </c>
      <c r="N9" s="15" t="inlineStr">
        <is>
          <t>架构合法性/异常路径（非ECC/parity）</t>
        </is>
      </c>
    </row>
    <row r="10" ht="37.15000152587891" customFormat="1" customHeight="1" s="16">
      <c r="A10" s="14" t="inlineStr">
        <is>
          <t>D09</t>
        </is>
      </c>
      <c r="B10" s="14" t="inlineStr">
        <is>
          <t>Int Decode</t>
        </is>
      </c>
      <c r="C10" s="15" t="inlineStr">
        <is>
          <t>固定一根opcode/寄存器/控制输出位，影响后续所有命中该位的译码事件。</t>
        </is>
      </c>
      <c r="D10" s="15" t="inlineStr">
        <is>
          <t>卡死</t>
        </is>
      </c>
      <c r="E10" s="15" t="inlineStr">
        <is>
          <t>选择一个decode输出bit实施stuck-at-0/1，按字段分层。warm-up后固定一个bit/控制位，分别做stuck-at-0和stuck-at-1，每次经过均施加到结束；正确值本来等于卡死值时不增加activated。触发：warm-up后每条整数decode。</t>
        </is>
      </c>
      <c r="F10" s="15" t="inlineStr">
        <is>
          <t>D09-a opcode输出bit stuck-at-0；D09-b opcode输出bit stuck-at-1；D09-c 寄存器字段bit卡死；D09-d 控制字段bit卡死</t>
        </is>
      </c>
      <c r="G10" s="15" t="inlineStr">
        <is>
          <t>F5</t>
        </is>
      </c>
      <c r="H10" s="15" t="inlineStr">
        <is>
          <t>W3 A64-DecodeProbe
W6 CoreMark+Embench</t>
        </is>
      </c>
      <c r="I10" s="15" t="inlineStr">
        <is>
          <t>warm-up后每条整数decode</t>
        </is>
      </c>
      <c r="J10" s="15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K10" s="15" t="inlineStr">
        <is>
          <t>高使用率控制位卡死多为快速Crash；低使用率字段可能形成输入相关、重复出现的SDC</t>
        </is>
      </c>
      <c r="L10" s="15" t="inlineStr">
        <is>
          <t>覆盖永久边际缺陷和数据相关激活</t>
        </is>
      </c>
      <c r="M10" s="15" t="inlineStr">
        <is>
          <t>CHAOS26 stuck-at方法；无直接decode结果</t>
        </is>
      </c>
      <c r="N10" s="15" t="inlineStr">
        <is>
          <t>架构合法性/异常路径（非ECC/parity）</t>
        </is>
      </c>
    </row>
    <row r="11" ht="37.15000152587891" customFormat="1" customHeight="1" s="16">
      <c r="A11" s="17" t="inlineStr">
        <is>
          <t>R01</t>
        </is>
      </c>
      <c r="B11" s="17" t="inlineStr">
        <is>
          <t>Int Rename</t>
        </is>
      </c>
      <c r="C11" s="18" t="inlineStr">
        <is>
          <t>speculative RAT中的架构寄存器→物理寄存器映射项。</t>
        </is>
      </c>
      <c r="D11" s="18" t="inlineStr">
        <is>
          <t>单比特翻转</t>
        </is>
      </c>
      <c r="E11" s="18" t="inlineStr">
        <is>
          <t>在源查表或目的重命名前翻转一个当前映射tag bit。每次运行只选一个当前有效字段，在字段内均匀抽1 bit做XOR；保存动态指令ID、原值、故障值和bit编号。仅当故障字段被下游读取/选择/用于状态转移时计activated。触发：目标架构寄存器当前有有效映射。</t>
        </is>
      </c>
      <c r="F11" s="18" t="inlineStr">
        <is>
          <t>R01-a RAT源映射tag bit；R01-b RAT目的映射tag bit；按tag字段和bit分层</t>
        </is>
      </c>
      <c r="G11" s="18" t="inlineStr">
        <is>
          <t>F0 / F1 / F2</t>
        </is>
      </c>
      <c r="H11" s="18" t="inlineStr">
        <is>
          <t>W4 Rename-Dependency
W6 CoreMark+Embench</t>
        </is>
      </c>
      <c r="I11" s="18" t="inlineStr">
        <is>
          <t>目标架构寄存器当前有有效映射</t>
        </is>
      </c>
      <c r="J11" s="18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K11" s="18" t="inlineStr">
        <is>
          <t>翻到空闲/越界tag多为依赖失败或Crash；翻到活跃合法tag可读取错误旧值并SDC</t>
        </is>
      </c>
      <c r="L11" s="18" t="inlineStr">
        <is>
          <t>RAT最基本瞬态基线，需按候选tag状态分层</t>
        </is>
      </c>
      <c r="M11" s="18" t="inlineStr">
        <is>
          <t>无直接结果；TC23的ROB物理tag案例提供机制类比</t>
        </is>
      </c>
      <c r="N11" s="18" t="inlineStr">
        <is>
          <t>无已核实硬件校验保护；仅观测内部不变量</t>
        </is>
      </c>
    </row>
    <row r="12" ht="37.15000152587891" customFormat="1" customHeight="1" s="16">
      <c r="A12" s="17" t="inlineStr">
        <is>
          <t>R02</t>
        </is>
      </c>
      <c r="B12" s="17" t="inlineStr">
        <is>
          <t>Int Rename</t>
        </is>
      </c>
      <c r="C12" s="18" t="inlineStr">
        <is>
          <t>同一speculative RAT映射项。</t>
        </is>
      </c>
      <c r="D12" s="18" t="inlineStr">
        <is>
          <t>双比特翻转</t>
        </is>
      </c>
      <c r="E12" s="18" t="inlineStr">
        <is>
          <t>同时翻转同一物理tag的2 bit。同一字段同时翻转2个不同bit，50%相邻、50%非相邻；两bit在同一事件生效，不与其他字段叠加。保存bit距离和原/故障值。仅当字段被消费时计activated。触发：目标映射将被当前指令读取。</t>
        </is>
      </c>
      <c r="F12" s="18" t="inlineStr">
        <is>
          <t>R02-a 同tag相邻双bit；R02-b 同tag非相邻双bit</t>
        </is>
      </c>
      <c r="G12" s="18" t="inlineStr">
        <is>
          <t>F0 / F2</t>
        </is>
      </c>
      <c r="H12" s="18" t="inlineStr">
        <is>
          <t>W4 Rename-Dependency
W7 GAP-Selected</t>
        </is>
      </c>
      <c r="I12" s="18" t="inlineStr">
        <is>
          <t>目标映射将被当前指令读取</t>
        </is>
      </c>
      <c r="J12" s="18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K12" s="18" t="inlineStr">
        <is>
          <t>落入另一个合法活跃tag的概率变化决定SDC/Crash极化</t>
        </is>
      </c>
      <c r="L12" s="18" t="inlineStr">
        <is>
          <t>覆盖多bit和tag编码距离</t>
        </is>
      </c>
      <c r="M12" s="18" t="inlineStr">
        <is>
          <t>CHAOS26多bit规律类比</t>
        </is>
      </c>
      <c r="N12" s="18" t="inlineStr">
        <is>
          <t>无已核实硬件校验保护；仅观测内部不变量</t>
        </is>
      </c>
    </row>
    <row r="13" ht="37.15000152587891" customFormat="1" customHeight="1" s="16">
      <c r="A13" s="17" t="inlineStr">
        <is>
          <t>R03</t>
        </is>
      </c>
      <c r="B13" s="17" t="inlineStr">
        <is>
          <t>Int Rename</t>
        </is>
      </c>
      <c r="C13" s="18" t="inlineStr">
        <is>
          <t>speculative RAT读出的源物理tag。</t>
        </is>
      </c>
      <c r="D13" s="18" t="inlineStr">
        <is>
          <t>换值</t>
        </is>
      </c>
      <c r="E13" s="18" t="inlineStr">
        <is>
          <t>把源tag替换为另一活跃且ready的物理寄存器tag；src0/src1互换单列。从当前有效且生命周期合法的候选集合中选择另一个合法值；禁止空闲、越界或编码非法候选。保存source/target和候选集大小。仅当替换值被消费时计activated。触发：至少两个活跃ready候选tag。</t>
        </is>
      </c>
      <c r="F13" s="18" t="inlineStr">
        <is>
          <t>R03-a src0替换为另一活跃ready tag；R03-b src1替换为另一活跃ready tag；R03-c src0/src1互换；子模型分开统计</t>
        </is>
      </c>
      <c r="G13" s="18" t="inlineStr">
        <is>
          <t>F0 / F2 / F6</t>
        </is>
      </c>
      <c r="H13" s="18" t="inlineStr">
        <is>
          <t>W4 Rename-Dependency
W6 CoreMark+Embench</t>
        </is>
      </c>
      <c r="I13" s="18" t="inlineStr">
        <is>
          <t>至少两个活跃ready候选tag</t>
        </is>
      </c>
      <c r="J13" s="18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K13" s="18" t="inlineStr">
        <is>
          <t>合法tag替换绕开空闲检查，预期比随机翻转更易SDC</t>
        </is>
      </c>
      <c r="L13" s="18" t="inlineStr">
        <is>
          <t>直接检验合法但错误依赖边</t>
        </is>
      </c>
      <c r="M13" s="18" t="inlineStr">
        <is>
          <t>本方案结构化模型；Zenbleed类use-after-free机制仅作案例背景</t>
        </is>
      </c>
      <c r="N13" s="18" t="inlineStr">
        <is>
          <t>无已核实硬件校验保护；仅观测内部不变量</t>
        </is>
      </c>
    </row>
    <row r="14" ht="37.15000152587891" customFormat="1" customHeight="1" s="16">
      <c r="A14" s="17" t="inlineStr">
        <is>
          <t>R04</t>
        </is>
      </c>
      <c r="B14" s="17" t="inlineStr">
        <is>
          <t>Int Rename</t>
        </is>
      </c>
      <c r="C14" s="18" t="inlineStr">
        <is>
          <t>目的寄存器新物理tag分配结果与old-dest tag。</t>
        </is>
      </c>
      <c r="D14" s="18" t="inlineStr">
        <is>
          <t>换值</t>
        </is>
      </c>
      <c r="E14" s="18" t="inlineStr">
        <is>
          <t>把new-dest替换为另一空闲tag，或把old-dest替换为另一活跃tag；两个子模型分开。从当前有效且生命周期合法的候选集合中选择另一个合法值；禁止空闲、越界或编码非法候选。保存source/target和候选集大小。仅当替换值被消费时计activated。触发：目的寄存器需要分配且候选集合非空。</t>
        </is>
      </c>
      <c r="F14" s="18" t="inlineStr">
        <is>
          <t>R04-a new-dest替换为空闲tag；R04-b old-dest替换为另一活跃tag；子模型分开统计</t>
        </is>
      </c>
      <c r="G14" s="18" t="inlineStr">
        <is>
          <t>F0 / F2 / F6</t>
        </is>
      </c>
      <c r="H14" s="18" t="inlineStr">
        <is>
          <t>W4 Rename-Dependency
W7 GAP-Selected</t>
        </is>
      </c>
      <c r="I14" s="18" t="inlineStr">
        <is>
          <t>目的寄存器需要分配且候选集合非空</t>
        </is>
      </c>
      <c r="J14" s="18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K14" s="18" t="inlineStr">
        <is>
          <t>错误new-dest可能与后续写回/ROB仍自洽而潜伏；错误old-dest会导致错误释放和延迟use-after-free</t>
        </is>
      </c>
      <c r="L14" s="18" t="inlineStr">
        <is>
          <t>区分即时映射错误与延迟资源生命周期错误</t>
        </is>
      </c>
      <c r="M14" s="18" t="inlineStr">
        <is>
          <t>本方案结构化模型</t>
        </is>
      </c>
      <c r="N14" s="18" t="inlineStr">
        <is>
          <t>无已核实硬件校验保护；仅观测内部不变量</t>
        </is>
      </c>
    </row>
    <row r="15" ht="37.15000152587891" customFormat="1" customHeight="1" s="16">
      <c r="A15" s="17" t="inlineStr">
        <is>
          <t>R05</t>
        </is>
      </c>
      <c r="B15" s="17" t="inlineStr">
        <is>
          <t>Int Rename</t>
        </is>
      </c>
      <c r="C15" s="18" t="inlineStr">
        <is>
          <t>free list bitmap/队列项和head指针，保证每个空闲物理寄存器只分配一次。</t>
        </is>
      </c>
      <c r="D15" s="18" t="inlineStr">
        <is>
          <t>状态</t>
        </is>
      </c>
      <c r="E15" s="18" t="inlineStr">
        <is>
          <t>清除一个真实空闲位造成泄漏，伪造一个占用tag为空闲造成重复分配，或使head跳到另一合法槽。清零、伪造、提前置位和延后清除分成独立子模型，每次运行只改变一种状态转移；记录前后状态机轨迹和关联动态指令。仅当错误状态参与仲裁/转移时计activated。触发：发生目的物理寄存器分配。</t>
        </is>
      </c>
      <c r="F15" s="18" t="inlineStr">
        <is>
          <t>R05-a 清除真实空闲位造成泄漏；R05-b 伪造占用tag为空闲造成重复分配；R05-c head跳到另一合法槽；子模型分开统计</t>
        </is>
      </c>
      <c r="G15" s="18" t="inlineStr">
        <is>
          <t>F0 / F2 / F6</t>
        </is>
      </c>
      <c r="H15" s="18" t="inlineStr">
        <is>
          <t>W4 Rename-Dependency
W7 GAP-Selected</t>
        </is>
      </c>
      <c r="I15" s="18" t="inlineStr">
        <is>
          <t>发生目的物理寄存器分配</t>
        </is>
      </c>
      <c r="J15" s="18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K15" s="18" t="inlineStr">
        <is>
          <t>泄漏多表现为长期停顿/Timeout；重复分配可在两条指令间形成静默覆盖，SDC风险高</t>
        </is>
      </c>
      <c r="L15" s="18" t="inlineStr">
        <is>
          <t>free-list错误的两种后果相反，必须分开</t>
        </is>
      </c>
      <c r="M15" s="18" t="inlineStr">
        <is>
          <t>本方案结构化模型；IDLD/Zenbleed机制背景</t>
        </is>
      </c>
      <c r="N15" s="18" t="inlineStr">
        <is>
          <t>无已核实硬件校验保护；仅观测内部不变量</t>
        </is>
      </c>
    </row>
    <row r="16" ht="37.15000152587891" customFormat="1" customHeight="1" s="16">
      <c r="A16" s="17" t="inlineStr">
        <is>
          <t>R06</t>
        </is>
      </c>
      <c r="B16" s="17" t="inlineStr">
        <is>
          <t>Int Rename</t>
        </is>
      </c>
      <c r="C16" s="18" t="inlineStr">
        <is>
          <t>branch checkpoint保存的RAT快照/增量和checkpoint索引。</t>
        </is>
      </c>
      <c r="D16" s="18" t="inlineStr">
        <is>
          <t>换值</t>
        </is>
      </c>
      <c r="E16" s="18" t="inlineStr">
        <is>
          <t>在mispredict恢复时用另一仍有效checkpoint，或把一个映射恢复成旧checkpoint中的合法tag。从当前有效且生命周期合法的候选集合中选择另一个合法值；禁止空闲、越界或编码非法候选。保存source/target和候选集大小。仅当替换值被消费时计activated。触发：存在至少两个嵌套未决分支并发生squash。</t>
        </is>
      </c>
      <c r="F16" s="18" t="inlineStr">
        <is>
          <t>R06-a 选择错误branch checkpoint；R06-b 恢复为旧checkpoint合法tag；子模型分开统计</t>
        </is>
      </c>
      <c r="G16" s="18" t="inlineStr">
        <is>
          <t>F0 / F2 / F6</t>
        </is>
      </c>
      <c r="H16" s="18" t="inlineStr">
        <is>
          <t>W4 Rename-Dependency
W5 ROB-Recovery</t>
        </is>
      </c>
      <c r="I16" s="18" t="inlineStr">
        <is>
          <t>存在至少两个嵌套未决分支并发生squash</t>
        </is>
      </c>
      <c r="J16" s="18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K16" s="18" t="inlineStr">
        <is>
          <t>错误恢复可能只污染错误路径之后的指令，首分歧延迟；合法旧tag最易形成SDC</t>
        </is>
      </c>
      <c r="L16" s="18" t="inlineStr">
        <is>
          <t>覆盖OoO特有的投机恢复职责</t>
        </is>
      </c>
      <c r="M16" s="18" t="inlineStr">
        <is>
          <t>本方案结构化模型</t>
        </is>
      </c>
      <c r="N16" s="18" t="inlineStr">
        <is>
          <t>无已核实硬件校验保护；仅观测内部不变量</t>
        </is>
      </c>
    </row>
    <row r="17" ht="37.15000152587891" customFormat="1" customHeight="1" s="16">
      <c r="A17" s="17" t="inlineStr">
        <is>
          <t>R07</t>
        </is>
      </c>
      <c r="B17" s="17" t="inlineStr">
        <is>
          <t>Int Rename</t>
        </is>
      </c>
      <c r="C17" s="18" t="inlineStr">
        <is>
          <t>物理寄存器ready/busy scoreboard，决定消费者能否被唤醒。</t>
        </is>
      </c>
      <c r="D17" s="18" t="inlineStr">
        <is>
          <t>状态</t>
        </is>
      </c>
      <c r="E17" s="18" t="inlineStr">
        <is>
          <t>提前伪造ready、丢失ready或错误清除busy；不修改PRF数据。清零、伪造、提前置位和延后清除分成独立子模型，每次运行只改变一种状态转移；记录前后状态机轨迹和关联动态指令。仅当错误状态参与仲裁/转移时计activated。触发：消费者等待尚未完成的生产者。</t>
        </is>
      </c>
      <c r="F17" s="18" t="inlineStr">
        <is>
          <t>R07-a 提前伪造ready；R07-b 丢失ready；R07-c 错误清除busy；子模型分开统计</t>
        </is>
      </c>
      <c r="G17" s="18" t="inlineStr">
        <is>
          <t>F0 / F4 / F6</t>
        </is>
      </c>
      <c r="H17" s="18" t="inlineStr">
        <is>
          <t>W4 Rename-Dependency
W5 ROB-Recovery</t>
        </is>
      </c>
      <c r="I17" s="18" t="inlineStr">
        <is>
          <t>消费者等待尚未完成的生产者</t>
        </is>
      </c>
      <c r="J17" s="18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K17" s="18" t="inlineStr">
        <is>
          <t>提前ready可能读取旧PRF值并SDC；丢失ready通常停顿/Timeout</t>
        </is>
      </c>
      <c r="L17" s="18" t="inlineStr">
        <is>
          <t>把数据错误与就绪控制错误解耦</t>
        </is>
      </c>
      <c r="M17" s="18" t="inlineStr">
        <is>
          <t>本方案结构化模型</t>
        </is>
      </c>
      <c r="N17" s="18" t="inlineStr">
        <is>
          <t>无已核实硬件校验保护；仅观测内部不变量</t>
        </is>
      </c>
    </row>
    <row r="18" ht="37.15000152587891" customFormat="1" customHeight="1" s="16">
      <c r="A18" s="17" t="inlineStr">
        <is>
          <t>R08</t>
        </is>
      </c>
      <c r="B18" s="17" t="inlineStr">
        <is>
          <t>Int Rename</t>
        </is>
      </c>
      <c r="C18" s="18" t="inlineStr">
        <is>
          <t>rename流水valid/ready、RAT写入、ROB/IQ分配与free-list弹出的原子更新事件。</t>
        </is>
      </c>
      <c r="D18" s="18" t="inlineStr">
        <is>
          <t>时序</t>
        </is>
      </c>
      <c r="E18" s="18" t="inlineStr">
        <is>
          <t>让RAT更新、free-list弹出或ROB分配中的一个提前/延后/丢失一次。绑定一个动态指令/事件ID，提前、延后、丢失、重复分开执行；数据载荷保持正确。仅当下游因此读取旧值、漏发、重复或改变顺序时计activated。触发：同周期至少2条可重命名指令。</t>
        </is>
      </c>
      <c r="F18" s="18" t="inlineStr">
        <is>
          <t>R08-a RAT更新提前/延后；R08-b free-list弹出提前/延后；R08-c ROB/IQ分配丢失/重复；子更新分开统计</t>
        </is>
      </c>
      <c r="G18" s="18" t="inlineStr">
        <is>
          <t>F0 / F4 / F6</t>
        </is>
      </c>
      <c r="H18" s="18" t="inlineStr">
        <is>
          <t>W4 Rename-Dependency
W5 ROB-Recovery</t>
        </is>
      </c>
      <c r="I18" s="18" t="inlineStr">
        <is>
          <t>同周期至少2条可重命名指令</t>
        </is>
      </c>
      <c r="J18" s="18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K18" s="18" t="inlineStr">
        <is>
          <t>部分更新会破坏资源守恒，多为Crash/Timeout；若错误tag在三处一致更新则可能静默</t>
        </is>
      </c>
      <c r="L18" s="18" t="inlineStr">
        <is>
          <t>覆盖跨结构事务一致性而非单字段</t>
        </is>
      </c>
      <c r="M18" s="18" t="inlineStr">
        <is>
          <t>MICRO24时延方法论类比</t>
        </is>
      </c>
      <c r="N18" s="18" t="inlineStr">
        <is>
          <t>无已核实硬件校验保护；仅观测内部不变量</t>
        </is>
      </c>
    </row>
    <row r="19" ht="37.15000152587891" customFormat="1" customHeight="1" s="16">
      <c r="A19" s="17" t="inlineStr">
        <is>
          <t>R09</t>
        </is>
      </c>
      <c r="B19" s="17" t="inlineStr">
        <is>
          <t>Int Rename</t>
        </is>
      </c>
      <c r="C19" s="18" t="inlineStr">
        <is>
          <t>RAT/free-list固定bit或固定掩码，跨多个重命名事件持续。</t>
        </is>
      </c>
      <c r="D19" s="18" t="inlineStr">
        <is>
          <t>卡死</t>
        </is>
      </c>
      <c r="E19" s="18" t="inlineStr">
        <is>
          <t>在RAT tag bit或free-list bit上实施stuck-at-0/1。warm-up后固定一个bit/控制位，分别做stuck-at-0和stuck-at-1，每次经过均施加到结束；正确值本来等于卡死值时不增加activated。触发：warm-up后每次相关查表/分配。</t>
        </is>
      </c>
      <c r="F19" s="18" t="inlineStr">
        <is>
          <t>R09-a RAT tag bit stuck-at-0；R09-b RAT tag bit stuck-at-1；R09-c free-list bit stuck-at-0；R09-d free-list bit stuck-at-1</t>
        </is>
      </c>
      <c r="G19" s="18" t="inlineStr">
        <is>
          <t>F5</t>
        </is>
      </c>
      <c r="H19" s="18" t="inlineStr">
        <is>
          <t>W4 Rename-Dependency
W6 CoreMark+Embench</t>
        </is>
      </c>
      <c r="I19" s="18" t="inlineStr">
        <is>
          <t>warm-up后每次相关查表/分配</t>
        </is>
      </c>
      <c r="J19" s="18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K19" s="18" t="inlineStr">
        <is>
          <t>free-list卡死更易资源耗尽；RAT低位卡死可能形成可重复别名和输入相关SDC</t>
        </is>
      </c>
      <c r="L19" s="18" t="inlineStr">
        <is>
          <t>覆盖永久故障与累积资源破坏</t>
        </is>
      </c>
      <c r="M19" s="18" t="inlineStr">
        <is>
          <t>CHAOS26 stuck-at方法；无直接rename结果</t>
        </is>
      </c>
      <c r="N19" s="18" t="inlineStr">
        <is>
          <t>无已核实硬件校验保护；仅观测内部不变量</t>
        </is>
      </c>
    </row>
    <row r="20" ht="37.15000152587891" customFormat="1" customHeight="1" s="16">
      <c r="A20" s="19" t="inlineStr">
        <is>
          <t>B01</t>
        </is>
      </c>
      <c r="B20" s="19" t="inlineStr">
        <is>
          <t>Int Dispatch / ROB</t>
        </is>
      </c>
      <c r="C20" s="20" t="inlineStr">
        <is>
          <t>整数动态指令对应的ROB entry字段：PC、arch/phys src/dst标识符和序号。</t>
        </is>
      </c>
      <c r="D20" s="20" t="inlineStr">
        <is>
          <t>单比特翻转</t>
        </is>
      </c>
      <c r="E20" s="20" t="inlineStr">
        <is>
          <t>在已分配且未提交的整数ROB entry中翻转一个字段bit，按PC/tag/seq分层。每次运行只选一个当前有效字段，在字段内均匀抽1 bit做XOR；保存动态指令ID、原值、故障值和bit编号。仅当故障字段被下游读取/选择/用于状态转移时计activated。触发：ROB中存在有效整数entry。</t>
        </is>
      </c>
      <c r="F20" s="20" t="inlineStr">
        <is>
          <t>B01-a PC字段单bit；B01-b arch/phys src/dst字段单bit；B01-c seq字段单bit</t>
        </is>
      </c>
      <c r="G20" s="20" t="inlineStr">
        <is>
          <t>F0 / F1 / F2</t>
        </is>
      </c>
      <c r="H20" s="20" t="inlineStr">
        <is>
          <t>W1 MiBench-TC23
W5 ROB-Recovery</t>
        </is>
      </c>
      <c r="I20" s="20" t="inlineStr">
        <is>
          <t>ROB中存在有效整数entry</t>
        </is>
      </c>
      <c r="J20" s="20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K20" s="20" t="inlineStr">
        <is>
          <t>复现TC'23时SDC应接近0且Masked/Crash主导；字段扩展后可能发现结构化静默路径</t>
        </is>
      </c>
      <c r="L20" s="20" t="inlineStr">
        <is>
          <t>直接论文复现基线</t>
        </is>
      </c>
      <c r="M20" s="20" t="inlineStr">
        <is>
          <t>TC23直接结果：ROB条件SDC=0</t>
        </is>
      </c>
      <c r="N20" s="20" t="inlineStr">
        <is>
          <t>按序提交/精确异常/squash门控（功能约束，非ECC/parity）</t>
        </is>
      </c>
    </row>
    <row r="21" ht="37.15000152587891" customFormat="1" customHeight="1" s="16">
      <c r="A21" s="19" t="inlineStr">
        <is>
          <t>B02</t>
        </is>
      </c>
      <c r="B21" s="19" t="inlineStr">
        <is>
          <t>Int Dispatch / ROB</t>
        </is>
      </c>
      <c r="C21" s="20" t="inlineStr">
        <is>
          <t>同一整数ROB entry的PC/tag/seq字段。</t>
        </is>
      </c>
      <c r="D21" s="20" t="inlineStr">
        <is>
          <t>双比特翻转</t>
        </is>
      </c>
      <c r="E21" s="20" t="inlineStr">
        <is>
          <t>同一字段双bit翻转，并区分相邻/非相邻。同一字段同时翻转2个不同bit，50%相邻、50%非相邻；两bit在同一事件生效，不与其他字段叠加。保存bit距离和原/故障值。仅当字段被消费时计activated。触发：ROB中存在有效整数entry。</t>
        </is>
      </c>
      <c r="F21" s="20" t="inlineStr">
        <is>
          <t>B02-a 同字段相邻双bit；B02-b 同字段非相邻双bit；按PC/tag/seq字段分层</t>
        </is>
      </c>
      <c r="G21" s="20" t="inlineStr">
        <is>
          <t>F0 / F2</t>
        </is>
      </c>
      <c r="H21" s="20" t="inlineStr">
        <is>
          <t>W1 MiBench-TC23
W5 ROB-Recovery</t>
        </is>
      </c>
      <c r="I21" s="20" t="inlineStr">
        <is>
          <t>ROB中存在有效整数entry</t>
        </is>
      </c>
      <c r="J21" s="20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K21" s="20" t="inlineStr">
        <is>
          <t>比单bit更易触发依赖/范围失败；落入合法tag时仍可能静默</t>
        </is>
      </c>
      <c r="L21" s="20" t="inlineStr">
        <is>
          <t>覆盖MBU并检验TC'23结论对多bit是否稳健</t>
        </is>
      </c>
      <c r="M21" s="20" t="inlineStr">
        <is>
          <t>TC23单bit基线；CHAOS26多bit类比</t>
        </is>
      </c>
      <c r="N21" s="20" t="inlineStr">
        <is>
          <t>按序提交/精确异常/squash门控（功能约束，非ECC/parity）</t>
        </is>
      </c>
    </row>
    <row r="22" ht="37.15000152587891" customFormat="1" customHeight="1" s="16">
      <c r="A22" s="19" t="inlineStr">
        <is>
          <t>B03</t>
        </is>
      </c>
      <c r="B22" s="19" t="inlineStr">
        <is>
          <t>Int Dispatch / ROB</t>
        </is>
      </c>
      <c r="C22" s="20" t="inlineStr">
        <is>
          <t>ROB entry中的arch/phys目的tag、PC或opcode摘要。</t>
        </is>
      </c>
      <c r="D22" s="20" t="inlineStr">
        <is>
          <t>换值</t>
        </is>
      </c>
      <c r="E22" s="20" t="inlineStr">
        <is>
          <t>把一个字段替换为另一在飞整数entry的同类合法值；PC、tag、opcode摘要独立执行。从当前有效且生命周期合法的候选集合中选择另一个合法值；禁止空闲、越界或编码非法候选。保存source/target和候选集大小。仅当替换值被消费时计activated。触发：ROB中至少两个兼容有效entry。</t>
        </is>
      </c>
      <c r="F22" s="20" t="inlineStr">
        <is>
          <t>B03-a arch/phys目的tag合法换值；B03-b PC合法换值；B03-c opcode摘要合法换值；子模型分开统计</t>
        </is>
      </c>
      <c r="G22" s="20" t="inlineStr">
        <is>
          <t>F0 / F2 / F6</t>
        </is>
      </c>
      <c r="H22" s="20" t="inlineStr">
        <is>
          <t>W5 ROB-Recovery
W7 GAP-Selected</t>
        </is>
      </c>
      <c r="I22" s="20" t="inlineStr">
        <is>
          <t>ROB中至少两个兼容有效entry</t>
        </is>
      </c>
      <c r="J22" s="20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K22" s="20" t="inlineStr">
        <is>
          <t>合法字段替换可能绕开越界检查；tag错配可能错误释放/提交，预期比随机bit更容易SDC</t>
        </is>
      </c>
      <c r="L22" s="20" t="inlineStr">
        <is>
          <t>直接挑战随机翻转主要导致Crash的选择偏差</t>
        </is>
      </c>
      <c r="M22" s="20" t="inlineStr">
        <is>
          <t>本方案结构化模型；TC23机制对照</t>
        </is>
      </c>
      <c r="N22" s="20" t="inlineStr">
        <is>
          <t>按序提交/精确异常/squash门控（功能约束，非ECC/parity）</t>
        </is>
      </c>
    </row>
    <row r="23" ht="37.15000152587891" customFormat="1" customHeight="1" s="16">
      <c r="A23" s="19" t="inlineStr">
        <is>
          <t>B04</t>
        </is>
      </c>
      <c r="B23" s="19" t="inlineStr">
        <is>
          <t>Int Dispatch / ROB</t>
        </is>
      </c>
      <c r="C23" s="20" t="inlineStr">
        <is>
          <t>ROB valid、issued、executed/complete、canCommit等生命周期状态。</t>
        </is>
      </c>
      <c r="D23" s="20" t="inlineStr">
        <is>
          <t>状态</t>
        </is>
      </c>
      <c r="E23" s="20" t="inlineStr">
        <is>
          <t>伪造complete/canCommit、清除valid、丢失executed或提前释放entry。清零、伪造、提前置位和延后清除分成独立子模型，每次运行只改变一种状态转移；记录前后状态机轨迹和关联动态指令。仅当错误状态参与仲裁/转移时计activated。触发：目标entry处于相邻生命周期状态。</t>
        </is>
      </c>
      <c r="F23" s="20" t="inlineStr">
        <is>
          <t>B04-a 伪造complete/canCommit；B04-b 清除valid；B04-c 丢失executed；B04-d 提前释放entry</t>
        </is>
      </c>
      <c r="G23" s="20" t="inlineStr">
        <is>
          <t>F0 / F2 / F6</t>
        </is>
      </c>
      <c r="H23" s="20" t="inlineStr">
        <is>
          <t>W5 ROB-Recovery
W7 GAP-Selected</t>
        </is>
      </c>
      <c r="I23" s="20" t="inlineStr">
        <is>
          <t>目标entry处于相邻生命周期状态</t>
        </is>
      </c>
      <c r="J23" s="20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K23" s="20" t="inlineStr">
        <is>
          <t>提前complete可能提交旧/未写回值并SDC；清除/丢失多为漏提交或Timeout</t>
        </is>
      </c>
      <c r="L23" s="20" t="inlineStr">
        <is>
          <t>状态位比数据字段更贴合ROB职责</t>
        </is>
      </c>
      <c r="M23" s="20" t="inlineStr">
        <is>
          <t>本方案结构化模型</t>
        </is>
      </c>
      <c r="N23" s="20" t="inlineStr">
        <is>
          <t>按序提交/精确异常/squash门控（功能约束，非ECC/parity）</t>
        </is>
      </c>
    </row>
    <row r="24" ht="37.15000152587891" customFormat="1" customHeight="1" s="16">
      <c r="A24" s="19" t="inlineStr">
        <is>
          <t>B05</t>
        </is>
      </c>
      <c r="B24" s="19" t="inlineStr">
        <is>
          <t>Int Dispatch / ROB</t>
        </is>
      </c>
      <c r="C24" s="20" t="inlineStr">
        <is>
          <t>ROB exception、mispredict、squashed、serialize等控制状态。</t>
        </is>
      </c>
      <c r="D24" s="20" t="inlineStr">
        <is>
          <t>状态</t>
        </is>
      </c>
      <c r="E24" s="20" t="inlineStr">
        <is>
          <t>丢失真实exception/mispredict，或给正常entry伪造标记；每类单独执行。清零、伪造、提前置位和延后清除分成独立子模型，每次运行只改变一种状态转移；记录前后状态机轨迹和关联动态指令。仅当错误状态参与仲裁/转移时计activated。触发：即将处理异常、分支恢复或序列化事件。</t>
        </is>
      </c>
      <c r="F24" s="20" t="inlineStr">
        <is>
          <t>B05-a 丢失真实exception；B05-b 丢失mispredict；B05-c 给正常entry伪造exception/mispredict；B05-d serialize标记误置</t>
        </is>
      </c>
      <c r="G24" s="20" t="inlineStr">
        <is>
          <t>F0 / F4 / F6</t>
        </is>
      </c>
      <c r="H24" s="20" t="inlineStr">
        <is>
          <t>W5 ROB-Recovery
W1 MiBench-TC23</t>
        </is>
      </c>
      <c r="I24" s="20" t="inlineStr">
        <is>
          <t>即将处理异常、分支恢复或序列化事件</t>
        </is>
      </c>
      <c r="J24" s="20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K24" s="20" t="inlineStr">
        <is>
          <t>丢失exception/错误路径squash可能静默提交；伪造标记多为额外冲刷或Crash</t>
        </is>
      </c>
      <c r="L24" s="20" t="inlineStr">
        <is>
          <t>覆盖精确异常和恢复，是ROB核心职责</t>
        </is>
      </c>
      <c r="M24" s="20" t="inlineStr">
        <is>
          <t>本方案结构化模型</t>
        </is>
      </c>
      <c r="N24" s="20" t="inlineStr">
        <is>
          <t>按序提交/精确异常/squash门控（功能约束，非ECC/parity）</t>
        </is>
      </c>
    </row>
    <row r="25" ht="37.15000152587891" customFormat="1" customHeight="1" s="16">
      <c r="A25" s="19" t="inlineStr">
        <is>
          <t>B06</t>
        </is>
      </c>
      <c r="B25" s="19" t="inlineStr">
        <is>
          <t>Int Dispatch / ROB</t>
        </is>
      </c>
      <c r="C25" s="20" t="inlineStr">
        <is>
          <t>ROB head/tail指针、占用计数和wrap bit。</t>
        </is>
      </c>
      <c r="D25" s="20" t="inlineStr">
        <is>
          <t>状态/换值</t>
        </is>
      </c>
      <c r="E25" s="20" t="inlineStr">
        <is>
          <t>将head/tail换成另一当前合法索引，或翻转wrap/计数1 bit；子模型分开。从当前有效且生命周期合法的候选集合中选择另一个合法值；禁止空闲、越界或编码非法候选。保存source/target和候选集大小。仅当替换值被消费时计activated。触发：ROB占用非0且非满，最好跨wrap边界。</t>
        </is>
      </c>
      <c r="F25" s="20" t="inlineStr">
        <is>
          <t>B06-a head索引换值；B06-b tail索引换值；B06-c wrap bit翻转；B06-d occupancy count翻转</t>
        </is>
      </c>
      <c r="G25" s="20" t="inlineStr">
        <is>
          <t>F0 / F2 / F6</t>
        </is>
      </c>
      <c r="H25" s="20" t="inlineStr">
        <is>
          <t>W5 ROB-Recovery
W7 GAP-Selected</t>
        </is>
      </c>
      <c r="I25" s="20" t="inlineStr">
        <is>
          <t>ROB占用非0且非满，最好跨wrap边界</t>
        </is>
      </c>
      <c r="J25" s="20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K25" s="20" t="inlineStr">
        <is>
          <t>head跳转可能漏/乱序提交；tail错误可能覆盖在飞entry；多数破坏守恒并Crash，但小距离错位可能SDC</t>
        </is>
      </c>
      <c r="L25" s="20" t="inlineStr">
        <is>
          <t>覆盖环形队列索引与边界</t>
        </is>
      </c>
      <c r="M25" s="20" t="inlineStr">
        <is>
          <t>本方案结构化模型</t>
        </is>
      </c>
      <c r="N25" s="20" t="inlineStr">
        <is>
          <t>按序提交/精确异常/squash门控（功能约束，非ECC/parity）</t>
        </is>
      </c>
    </row>
    <row r="26" ht="37.15000152587891" customFormat="1" customHeight="1" s="16">
      <c r="A26" s="19" t="inlineStr">
        <is>
          <t>B07</t>
        </is>
      </c>
      <c r="B26" s="19" t="inlineStr">
        <is>
          <t>Int Dispatch / ROB</t>
        </is>
      </c>
      <c r="C26" s="20" t="inlineStr">
        <is>
          <t>dispatch steering：uop到整数IQ/FU类别、ROB slot和端口选择。</t>
        </is>
      </c>
      <c r="D26" s="20" t="inlineStr">
        <is>
          <t>换值</t>
        </is>
      </c>
      <c r="E26" s="20" t="inlineStr">
        <is>
          <t>把目标IQ/FU类别或dispatch lane换成另一支持该opClass的合法目的；不修改uop数据。从当前有效且生命周期合法的候选集合中选择另一个合法值；禁止空闲、越界或编码非法候选。保存source/target和候选集大小。仅当替换值被消费时计activated。触发：存在两个兼容dispatch目的或lane。</t>
        </is>
      </c>
      <c r="F26" s="20" t="inlineStr">
        <is>
          <t>B07-a IQ类别合法换值；B07-b FU类别合法换值；B07-c dispatch lane合法换值；B07-d ROB slot合法换值</t>
        </is>
      </c>
      <c r="G26" s="20" t="inlineStr">
        <is>
          <t>F0 / F2 / F6</t>
        </is>
      </c>
      <c r="H26" s="20" t="inlineStr">
        <is>
          <t>W5 ROB-Recovery
W6 CoreMark+Embench</t>
        </is>
      </c>
      <c r="I26" s="20" t="inlineStr">
        <is>
          <t>存在两个兼容dispatch目的或lane</t>
        </is>
      </c>
      <c r="J26" s="20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K26" s="20" t="inlineStr">
        <is>
          <t>兼容lane替换多为性能影响；不兼容但仍接受时可能错误执行或死锁</t>
        </is>
      </c>
      <c r="L26" s="20" t="inlineStr">
        <is>
          <t>区分资源选择错误与ROB存储错误</t>
        </is>
      </c>
      <c r="M26" s="20" t="inlineStr">
        <is>
          <t>IISWC15称支持IQ但无结果；本方案结构化模型</t>
        </is>
      </c>
      <c r="N26" s="20" t="inlineStr">
        <is>
          <t>按序提交/精确异常/squash门控（功能约束，非ECC/parity）</t>
        </is>
      </c>
    </row>
    <row r="27" ht="37.15000152587891" customFormat="1" customHeight="1" s="16">
      <c r="A27" s="19" t="inlineStr">
        <is>
          <t>B08</t>
        </is>
      </c>
      <c r="B27" s="19" t="inlineStr">
        <is>
          <t>Int Dispatch / ROB</t>
        </is>
      </c>
      <c r="C27" s="20" t="inlineStr">
        <is>
          <t>squash广播、ROB清除和恢复事件。</t>
        </is>
      </c>
      <c r="D27" s="20" t="inlineStr">
        <is>
          <t>时序</t>
        </is>
      </c>
      <c r="E27" s="20" t="inlineStr">
        <is>
          <t>squash提前/延后1拍、丢失一次或重复一次；绑定具体mispredict/exception。绑定一个动态指令/事件ID，提前、延后、丢失、重复分开执行；数据载荷保持正确。仅当下游因此读取旧值、漏发、重复或改变顺序时计activated。触发：发生mispredict或精确异常。</t>
        </is>
      </c>
      <c r="F27" s="20" t="inlineStr">
        <is>
          <t>B08-a squash提前1拍；B08-b squash延后1拍；B08-c squash丢失；B08-d squash重复</t>
        </is>
      </c>
      <c r="G27" s="20" t="inlineStr">
        <is>
          <t>F0 / F4 / F6</t>
        </is>
      </c>
      <c r="H27" s="20" t="inlineStr">
        <is>
          <t>W5 ROB-Recovery
W7 GAP-Selected</t>
        </is>
      </c>
      <c r="I27" s="20" t="inlineStr">
        <is>
          <t>发生mispredict或精确异常</t>
        </is>
      </c>
      <c r="J27" s="20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K27" s="20" t="inlineStr">
        <is>
          <t>延后/丢失可能让错误路径结果进入完成/提交窗口；重复多为性能损失或资源状态破坏</t>
        </is>
      </c>
      <c r="L27" s="20" t="inlineStr">
        <is>
          <t>适配OoO投机恢复传播链</t>
        </is>
      </c>
      <c r="M27" s="20" t="inlineStr">
        <is>
          <t>MICRO24时延方法论；本方案结构化模型</t>
        </is>
      </c>
      <c r="N27" s="20" t="inlineStr">
        <is>
          <t>按序提交/精确异常/squash门控（功能约束，非ECC/parity）</t>
        </is>
      </c>
    </row>
    <row r="28" ht="37.15000152587891" customFormat="1" customHeight="1" s="16">
      <c r="A28" s="19" t="inlineStr">
        <is>
          <t>B09</t>
        </is>
      </c>
      <c r="B28" s="19" t="inlineStr">
        <is>
          <t>Int Dispatch / ROB</t>
        </is>
      </c>
      <c r="C28" s="20" t="inlineStr">
        <is>
          <t>commit grant、ROB pop、old-dest释放和架构状态更新的同一提交事件。</t>
        </is>
      </c>
      <c r="D28" s="20" t="inlineStr">
        <is>
          <t>时序</t>
        </is>
      </c>
      <c r="E28" s="20" t="inlineStr">
        <is>
          <t>让其中一个子事件提前、延后、丢失或重复，其他载荷保持正确。绑定一个动态指令/事件ID，提前、延后、丢失、重复分开执行；数据载荷保持正确。仅当下游因此读取旧值、漏发、重复或改变顺序时计activated。触发：ROB head已complete并可提交。</t>
        </is>
      </c>
      <c r="F28" s="20" t="inlineStr">
        <is>
          <t>B09-a commit grant提前/延后；B09-b ROB pop丢失/重复；B09-c old-dest释放提前/延后；B09-d 架构状态更新丢失/重复</t>
        </is>
      </c>
      <c r="G28" s="20" t="inlineStr">
        <is>
          <t>F0 / F4 / F6</t>
        </is>
      </c>
      <c r="H28" s="20" t="inlineStr">
        <is>
          <t>W5 ROB-Recovery
W1 MiBench-TC23</t>
        </is>
      </c>
      <c r="I28" s="20" t="inlineStr">
        <is>
          <t>ROB head已complete并可提交</t>
        </is>
      </c>
      <c r="J28" s="20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K28" s="20" t="inlineStr">
        <is>
          <t>重复/漏提交副作用是高风险SDC；只延后通常性能下降；错误释放会延迟传播</t>
        </is>
      </c>
      <c r="L28" s="20" t="inlineStr">
        <is>
          <t>直接监控提交事务原子性</t>
        </is>
      </c>
      <c r="M28" s="20" t="inlineStr">
        <is>
          <t>本方案结构化模型</t>
        </is>
      </c>
      <c r="N28" s="20" t="inlineStr">
        <is>
          <t>按序提交/精确异常/squash门控（功能约束，非ECC/parity）</t>
        </is>
      </c>
    </row>
    <row r="29" ht="37.15000152587891" customFormat="1" customHeight="1" s="16">
      <c r="A29" s="19" t="inlineStr">
        <is>
          <t>B10</t>
        </is>
      </c>
      <c r="B29" s="19" t="inlineStr">
        <is>
          <t>Int Dispatch / ROB</t>
        </is>
      </c>
      <c r="C29" s="20" t="inlineStr">
        <is>
          <t>ROB entry固定bit或状态掩码，持续影响复用该物理entry的多条指令。</t>
        </is>
      </c>
      <c r="D29" s="20" t="inlineStr">
        <is>
          <t>卡死</t>
        </is>
      </c>
      <c r="E29" s="20" t="inlineStr">
        <is>
          <t>选择PC/tag/complete/valid bit实施stuck-at-0/1。warm-up后固定一个bit/控制位，分别做stuck-at-0和stuck-at-1，每次经过均施加到结束；正确值本来等于卡死值时不增加activated。触发：warm-up后该物理ROB slot每次被分配。</t>
        </is>
      </c>
      <c r="F29" s="20" t="inlineStr">
        <is>
          <t>B10-a PC bit stuck-at-0/1；B10-b tag bit stuck-at-0/1；B10-c complete bit stuck-at-0/1；B10-d valid bit stuck-at-0/1</t>
        </is>
      </c>
      <c r="G29" s="20" t="inlineStr">
        <is>
          <t>F5</t>
        </is>
      </c>
      <c r="H29" s="20" t="inlineStr">
        <is>
          <t>W5 ROB-Recovery
W7 GAP-Selected</t>
        </is>
      </c>
      <c r="I29" s="20" t="inlineStr">
        <is>
          <t>warm-up后该物理ROB slot每次被分配</t>
        </is>
      </c>
      <c r="J29" s="20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K29" s="20" t="inlineStr">
        <is>
          <t>状态位卡死多为周期性Crash/Timeout；tag低位卡死可能形成重复、输入相关SDC</t>
        </is>
      </c>
      <c r="L29" s="20" t="inlineStr">
        <is>
          <t>覆盖永久缺陷和entry复用效应</t>
        </is>
      </c>
      <c r="M29" s="20" t="inlineStr">
        <is>
          <t>CHAOS26 stuck-at方法；TC23仅瞬态</t>
        </is>
      </c>
      <c r="N29" s="20" t="inlineStr">
        <is>
          <t>按序提交/精确异常/squash门控（功能约束，非ECC/parity）</t>
        </is>
      </c>
    </row>
    <row r="30" ht="37.15000152587891" customFormat="1" customHeight="1" s="16">
      <c r="A30" s="21" t="inlineStr">
        <is>
          <t>FD01</t>
        </is>
      </c>
      <c r="B30" s="21" t="inlineStr">
        <is>
          <t>FP/SIMD Decode</t>
        </is>
      </c>
      <c r="C30" s="22" t="inlineStr">
        <is>
          <t>FP/SIMD指令字锁存器，在译码前保存32-bit A64编码。</t>
        </is>
      </c>
      <c r="D30" s="22" t="inlineStr">
        <is>
          <t>单比特翻转</t>
        </is>
      </c>
      <c r="E30" s="22" t="inlineStr">
        <is>
          <t>在FP/SIMD译码读取前翻转指令字1 bit，按opcode/register/lane/immediate分层。每次运行只选一个当前有效字段，在字段内均匀抽1 bit做XOR；保存动态指令ID、原值、故障值和bit编号。仅当故障字段被下游读取/选择/用于状态转移时计activated。触发：有效FP或AdvSIMD指令进入decode。</t>
        </is>
      </c>
      <c r="F30" s="22" t="inlineStr">
        <is>
          <t>FD01-a opcode字段单bit；FD01-b V寄存器字段单bit；FD01-c lane字段单bit；FD01-d immediate字段单bit</t>
        </is>
      </c>
      <c r="G30" s="22" t="inlineStr">
        <is>
          <t>F0 / F1 / F2</t>
        </is>
      </c>
      <c r="H30" s="22" t="inlineStr">
        <is>
          <t>W8 FP-ScalarProbe
W9 NEON-LaneProbe</t>
        </is>
      </c>
      <c r="I30" s="22" t="inlineStr">
        <is>
          <t>有效FP或AdvSIMD指令进入decode</t>
        </is>
      </c>
      <c r="J30" s="22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K30" s="22" t="inlineStr">
        <is>
          <t>opcode位多导致类别/illegal；lane和寄存器位更可能产生逐lane静默错误</t>
        </is>
      </c>
      <c r="L30" s="22" t="inlineStr">
        <is>
          <t>建立FP/SIMD译码瞬态基线</t>
        </is>
      </c>
      <c r="M30" s="22" t="inlineStr">
        <is>
          <t>MICRO24整数decoder机制类比；无直接FP结果</t>
        </is>
      </c>
      <c r="N30" s="22" t="inlineStr">
        <is>
          <t>架构合法性/异常路径（非ECC/parity）</t>
        </is>
      </c>
    </row>
    <row r="31" ht="37.15000152587891" customFormat="1" customHeight="1" s="16">
      <c r="A31" s="21" t="inlineStr">
        <is>
          <t>FD02</t>
        </is>
      </c>
      <c r="B31" s="21" t="inlineStr">
        <is>
          <t>FP/SIMD Decode</t>
        </is>
      </c>
      <c r="C31" s="22" t="inlineStr">
        <is>
          <t>同一FP/SIMD指令字锁存器。</t>
        </is>
      </c>
      <c r="D31" s="22" t="inlineStr">
        <is>
          <t>双比特翻转</t>
        </is>
      </c>
      <c r="E31" s="22" t="inlineStr">
        <is>
          <t>同一指令字双bit翻转，区分同字段与跨字段。同一字段同时翻转2个不同bit，50%相邻、50%非相邻；两bit在同一事件生效，不与其他字段叠加。保存bit距离和原/故障值。仅当字段被消费时计activated。触发：有效FP或AdvSIMD指令进入decode。</t>
        </is>
      </c>
      <c r="F31" s="22" t="inlineStr">
        <is>
          <t>FD02-a 同字段相邻双bit；FD02-b 同字段非相邻双bit；FD02-c opcode/lane跨字段双bit</t>
        </is>
      </c>
      <c r="G31" s="22" t="inlineStr">
        <is>
          <t>F0 / F2</t>
        </is>
      </c>
      <c r="H31" s="22" t="inlineStr">
        <is>
          <t>W8 FP-ScalarProbe
W9 NEON-LaneProbe</t>
        </is>
      </c>
      <c r="I31" s="22" t="inlineStr">
        <is>
          <t>有效FP或AdvSIMD指令进入decode</t>
        </is>
      </c>
      <c r="J31" s="22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K31" s="22" t="inlineStr">
        <is>
          <t>跨字段错误可能同时改变操作和lane布局，结果更极化</t>
        </is>
      </c>
      <c r="L31" s="22" t="inlineStr">
        <is>
          <t>覆盖MBU和多状态位错误</t>
        </is>
      </c>
      <c r="M31" s="22" t="inlineStr">
        <is>
          <t>MICRO24/CHAOS26类比</t>
        </is>
      </c>
      <c r="N31" s="22" t="inlineStr">
        <is>
          <t>架构合法性/异常路径（非ECC/parity）</t>
        </is>
      </c>
    </row>
    <row r="32" ht="37.15000152587891" customFormat="1" customHeight="1" s="16">
      <c r="A32" s="21" t="inlineStr">
        <is>
          <t>FD03</t>
        </is>
      </c>
      <c r="B32" s="21" t="inlineStr">
        <is>
          <t>FP/SIMD Decode</t>
        </is>
      </c>
      <c r="C32" s="22" t="inlineStr">
        <is>
          <t>FP/SIMD opClass与具体操作选择输出。</t>
        </is>
      </c>
      <c r="D32" s="22" t="inlineStr">
        <is>
          <t>换值</t>
        </is>
      </c>
      <c r="E32" s="22" t="inlineStr">
        <is>
          <t>在操作数布局兼容的集合内做合法替换，如FADD↔FSUB、ADD↔SUB、MIN↔MAX。从当前有效且生命周期合法的候选集合中选择另一个合法值；禁止空闲、越界或编码非法候选。保存source/target和候选集大小。仅当替换值被消费时计activated。触发：存在同布局合法候选opClass。</t>
        </is>
      </c>
      <c r="F32" s="22" t="inlineStr">
        <is>
          <t>FD03-a FADD↔FSUB；FD03-b ADD↔SUB；FD03-c MIN↔MAX；FD03-d 跨延迟opClass合法换值</t>
        </is>
      </c>
      <c r="G32" s="22" t="inlineStr">
        <is>
          <t>F0 / F2 / F6</t>
        </is>
      </c>
      <c r="H32" s="22" t="inlineStr">
        <is>
          <t>W8 FP-ScalarProbe
W10 PolyBench</t>
        </is>
      </c>
      <c r="I32" s="22" t="inlineStr">
        <is>
          <t>存在同布局合法候选opClass</t>
        </is>
      </c>
      <c r="J32" s="22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K32" s="22" t="inlineStr">
        <is>
          <t>合法算子替换通常无异常且易SDC；除零/sqrt等跨延迟替换还会改变完成时序</t>
        </is>
      </c>
      <c r="L32" s="22" t="inlineStr">
        <is>
          <t>研究合法但错误语义</t>
        </is>
      </c>
      <c r="M32" s="22" t="inlineStr">
        <is>
          <t>本方案结构化模型</t>
        </is>
      </c>
      <c r="N32" s="22" t="inlineStr">
        <is>
          <t>架构合法性/异常路径（非ECC/parity）</t>
        </is>
      </c>
    </row>
    <row r="33" ht="37.15000152587891" customFormat="1" customHeight="1" s="16">
      <c r="A33" s="21" t="inlineStr">
        <is>
          <t>FD04</t>
        </is>
      </c>
      <c r="B33" s="21" t="inlineStr">
        <is>
          <t>FP/SIMD Decode</t>
        </is>
      </c>
      <c r="C33" s="22" t="inlineStr">
        <is>
          <t>Vn/Vm/Vd寄存器字段和lane index字段。</t>
        </is>
      </c>
      <c r="D33" s="22" t="inlineStr">
        <is>
          <t>换值</t>
        </is>
      </c>
      <c r="E33" s="22" t="inlineStr">
        <is>
          <t>源/目的V寄存器换成另一活跃寄存器，或lane index换成另一合法lane；分别统计。从当前有效且生命周期合法的候选集合中选择另一个合法值；禁止空闲、越界或编码非法候选。保存source/target和候选集大小。仅当替换值被消费时计activated。触发：候选寄存器/lane集合非空。</t>
        </is>
      </c>
      <c r="F33" s="22" t="inlineStr">
        <is>
          <t>FD04-a 源V寄存器替换；FD04-b 目的V寄存器替换；FD04-c lane index替换；子模型分开统计</t>
        </is>
      </c>
      <c r="G33" s="22" t="inlineStr">
        <is>
          <t>F0 / F2 / F6</t>
        </is>
      </c>
      <c r="H33" s="22" t="inlineStr">
        <is>
          <t>W9 NEON-LaneProbe
W11 libjpeg-turbo-NEON</t>
        </is>
      </c>
      <c r="I33" s="22" t="inlineStr">
        <is>
          <t>候选寄存器/lane集合非空</t>
        </is>
      </c>
      <c r="J33" s="22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K33" s="22" t="inlineStr">
        <is>
          <t>合法寄存器/lane错选预期高SDC，且错误可能只影响一个lane而逃过粗粒度校验</t>
        </is>
      </c>
      <c r="L33" s="22" t="inlineStr">
        <is>
          <t>适配SIMD寄存器和lane选择</t>
        </is>
      </c>
      <c r="M33" s="22" t="inlineStr">
        <is>
          <t>本方案结构化模型</t>
        </is>
      </c>
      <c r="N33" s="22" t="inlineStr">
        <is>
          <t>架构合法性/异常路径（非ECC/parity）</t>
        </is>
      </c>
    </row>
    <row r="34" ht="37.15000152587891" customFormat="1" customHeight="1" s="16">
      <c r="A34" s="21" t="inlineStr">
        <is>
          <t>FD05</t>
        </is>
      </c>
      <c r="B34" s="21" t="inlineStr">
        <is>
          <t>FP/SIMD Decode</t>
        </is>
      </c>
      <c r="C34" s="22" t="inlineStr">
        <is>
          <t>scalar/vector模式、element width(8/16/32/64)和lane count控制。</t>
        </is>
      </c>
      <c r="D34" s="22" t="inlineStr">
        <is>
          <t>状态</t>
        </is>
      </c>
      <c r="E34" s="22" t="inlineStr">
        <is>
          <t>把模式或元素宽度替换为另一合法组合，保持原始128-bit操作数。清零、伪造、提前置位和延后清除分成独立子模型，每次运行只改变一种状态转移；记录前后状态机轨迹和关联动态指令。仅当错误状态参与仲裁/转移时计activated。触发：指令存在至少两种合法布局解释。</t>
        </is>
      </c>
      <c r="F34" s="22" t="inlineStr">
        <is>
          <t>FD05-a scalar↔vector模式；FD05-b element width 8/16/32/64换值；FD05-c lane count换值</t>
        </is>
      </c>
      <c r="G34" s="22" t="inlineStr">
        <is>
          <t>F0 / F2 / F6</t>
        </is>
      </c>
      <c r="H34" s="22" t="inlineStr">
        <is>
          <t>W9 NEON-LaneProbe
W10 PolyBench</t>
        </is>
      </c>
      <c r="I34" s="22" t="inlineStr">
        <is>
          <t>指令存在至少两种合法布局解释</t>
        </is>
      </c>
      <c r="J34" s="22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K34" s="22" t="inlineStr">
        <is>
          <t>会把相同bit向量按不同lane解释，预期产生结构化多lane SDC；不兼容组合易illegal</t>
        </is>
      </c>
      <c r="L34" s="22" t="inlineStr">
        <is>
          <t>SIMD专属高价值结构化故障</t>
        </is>
      </c>
      <c r="M34" s="22" t="inlineStr">
        <is>
          <t>本方案结构化模型</t>
        </is>
      </c>
      <c r="N34" s="22" t="inlineStr">
        <is>
          <t>架构合法性/异常路径（非ECC/parity）</t>
        </is>
      </c>
    </row>
    <row r="35" ht="37.15000152587891" customFormat="1" customHeight="1" s="16">
      <c r="A35" s="21" t="inlineStr">
        <is>
          <t>FD06</t>
        </is>
      </c>
      <c r="B35" s="21" t="inlineStr">
        <is>
          <t>FP/SIMD Decode</t>
        </is>
      </c>
      <c r="C35" s="22" t="inlineStr">
        <is>
          <t>rounding mode、FPCR选择、flush-to-zero和exception enable相关控制。</t>
        </is>
      </c>
      <c r="D35" s="22" t="inlineStr">
        <is>
          <t>状态</t>
        </is>
      </c>
      <c r="E35" s="22" t="inlineStr">
        <is>
          <t>替换舍入模式、丢失FTZ/DN控制或错误选择FPCR快照；数据操作不变。清零、伪造、提前置位和延后清除分成独立子模型，每次运行只改变一种状态转移；记录前后状态机轨迹和关联动态指令。仅当错误状态参与仲裁/转移时计activated。触发：结果对FP控制敏感。</t>
        </is>
      </c>
      <c r="F35" s="22" t="inlineStr">
        <is>
          <t>FD06-a rounding mode换值；FD06-b FPCR快照选择错误；FD06-c FTZ/DN控制丢失；FD06-d exception enable换值</t>
        </is>
      </c>
      <c r="G35" s="22" t="inlineStr">
        <is>
          <t>F0 / F2 / F6</t>
        </is>
      </c>
      <c r="H35" s="22" t="inlineStr">
        <is>
          <t>W8 FP-ScalarProbe
W13 FP-ExceptionRecovery</t>
        </is>
      </c>
      <c r="I35" s="22" t="inlineStr">
        <is>
          <t>结果对FP控制敏感</t>
        </is>
      </c>
      <c r="J35" s="22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K35" s="22" t="inlineStr">
        <is>
          <t>普通输入可能掩蔽；边界值会产生1 ulp、NaN传播或异常标志差异，易成为小幅SDC</t>
        </is>
      </c>
      <c r="L35" s="22" t="inlineStr">
        <is>
          <t>FP语义特有，通用整数负载无法激活</t>
        </is>
      </c>
      <c r="M35" s="22" t="inlineStr">
        <is>
          <t>本方案结构化模型</t>
        </is>
      </c>
      <c r="N35" s="22" t="inlineStr">
        <is>
          <t>架构合法性/异常路径（非ECC/parity）</t>
        </is>
      </c>
    </row>
    <row r="36" ht="37.15000152587891" customFormat="1" customHeight="1" s="16">
      <c r="A36" s="21" t="inlineStr">
        <is>
          <t>FD07</t>
        </is>
      </c>
      <c r="B36" s="21" t="inlineStr">
        <is>
          <t>FP/SIMD Decode</t>
        </is>
      </c>
      <c r="C36" s="22" t="inlineStr">
        <is>
          <t>向量立即数、shuffle/permute控制和lane掩码拼接。</t>
        </is>
      </c>
      <c r="D36" s="22" t="inlineStr">
        <is>
          <t>错位拼接</t>
        </is>
      </c>
      <c r="E36" s="22" t="inlineStr">
        <is>
          <t>交换立即数片段、循环移位lane选择、互换两个shuffle selector或读取上一条掩码；各子模型独立。仅当生成的控制被执行时计activated。</t>
        </is>
      </c>
      <c r="F36" s="22" t="inlineStr">
        <is>
          <t>FD07-a 向量立即数片段交换；FD07-b lane选择循环移位；FD07-c shuffle selector互换；FD07-d 读取上一条lane mask</t>
        </is>
      </c>
      <c r="G36" s="22" t="inlineStr">
        <is>
          <t>F0 / F2 / F6</t>
        </is>
      </c>
      <c r="H36" s="22" t="inlineStr">
        <is>
          <t>W9 NEON-LaneProbe
W11 libjpeg-turbo-NEON</t>
        </is>
      </c>
      <c r="I36" s="22" t="inlineStr">
        <is>
          <t>命中immediate/permute/lane-select指令</t>
        </is>
      </c>
      <c r="J36" s="22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K36" s="22" t="inlineStr">
        <is>
          <t>结果往往仍是完整合法向量但lane次序错误，预期SDC高且可呈稳定模式</t>
        </is>
      </c>
      <c r="L36" s="22" t="inlineStr">
        <is>
          <t>适配SIMD重排数据通路</t>
        </is>
      </c>
      <c r="M36" s="22" t="inlineStr">
        <is>
          <t>本方案结构化模型</t>
        </is>
      </c>
      <c r="N36" s="22" t="inlineStr">
        <is>
          <t>架构合法性/异常路径（非ECC/parity）</t>
        </is>
      </c>
    </row>
    <row r="37" ht="37.15000152587891" customFormat="1" customHeight="1" s="16">
      <c r="A37" s="21" t="inlineStr">
        <is>
          <t>FD08</t>
        </is>
      </c>
      <c r="B37" s="21" t="inlineStr">
        <is>
          <t>FP/SIMD Decode</t>
        </is>
      </c>
      <c r="C37" s="22" t="inlineStr">
        <is>
          <t>复杂FP/SIMD指令的uop拆分、uop index和last-uop标志。</t>
        </is>
      </c>
      <c r="D37" s="22" t="inlineStr">
        <is>
          <t>状态/时序</t>
        </is>
      </c>
      <c r="E37" s="22" t="inlineStr">
        <is>
          <t>丢失、重复或互换一个uop，或提前last-uop。绑定一个动态指令/事件ID，提前、延后、丢失、重复分开执行；数据载荷保持正确。仅当下游因此读取旧值、漏发、重复或改变顺序时计activated。触发：FP/SIMD指令拆成至少2个uop。</t>
        </is>
      </c>
      <c r="F37" s="22" t="inlineStr">
        <is>
          <t>FD08-a 丢失一个FP/SIMD uop；FD08-b 重复一个uop；FD08-c 互换uop顺序；FD08-d 提前last-uop</t>
        </is>
      </c>
      <c r="G37" s="22" t="inlineStr">
        <is>
          <t>F0 / F4 / F6</t>
        </is>
      </c>
      <c r="H37" s="22" t="inlineStr">
        <is>
          <t>W9 NEON-LaneProbe
W10 PolyBench</t>
        </is>
      </c>
      <c r="I37" s="22" t="inlineStr">
        <is>
          <t>FP/SIMD指令拆成至少2个uop</t>
        </is>
      </c>
      <c r="J37" s="22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K37" s="22" t="inlineStr">
        <is>
          <t>可能只更新部分lane/累加阶段，静默产生半新半旧向量；计数不一致时Crash</t>
        </is>
      </c>
      <c r="L37" s="22" t="inlineStr">
        <is>
          <t>覆盖复杂向量指令序列</t>
        </is>
      </c>
      <c r="M37" s="22" t="inlineStr">
        <is>
          <t>本方案结构化模型</t>
        </is>
      </c>
      <c r="N37" s="22" t="inlineStr">
        <is>
          <t>架构合法性/异常路径（非ECC/parity）</t>
        </is>
      </c>
    </row>
    <row r="38" ht="37.15000152587891" customFormat="1" customHeight="1" s="16">
      <c r="A38" s="21" t="inlineStr">
        <is>
          <t>FD09</t>
        </is>
      </c>
      <c r="B38" s="21" t="inlineStr">
        <is>
          <t>FP/SIMD Decode</t>
        </is>
      </c>
      <c r="C38" s="22" t="inlineStr">
        <is>
          <t>decode valid/ready与输出锁存器，仅筛选FP/SIMD动态指令。</t>
        </is>
      </c>
      <c r="D38" s="22" t="inlineStr">
        <is>
          <t>时序</t>
        </is>
      </c>
      <c r="E38" s="22" t="inlineStr">
        <is>
          <t>提前读取旧FP tuple、延后、丢失或重复一次decode结果。绑定一个动态指令/事件ID，提前、延后、丢失、重复分开执行；数据载荷保持正确。仅当下游因此读取旧值、漏发、重复或改变顺序时计activated。触发：连续两条FP/SIMD指令且tuple不同。</t>
        </is>
      </c>
      <c r="F38" s="22" t="inlineStr">
        <is>
          <t>FD09-a 提前读取旧FP tuple；FD09-b 延后decode结果；FD09-c 丢失decode结果；FD09-d 重复decode结果</t>
        </is>
      </c>
      <c r="G38" s="22" t="inlineStr">
        <is>
          <t>F0 / F4 / F6</t>
        </is>
      </c>
      <c r="H38" s="22" t="inlineStr">
        <is>
          <t>W8 FP-ScalarProbe
W9 NEON-LaneProbe</t>
        </is>
      </c>
      <c r="I38" s="22" t="inlineStr">
        <is>
          <t>连续两条FP/SIMD指令且tuple不同</t>
        </is>
      </c>
      <c r="J38" s="22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K38" s="22" t="inlineStr">
        <is>
          <t>旧tuple复用可能导致合法错误执行；延后多为性能损失，丢失/重复可能破坏ROB计数</t>
        </is>
      </c>
      <c r="L38" s="22" t="inlineStr">
        <is>
          <t>将DelayAVF思想映射到周期级事件</t>
        </is>
      </c>
      <c r="M38" s="22" t="inlineStr">
        <is>
          <t>MICRO24方法论类比</t>
        </is>
      </c>
      <c r="N38" s="22" t="inlineStr">
        <is>
          <t>架构合法性/异常路径（非ECC/parity）</t>
        </is>
      </c>
    </row>
    <row r="39" ht="37.15000152587891" customFormat="1" customHeight="1" s="16">
      <c r="A39" s="23" t="inlineStr">
        <is>
          <t>FR01</t>
        </is>
      </c>
      <c r="B39" s="23" t="inlineStr">
        <is>
          <t>FP/SIMD Rename</t>
        </is>
      </c>
      <c r="C39" s="24" t="inlineStr">
        <is>
          <t>FP或Vec speculative RAT的V寄存器→物理寄存器映射项。</t>
        </is>
      </c>
      <c r="D39" s="24" t="inlineStr">
        <is>
          <t>单比特翻转</t>
        </is>
      </c>
      <c r="E39" s="24" t="inlineStr">
        <is>
          <t>在源查表或目的重命名前翻转一个当前FP/Vec物理tag bit。每次运行只选一个当前有效字段，在字段内均匀抽1 bit做XOR；保存动态指令ID、原值、故障值和bit编号。仅当故障字段被下游读取/选择/用于状态转移时计activated。触发：目标V寄存器有有效映射。</t>
        </is>
      </c>
      <c r="F39" s="24" t="inlineStr">
        <is>
          <t>FR01-a FP RAT源映射tag bit；FR01-b Vec RAT源映射tag bit；FR01-c 目的映射tag bit</t>
        </is>
      </c>
      <c r="G39" s="24" t="inlineStr">
        <is>
          <t>F0 / F1 / F2</t>
        </is>
      </c>
      <c r="H39" s="24" t="inlineStr">
        <is>
          <t>W8 FP-ScalarProbe
W9 NEON-LaneProbe</t>
        </is>
      </c>
      <c r="I39" s="24" t="inlineStr">
        <is>
          <t>目标V寄存器有有效映射</t>
        </is>
      </c>
      <c r="J39" s="24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K39" s="24" t="inlineStr">
        <is>
          <t>翻到活跃合法tag时产生错误整向量/标量并SDC；空闲tag多为依赖失败</t>
        </is>
      </c>
      <c r="L39" s="24" t="inlineStr">
        <is>
          <t>FP/Vec RAT瞬态基线</t>
        </is>
      </c>
      <c r="M39" s="24" t="inlineStr">
        <is>
          <t>无直接研究；Int RAT机制类比</t>
        </is>
      </c>
      <c r="N39" s="24" t="inlineStr">
        <is>
          <t>无已核实硬件校验保护；仅观测内部不变量</t>
        </is>
      </c>
    </row>
    <row r="40" ht="37.15000152587891" customFormat="1" customHeight="1" s="16">
      <c r="A40" s="23" t="inlineStr">
        <is>
          <t>FR02</t>
        </is>
      </c>
      <c r="B40" s="23" t="inlineStr">
        <is>
          <t>FP/SIMD Rename</t>
        </is>
      </c>
      <c r="C40" s="24" t="inlineStr">
        <is>
          <t>同一FP/Vec RAT tag。</t>
        </is>
      </c>
      <c r="D40" s="24" t="inlineStr">
        <is>
          <t>双比特翻转</t>
        </is>
      </c>
      <c r="E40" s="24" t="inlineStr">
        <is>
          <t>同一tag双bit翻转，并按相邻/非相邻分层。同一字段同时翻转2个不同bit，50%相邻、50%非相邻；两bit在同一事件生效，不与其他字段叠加。保存bit距离和原/故障值。仅当字段被消费时计activated。触发：目标映射将被当前FP/SIMD指令读取。</t>
        </is>
      </c>
      <c r="F40" s="24" t="inlineStr">
        <is>
          <t>FR02-a 同tag相邻双bit；FR02-b 同tag非相邻双bit；按FP/Vec tag分层</t>
        </is>
      </c>
      <c r="G40" s="24" t="inlineStr">
        <is>
          <t>F0 / F2</t>
        </is>
      </c>
      <c r="H40" s="24" t="inlineStr">
        <is>
          <t>W9 NEON-LaneProbe
W10 PolyBench</t>
        </is>
      </c>
      <c r="I40" s="24" t="inlineStr">
        <is>
          <t>目标映射将被当前FP/SIMD指令读取</t>
        </is>
      </c>
      <c r="J40" s="24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K40" s="24" t="inlineStr">
        <is>
          <t>合法tag命中率决定SDC；向量错误扇出可能高于标量</t>
        </is>
      </c>
      <c r="L40" s="24" t="inlineStr">
        <is>
          <t>覆盖MBU与类别容量差异</t>
        </is>
      </c>
      <c r="M40" s="24" t="inlineStr">
        <is>
          <t>CHAOS26多bit类比</t>
        </is>
      </c>
      <c r="N40" s="24" t="inlineStr">
        <is>
          <t>无已核实硬件校验保护；仅观测内部不变量</t>
        </is>
      </c>
    </row>
    <row r="41" ht="37.15000152587891" customFormat="1" customHeight="1" s="16">
      <c r="A41" s="23" t="inlineStr">
        <is>
          <t>FR03</t>
        </is>
      </c>
      <c r="B41" s="23" t="inlineStr">
        <is>
          <t>FP/SIMD Rename</t>
        </is>
      </c>
      <c r="C41" s="24" t="inlineStr">
        <is>
          <t>FP/Vec源物理tag和寄存器类别选择。</t>
        </is>
      </c>
      <c r="D41" s="24" t="inlineStr">
        <is>
          <t>换值</t>
        </is>
      </c>
      <c r="E41" s="24" t="inlineStr">
        <is>
          <t>把源tag换成另一活跃ready tag；FP↔Vec跨类别仅在宽度兼容时作为独立子模型。从当前有效且生命周期合法的候选集合中选择另一个合法值；禁止空闲、越界或编码非法候选。保存source/target和候选集大小。仅当替换值被消费时计activated。触发：兼容活跃候选tag非空。</t>
        </is>
      </c>
      <c r="F41" s="24" t="inlineStr">
        <is>
          <t>FR03-a FP源tag合法换值；FR03-b Vec源tag合法换值；FR03-c FP↔Vec跨类别换值（宽度兼容）</t>
        </is>
      </c>
      <c r="G41" s="24" t="inlineStr">
        <is>
          <t>F0 / F2 / F6</t>
        </is>
      </c>
      <c r="H41" s="24" t="inlineStr">
        <is>
          <t>W8 FP-ScalarProbe
W9 NEON-LaneProbe</t>
        </is>
      </c>
      <c r="I41" s="24" t="inlineStr">
        <is>
          <t>兼容活跃候选tag非空</t>
        </is>
      </c>
      <c r="J41" s="24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K41" s="24" t="inlineStr">
        <is>
          <t>合法旧值读取预期高SDC；跨类别错误可能表现为lane重解释</t>
        </is>
      </c>
      <c r="L41" s="24" t="inlineStr">
        <is>
          <t>覆盖合法错误依赖与类别选择</t>
        </is>
      </c>
      <c r="M41" s="24" t="inlineStr">
        <is>
          <t>本方案结构化模型</t>
        </is>
      </c>
      <c r="N41" s="24" t="inlineStr">
        <is>
          <t>无已核实硬件校验保护；仅观测内部不变量</t>
        </is>
      </c>
    </row>
    <row r="42" ht="37.15000152587891" customFormat="1" customHeight="1" s="16">
      <c r="A42" s="23" t="inlineStr">
        <is>
          <t>FR04</t>
        </is>
      </c>
      <c r="B42" s="23" t="inlineStr">
        <is>
          <t>FP/SIMD Rename</t>
        </is>
      </c>
      <c r="C42" s="24" t="inlineStr">
        <is>
          <t>FP/Vec目的new-dest和old-dest tag。</t>
        </is>
      </c>
      <c r="D42" s="24" t="inlineStr">
        <is>
          <t>换值</t>
        </is>
      </c>
      <c r="E42" s="24" t="inlineStr">
        <is>
          <t>分别替换new-dest为空闲合法tag、old-dest为另一活跃tag。从当前有效且生命周期合法的候选集合中选择另一个合法值；禁止空闲、越界或编码非法候选。保存source/target和候选集大小。仅当替换值被消费时计activated。触发：FP/SIMD目的需要分配。</t>
        </is>
      </c>
      <c r="F42" s="24" t="inlineStr">
        <is>
          <t>FR04-a FP/Vec new-dest替换；FR04-b FP/Vec old-dest替换；子模型分开统计</t>
        </is>
      </c>
      <c r="G42" s="24" t="inlineStr">
        <is>
          <t>F0 / F2 / F6</t>
        </is>
      </c>
      <c r="H42" s="24" t="inlineStr">
        <is>
          <t>W9 NEON-LaneProbe
W10 PolyBench</t>
        </is>
      </c>
      <c r="I42" s="24" t="inlineStr">
        <is>
          <t>FP/SIMD目的需要分配</t>
        </is>
      </c>
      <c r="J42" s="24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K42" s="24" t="inlineStr">
        <is>
          <t>错误new-dest可造成writeback/consumer错配；错误old-dest导致延迟释放错误</t>
        </is>
      </c>
      <c r="L42" s="24" t="inlineStr">
        <is>
          <t>区分即时数据路径和生命周期传播</t>
        </is>
      </c>
      <c r="M42" s="24" t="inlineStr">
        <is>
          <t>本方案结构化模型</t>
        </is>
      </c>
      <c r="N42" s="24" t="inlineStr">
        <is>
          <t>无已核实硬件校验保护；仅观测内部不变量</t>
        </is>
      </c>
    </row>
    <row r="43" ht="37.15000152587891" customFormat="1" customHeight="1" s="16">
      <c r="A43" s="23" t="inlineStr">
        <is>
          <t>FR05</t>
        </is>
      </c>
      <c r="B43" s="23" t="inlineStr">
        <is>
          <t>FP/SIMD Rename</t>
        </is>
      </c>
      <c r="C43" s="24" t="inlineStr">
        <is>
          <t>FP/Vec free list bitmap/队列与head。</t>
        </is>
      </c>
      <c r="D43" s="24" t="inlineStr">
        <is>
          <t>状态</t>
        </is>
      </c>
      <c r="E43" s="24" t="inlineStr">
        <is>
          <t>制造一个tag泄漏、重复分配或head合法跳转；FP和Vec池分开。清零、伪造、提前置位和延后清除分成独立子模型，每次运行只改变一种状态转移；记录前后状态机轨迹和关联动态指令。仅当错误状态参与仲裁/转移时计activated。触发：发生FP/Vec目的分配。</t>
        </is>
      </c>
      <c r="F43" s="24" t="inlineStr">
        <is>
          <t>FR05-a FP free-list泄漏；FR05-b Vec free-list泄漏；FR05-c 重复分配；FR05-d head合法跳转</t>
        </is>
      </c>
      <c r="G43" s="24" t="inlineStr">
        <is>
          <t>F0 / F2 / F6</t>
        </is>
      </c>
      <c r="H43" s="24" t="inlineStr">
        <is>
          <t>W9 NEON-LaneProbe
W10 PolyBench</t>
        </is>
      </c>
      <c r="I43" s="24" t="inlineStr">
        <is>
          <t>发生FP/Vec目的分配</t>
        </is>
      </c>
      <c r="J43" s="24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K43" s="24" t="inlineStr">
        <is>
          <t>泄漏导致资源耗尽；重复分配可能让两个向量目的相互覆盖并SDC</t>
        </is>
      </c>
      <c r="L43" s="24" t="inlineStr">
        <is>
          <t>适配独立物理寄存器池</t>
        </is>
      </c>
      <c r="M43" s="24" t="inlineStr">
        <is>
          <t>本方案结构化模型</t>
        </is>
      </c>
      <c r="N43" s="24" t="inlineStr">
        <is>
          <t>无已核实硬件校验保护；仅观测内部不变量</t>
        </is>
      </c>
    </row>
    <row r="44" ht="37.15000152587891" customFormat="1" customHeight="1" s="16">
      <c r="A44" s="23" t="inlineStr">
        <is>
          <t>FR06</t>
        </is>
      </c>
      <c r="B44" s="23" t="inlineStr">
        <is>
          <t>FP/SIMD Rename</t>
        </is>
      </c>
      <c r="C44" s="24" t="inlineStr">
        <is>
          <t>分支checkpoint中的FP/Vec RAT状态。</t>
        </is>
      </c>
      <c r="D44" s="24" t="inlineStr">
        <is>
          <t>换值</t>
        </is>
      </c>
      <c r="E44" s="24" t="inlineStr">
        <is>
          <t>mispredict恢复时选错checkpoint或恢复一个V寄存器的旧合法tag。从当前有效且生命周期合法的候选集合中选择另一个合法值；禁止空闲、越界或编码非法候选。保存source/target和候选集大小。仅当替换值被消费时计activated。触发：FP/SIMD活跃区间内发生嵌套分支squash。</t>
        </is>
      </c>
      <c r="F44" s="24" t="inlineStr">
        <is>
          <t>FR06-a 选择错误FP/Vec checkpoint；FR06-b 恢复旧V寄存器合法tag</t>
        </is>
      </c>
      <c r="G44" s="24" t="inlineStr">
        <is>
          <t>F0 / F2 / F6</t>
        </is>
      </c>
      <c r="H44" s="24" t="inlineStr">
        <is>
          <t>W10 PolyBench
W13 FP-ExceptionRecovery</t>
        </is>
      </c>
      <c r="I44" s="24" t="inlineStr">
        <is>
          <t>FP/SIMD活跃区间内发生嵌套分支squash</t>
        </is>
      </c>
      <c r="J44" s="24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K44" s="24" t="inlineStr">
        <is>
          <t>错误只在恢复后出现，潜伏距离长；旧向量值仍合法，SDC风险高</t>
        </is>
      </c>
      <c r="L44" s="24" t="inlineStr">
        <is>
          <t>覆盖投机恢复对FP状态的影响</t>
        </is>
      </c>
      <c r="M44" s="24" t="inlineStr">
        <is>
          <t>本方案结构化模型</t>
        </is>
      </c>
      <c r="N44" s="24" t="inlineStr">
        <is>
          <t>无已核实硬件校验保护；仅观测内部不变量</t>
        </is>
      </c>
    </row>
    <row r="45" ht="37.15000152587891" customFormat="1" customHeight="1" s="16">
      <c r="A45" s="23" t="inlineStr">
        <is>
          <t>FR07</t>
        </is>
      </c>
      <c r="B45" s="23" t="inlineStr">
        <is>
          <t>FP/SIMD Rename</t>
        </is>
      </c>
      <c r="C45" s="24" t="inlineStr">
        <is>
          <t>FP/Vec ready/busy scoreboard。</t>
        </is>
      </c>
      <c r="D45" s="24" t="inlineStr">
        <is>
          <t>状态</t>
        </is>
      </c>
      <c r="E45" s="24" t="inlineStr">
        <is>
          <t>提前ready、丢失ready或错误清除busy，不改变PRF内容。清零、伪造、提前置位和延后清除分成独立子模型，每次运行只改变一种状态转移；记录前后状态机轨迹和关联动态指令。仅当错误状态参与仲裁/转移时计activated。触发：消费者等待长延迟FP生产者。</t>
        </is>
      </c>
      <c r="F45" s="24" t="inlineStr">
        <is>
          <t>FR07-a 提前ready；FR07-b 丢失ready；FR07-c 错误清除busy</t>
        </is>
      </c>
      <c r="G45" s="24" t="inlineStr">
        <is>
          <t>F0 / F4 / F6</t>
        </is>
      </c>
      <c r="H45" s="24" t="inlineStr">
        <is>
          <t>W8 FP-ScalarProbe
W10 PolyBench</t>
        </is>
      </c>
      <c r="I45" s="24" t="inlineStr">
        <is>
          <t>消费者等待长延迟FP生产者</t>
        </is>
      </c>
      <c r="J45" s="24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K45" s="24" t="inlineStr">
        <is>
          <t>提前ready可读取旧向量，特别是div/sqrt长延迟；丢失ready多为Timeout</t>
        </is>
      </c>
      <c r="L45" s="24" t="inlineStr">
        <is>
          <t>长延迟FP使ready时序窗口更大</t>
        </is>
      </c>
      <c r="M45" s="24" t="inlineStr">
        <is>
          <t>本方案结构化模型</t>
        </is>
      </c>
      <c r="N45" s="24" t="inlineStr">
        <is>
          <t>无已核实硬件校验保护；仅观测内部不变量</t>
        </is>
      </c>
    </row>
    <row r="46" ht="24.75" customFormat="1" customHeight="1" s="16">
      <c r="A46" s="23" t="inlineStr">
        <is>
          <t>FR08</t>
        </is>
      </c>
      <c r="B46" s="23" t="inlineStr">
        <is>
          <t>FP/SIMD Rename</t>
        </is>
      </c>
      <c r="C46" s="24" t="inlineStr">
        <is>
          <t>标量写、窄lane写与全128-bit向量写的保留/清零/合并语义元数据。</t>
        </is>
      </c>
      <c r="D46" s="24" t="inlineStr">
        <is>
          <t>错位拼接</t>
        </is>
      </c>
      <c r="E46" s="24" t="inlineStr">
        <is>
          <t>把preserve/zero/merge选择换成另一合法模式，或把新lane与上一版本的错误lane拼接；每种规则独立。仅当后续读取受影响lane时activated。</t>
        </is>
      </c>
      <c r="F46" s="24" t="inlineStr">
        <is>
          <t>FR08-a preserve模式换值；FR08-b zero模式换值；FR08-c merge模式换值；FR08-d 新旧lane错误拼接</t>
        </is>
      </c>
      <c r="G46" s="24" t="inlineStr">
        <is>
          <t>F0 / F2 / F6</t>
        </is>
      </c>
      <c r="H46" s="24" t="inlineStr">
        <is>
          <t>W8 FP-ScalarProbe
W9 NEON-LaneProbe</t>
        </is>
      </c>
      <c r="I46" s="24" t="inlineStr">
        <is>
          <t>发生partial-width或lane写入并随后读取</t>
        </is>
      </c>
      <c r="J46" s="24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K46" s="24" t="inlineStr">
        <is>
          <t>产生半新半旧向量，易逃过标量结果检查；逐lane oracle可定位</t>
        </is>
      </c>
      <c r="L46" s="24" t="inlineStr">
        <is>
          <t>FP/SIMD重命名和物理值合并的专属结构化模型</t>
        </is>
      </c>
      <c r="M46" s="24" t="inlineStr">
        <is>
          <t>本方案结构化模型</t>
        </is>
      </c>
      <c r="N46" s="24" t="inlineStr">
        <is>
          <t>无已核实硬件校验保护；仅观测内部不变量</t>
        </is>
      </c>
    </row>
    <row r="47" ht="37.15000152587891" customFormat="1" customHeight="1" s="16">
      <c r="A47" s="23" t="inlineStr">
        <is>
          <t>FR09</t>
        </is>
      </c>
      <c r="B47" s="23" t="inlineStr">
        <is>
          <t>FP/SIMD Rename</t>
        </is>
      </c>
      <c r="C47" s="24" t="inlineStr">
        <is>
          <t>FP/Vec rename事务：RAT更新、free-list弹出、ROB/IQ分配。</t>
        </is>
      </c>
      <c r="D47" s="24" t="inlineStr">
        <is>
          <t>时序</t>
        </is>
      </c>
      <c r="E47" s="24" t="inlineStr">
        <is>
          <t>让一个子更新提前/延后/丢失或重复。绑定一个动态指令/事件ID，提前、延后、丢失、重复分开执行；数据载荷保持正确。仅当下游因此读取旧值、漏发、重复或改变顺序时计activated。触发：同周期多条FP/SIMD指令被重命名。</t>
        </is>
      </c>
      <c r="F47" s="24" t="inlineStr">
        <is>
          <t>FR09-a RAT更新提前/延后；FR09-b free-list弹出提前/延后；FR09-c ROB/IQ分配丢失/重复</t>
        </is>
      </c>
      <c r="G47" s="24" t="inlineStr">
        <is>
          <t>F0 / F4 / F6</t>
        </is>
      </c>
      <c r="H47" s="24" t="inlineStr">
        <is>
          <t>W9 NEON-LaneProbe
W10 PolyBench</t>
        </is>
      </c>
      <c r="I47" s="24" t="inlineStr">
        <is>
          <t>同周期多条FP/SIMD指令被重命名</t>
        </is>
      </c>
      <c r="J47" s="24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K47" s="24" t="inlineStr">
        <is>
          <t>跨结构不一致多为Crash/Timeout；一致但错误的合法tag可能SDC</t>
        </is>
      </c>
      <c r="L47" s="24" t="inlineStr">
        <is>
          <t>覆盖事务原子性和宽重命名</t>
        </is>
      </c>
      <c r="M47" s="24" t="inlineStr">
        <is>
          <t>MICRO24时延方法论类比</t>
        </is>
      </c>
      <c r="N47" s="24" t="inlineStr">
        <is>
          <t>无已核实硬件校验保护；仅观测内部不变量</t>
        </is>
      </c>
    </row>
    <row r="48" ht="37.15000152587891" customFormat="1" customHeight="1" s="16">
      <c r="A48" s="23" t="inlineStr">
        <is>
          <t>FR10</t>
        </is>
      </c>
      <c r="B48" s="23" t="inlineStr">
        <is>
          <t>FP/SIMD Rename</t>
        </is>
      </c>
      <c r="C48" s="24" t="inlineStr">
        <is>
          <t>FP/Vec RAT或free-list固定bit，持续跨多次事件。</t>
        </is>
      </c>
      <c r="D48" s="24" t="inlineStr">
        <is>
          <t>卡死</t>
        </is>
      </c>
      <c r="E48" s="24" t="inlineStr">
        <is>
          <t>选择FP/Vec tag bit或free-list bit实施stuck-at-0/1。warm-up后固定一个bit/控制位，分别做stuck-at-0和stuck-at-1，每次经过均施加到结束；正确值本来等于卡死值时不增加activated。触发：warm-up后每次相关FP/SIMD重命名。</t>
        </is>
      </c>
      <c r="F48" s="24" t="inlineStr">
        <is>
          <t>FR10-a FP/Vec RAT bit stuck-at-0；FR10-b FP/Vec RAT bit stuck-at-1；FR10-c free-list bit stuck-at-0；FR10-d free-list bit stuck-at-1</t>
        </is>
      </c>
      <c r="G48" s="24" t="inlineStr">
        <is>
          <t>F5</t>
        </is>
      </c>
      <c r="H48" s="24" t="inlineStr">
        <is>
          <t>W9 NEON-LaneProbe
W10 PolyBench</t>
        </is>
      </c>
      <c r="I48" s="24" t="inlineStr">
        <is>
          <t>warm-up后每次相关FP/SIMD重命名</t>
        </is>
      </c>
      <c r="J48" s="24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K48" s="24" t="inlineStr">
        <is>
          <t>资源耗尽、周期性别名或稳定lane错误；负载数据分布决定激活</t>
        </is>
      </c>
      <c r="L48" s="24" t="inlineStr">
        <is>
          <t>覆盖永久缺陷</t>
        </is>
      </c>
      <c r="M48" s="24" t="inlineStr">
        <is>
          <t>CHAOS26 stuck-at方法；无直接FP rename结果</t>
        </is>
      </c>
      <c r="N48" s="24" t="inlineStr">
        <is>
          <t>无已核实硬件校验保护；仅观测内部不变量</t>
        </is>
      </c>
    </row>
    <row r="49" ht="37.15000152587891" customFormat="1" customHeight="1" s="16">
      <c r="A49" s="25" t="inlineStr">
        <is>
          <t>FB01</t>
        </is>
      </c>
      <c r="B49" s="25" t="inlineStr">
        <is>
          <t>FP/SIMD Dispatch/ROB</t>
        </is>
      </c>
      <c r="C49" s="26" t="inlineStr">
        <is>
          <t>共享ROB中由FP/SIMD动态指令占用的entry字段。</t>
        </is>
      </c>
      <c r="D49" s="26" t="inlineStr">
        <is>
          <t>单比特翻转</t>
        </is>
      </c>
      <c r="E49" s="26" t="inlineStr">
        <is>
          <t>只在FP/SIMD entry中翻转PC/tag/seq字段1 bit。每次运行只选一个当前有效字段，在字段内均匀抽1 bit做XOR；保存动态指令ID、原值、故障值和bit编号。仅当故障字段被下游读取/选择/用于状态转移时计activated。触发：ROB中存在有效FP/SIMD entry。</t>
        </is>
      </c>
      <c r="F49" s="26" t="inlineStr">
        <is>
          <t>FB01-a PC字段单bit；FB01-b tag字段单bit；FB01-c seq字段单bit；仅统计FP/SIMD动态entry</t>
        </is>
      </c>
      <c r="G49" s="26" t="inlineStr">
        <is>
          <t>F0 / F1 / F2</t>
        </is>
      </c>
      <c r="H49" s="26" t="inlineStr">
        <is>
          <t>W10 PolyBench
W13 FP-ExceptionRecovery</t>
        </is>
      </c>
      <c r="I49" s="26" t="inlineStr">
        <is>
          <t>ROB中存在有效FP/SIMD entry</t>
        </is>
      </c>
      <c r="J49" s="2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K49" s="26" t="inlineStr">
        <is>
          <t>TC'23整数ROB先验是SDC接近0；FP长延迟和异常状态可能改变传播比例，需实测</t>
        </is>
      </c>
      <c r="L49" s="26" t="inlineStr">
        <is>
          <t>把共享物理结构按激活指令类型分层</t>
        </is>
      </c>
      <c r="M49" s="26" t="inlineStr">
        <is>
          <t>TC23结构直接但FP激活域未覆盖</t>
        </is>
      </c>
      <c r="N49" s="26" t="inlineStr">
        <is>
          <t>按序提交/精确异常/squash门控（功能约束，非ECC/parity）</t>
        </is>
      </c>
    </row>
    <row r="50" ht="37.15000152587891" customFormat="1" customHeight="1" s="16">
      <c r="A50" s="25" t="inlineStr">
        <is>
          <t>FB02</t>
        </is>
      </c>
      <c r="B50" s="25" t="inlineStr">
        <is>
          <t>FP/SIMD Dispatch/ROB</t>
        </is>
      </c>
      <c r="C50" s="26" t="inlineStr">
        <is>
          <t>同一FP/SIMD ROB entry字段。</t>
        </is>
      </c>
      <c r="D50" s="26" t="inlineStr">
        <is>
          <t>双比特翻转</t>
        </is>
      </c>
      <c r="E50" s="26" t="inlineStr">
        <is>
          <t>同一字段双bit翻转。同一字段同时翻转2个不同bit，50%相邻、50%非相邻；两bit在同一事件生效，不与其他字段叠加。保存bit距离和原/故障值。仅当字段被消费时计activated。触发：ROB中存在有效FP/SIMD entry。</t>
        </is>
      </c>
      <c r="F50" s="26" t="inlineStr">
        <is>
          <t>FB02-a 同字段相邻双bit；FB02-b 同字段非相邻双bit；仅统计FP/SIMD动态entry</t>
        </is>
      </c>
      <c r="G50" s="26" t="inlineStr">
        <is>
          <t>F0 / F2</t>
        </is>
      </c>
      <c r="H50" s="26" t="inlineStr">
        <is>
          <t>W10 PolyBench
W13 FP-ExceptionRecovery</t>
        </is>
      </c>
      <c r="I50" s="26" t="inlineStr">
        <is>
          <t>ROB中存在有效FP/SIMD entry</t>
        </is>
      </c>
      <c r="J50" s="2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K50" s="26" t="inlineStr">
        <is>
          <t>依赖失败/Crash增加；合法tag替代仍可能静默</t>
        </is>
      </c>
      <c r="L50" s="26" t="inlineStr">
        <is>
          <t>检验ROB结论对MBU和FP域的稳健性</t>
        </is>
      </c>
      <c r="M50" s="26" t="inlineStr">
        <is>
          <t>TC23+CHAOS26类比</t>
        </is>
      </c>
      <c r="N50" s="26" t="inlineStr">
        <is>
          <t>按序提交/精确异常/squash门控（功能约束，非ECC/parity）</t>
        </is>
      </c>
    </row>
    <row r="51" ht="37.15000152587891" customFormat="1" customHeight="1" s="16">
      <c r="A51" s="25" t="inlineStr">
        <is>
          <t>FB03</t>
        </is>
      </c>
      <c r="B51" s="25" t="inlineStr">
        <is>
          <t>FP/SIMD Dispatch/ROB</t>
        </is>
      </c>
      <c r="C51" s="26" t="inlineStr">
        <is>
          <t>dispatch到FP/SIMD FU/opClass队列的steering和lane选择。</t>
        </is>
      </c>
      <c r="D51" s="26" t="inlineStr">
        <is>
          <t>换值</t>
        </is>
      </c>
      <c r="E51" s="26" t="inlineStr">
        <is>
          <t>把FU实例、兼容opClass端口或dispatch lane换为另一合法目的。从当前有效且生命周期合法的候选集合中选择另一个合法值；禁止空闲、越界或编码非法候选。保存source/target和候选集大小。仅当替换值被消费时计activated。触发：存在至少两个兼容FP/SIMD执行目的。</t>
        </is>
      </c>
      <c r="F51" s="26" t="inlineStr">
        <is>
          <t>FB03-a FU实例合法换值；FB03-b opClass端口合法换值；FB03-c dispatch lane合法换值</t>
        </is>
      </c>
      <c r="G51" s="26" t="inlineStr">
        <is>
          <t>F0 / F2 / F6</t>
        </is>
      </c>
      <c r="H51" s="26" t="inlineStr">
        <is>
          <t>W8 FP-ScalarProbe
W9 NEON-LaneProbe</t>
        </is>
      </c>
      <c r="I51" s="26" t="inlineStr">
        <is>
          <t>存在至少两个兼容FP/SIMD执行目的</t>
        </is>
      </c>
      <c r="J51" s="2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K51" s="26" t="inlineStr">
        <is>
          <t>兼容FU替换主要改变时序；错误opClass接受时可产生错误结果或完成延迟</t>
        </is>
      </c>
      <c r="L51" s="26" t="inlineStr">
        <is>
          <t>适配FP/SIMD资源选择</t>
        </is>
      </c>
      <c r="M51" s="26" t="inlineStr">
        <is>
          <t>本方案结构化模型</t>
        </is>
      </c>
      <c r="N51" s="26" t="inlineStr">
        <is>
          <t>按序提交/精确异常/squash门控（功能约束，非ECC/parity）</t>
        </is>
      </c>
    </row>
    <row r="52" ht="37.15000152587891" customFormat="1" customHeight="1" s="16">
      <c r="A52" s="25" t="inlineStr">
        <is>
          <t>FB04</t>
        </is>
      </c>
      <c r="B52" s="25" t="inlineStr">
        <is>
          <t>FP/SIMD Dispatch/ROB</t>
        </is>
      </c>
      <c r="C52" s="26" t="inlineStr">
        <is>
          <t>FP/SIMD operand-ready、issued和replay状态。</t>
        </is>
      </c>
      <c r="D52" s="26" t="inlineStr">
        <is>
          <t>状态</t>
        </is>
      </c>
      <c r="E52" s="26" t="inlineStr">
        <is>
          <t>提前ready/issued、丢失ready或伪造replay，不改操作数tag。清零、伪造、提前置位和延后清除分成独立子模型，每次运行只改变一种状态转移；记录前后状态机轨迹和关联动态指令。仅当错误状态参与仲裁/转移时计activated。触发：长延迟或依赖FP/SIMD uop等待。</t>
        </is>
      </c>
      <c r="F52" s="26" t="inlineStr">
        <is>
          <t>FB04-a 提前ready/issued；FB04-b 丢失ready；FB04-c 伪造replay；子模型分开统计</t>
        </is>
      </c>
      <c r="G52" s="26" t="inlineStr">
        <is>
          <t>F0 / F4 / F6</t>
        </is>
      </c>
      <c r="H52" s="26" t="inlineStr">
        <is>
          <t>W8 FP-ScalarProbe
W10 PolyBench</t>
        </is>
      </c>
      <c r="I52" s="26" t="inlineStr">
        <is>
          <t>长延迟或依赖FP/SIMD uop等待</t>
        </is>
      </c>
      <c r="J52" s="2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K52" s="26" t="inlineStr">
        <is>
          <t>提前发射读取旧值可SDC；丢失多为Timeout；伪造replay多为性能下降</t>
        </is>
      </c>
      <c r="L52" s="26" t="inlineStr">
        <is>
          <t>长延迟FP使就绪状态尤其敏感</t>
        </is>
      </c>
      <c r="M52" s="26" t="inlineStr">
        <is>
          <t>本方案结构化模型</t>
        </is>
      </c>
      <c r="N52" s="26" t="inlineStr">
        <is>
          <t>按序提交/精确异常/squash门控（功能约束，非ECC/parity）</t>
        </is>
      </c>
    </row>
    <row r="53" ht="37.15000152587891" customFormat="1" customHeight="1" s="16">
      <c r="A53" s="25" t="inlineStr">
        <is>
          <t>FB05</t>
        </is>
      </c>
      <c r="B53" s="25" t="inlineStr">
        <is>
          <t>FP/SIMD Dispatch/ROB</t>
        </is>
      </c>
      <c r="C53" s="26" t="inlineStr">
        <is>
          <t>ROB complete/done、FP exception pending和canCommit状态。</t>
        </is>
      </c>
      <c r="D53" s="26" t="inlineStr">
        <is>
          <t>状态</t>
        </is>
      </c>
      <c r="E53" s="26" t="inlineStr">
        <is>
          <t>提前complete、丢失done、丢失真实FP exception或伪造exception。清零、伪造、提前置位和延后清除分成独立子模型，每次运行只改变一种状态转移；记录前后状态机轨迹和关联动态指令。仅当错误状态参与仲裁/转移时计activated。触发：FP/SIMD uop即将完成或产生异常。</t>
        </is>
      </c>
      <c r="F53" s="26" t="inlineStr">
        <is>
          <t>FB05-a 提前complete；FB05-b 丢失done；FB05-c 丢失真实FP exception；FB05-d 伪造exception</t>
        </is>
      </c>
      <c r="G53" s="26" t="inlineStr">
        <is>
          <t>F0 / F2 / F6</t>
        </is>
      </c>
      <c r="H53" s="26" t="inlineStr">
        <is>
          <t>W8 FP-ScalarProbe
W13 FP-ExceptionRecovery</t>
        </is>
      </c>
      <c r="I53" s="26" t="inlineStr">
        <is>
          <t>FP/SIMD uop即将完成或产生异常</t>
        </is>
      </c>
      <c r="J53" s="2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K53" s="26" t="inlineStr">
        <is>
          <t>提前complete可能提交旧值；丢失exception可形成静默数值/FPSR错误；伪造exception多为Crash</t>
        </is>
      </c>
      <c r="L53" s="26" t="inlineStr">
        <is>
          <t>覆盖FP特有异常与ROB提交门控</t>
        </is>
      </c>
      <c r="M53" s="26" t="inlineStr">
        <is>
          <t>本方案结构化模型</t>
        </is>
      </c>
      <c r="N53" s="26" t="inlineStr">
        <is>
          <t>按序提交/精确异常/squash门控（功能约束，非ECC/parity）</t>
        </is>
      </c>
    </row>
    <row r="54" ht="37.15000152587891" customFormat="1" customHeight="1" s="16">
      <c r="A54" s="25" t="inlineStr">
        <is>
          <t>FB06</t>
        </is>
      </c>
      <c r="B54" s="25" t="inlineStr">
        <is>
          <t>FP/SIMD Dispatch/ROB</t>
        </is>
      </c>
      <c r="C54" s="26" t="inlineStr">
        <is>
          <t>FU完成事件携带的ROB index、物理目的tag和动态指令ID。</t>
        </is>
      </c>
      <c r="D54" s="26" t="inlineStr">
        <is>
          <t>换值</t>
        </is>
      </c>
      <c r="E54" s="26" t="inlineStr">
        <is>
          <t>把完成事件配到另一在飞且类型兼容的FP/SIMD entry/tag。从当前有效且生命周期合法的候选集合中选择另一个合法值；禁止空闲、越界或编码非法候选。保存source/target和候选集大小。仅当替换值被消费时计activated。触发：至少两个FP/SIMD操作同时在飞。</t>
        </is>
      </c>
      <c r="F54" s="26" t="inlineStr">
        <is>
          <t>FB06-a ROB index配对换值；FB06-b 目的tag配对换值；FB06-c 动态指令ID配对换值</t>
        </is>
      </c>
      <c r="G54" s="26" t="inlineStr">
        <is>
          <t>F0 / F2 / F6</t>
        </is>
      </c>
      <c r="H54" s="26" t="inlineStr">
        <is>
          <t>W10 PolyBench
W11 libjpeg-turbo-NEON</t>
        </is>
      </c>
      <c r="I54" s="26" t="inlineStr">
        <is>
          <t>至少两个FP/SIMD操作同时在飞</t>
        </is>
      </c>
      <c r="J54" s="2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K54" s="26" t="inlineStr">
        <is>
          <t>错误配对可让一条指令早完成、另一条永不完成；若值/tag仍自洽可能静默交换结果</t>
        </is>
      </c>
      <c r="L54" s="26" t="inlineStr">
        <is>
          <t>覆盖长延迟FU返回与ROB配对</t>
        </is>
      </c>
      <c r="M54" s="26" t="inlineStr">
        <is>
          <t>本方案结构化模型</t>
        </is>
      </c>
      <c r="N54" s="26" t="inlineStr">
        <is>
          <t>按序提交/精确异常/squash门控（功能约束，非ECC/parity）</t>
        </is>
      </c>
    </row>
    <row r="55" ht="37.15000152587891" customFormat="1" customHeight="1" s="16">
      <c r="A55" s="25" t="inlineStr">
        <is>
          <t>FB07</t>
        </is>
      </c>
      <c r="B55" s="25" t="inlineStr">
        <is>
          <t>FP/SIMD Dispatch/ROB</t>
        </is>
      </c>
      <c r="C55" s="26" t="inlineStr">
        <is>
          <t>writeback lane mask、element-enable和目的物理tag。</t>
        </is>
      </c>
      <c r="D55" s="26" t="inlineStr">
        <is>
          <t>错位拼接</t>
        </is>
      </c>
      <c r="E55" s="26" t="inlineStr">
        <is>
          <t>lane mask循环移位/互换，或把新结果的一部分lane与旧PRF值拼接；保持128-bit完整。仅当受影响lane随后被读或提交时activated。</t>
        </is>
      </c>
      <c r="F55" s="26" t="inlineStr">
        <is>
          <t>FB07-a lane mask循环移位；FB07-b lane mask互换；FB07-c element-enable错位；FB07-d 新旧lane错误拼接</t>
        </is>
      </c>
      <c r="G55" s="26" t="inlineStr">
        <is>
          <t>F0 / F2 / F6</t>
        </is>
      </c>
      <c r="H55" s="26" t="inlineStr">
        <is>
          <t>W9 NEON-LaneProbe
W11 libjpeg-turbo-NEON</t>
        </is>
      </c>
      <c r="I55" s="26" t="inlineStr">
        <is>
          <t>向量writeback且lane mask非平凡</t>
        </is>
      </c>
      <c r="J55" s="2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K55" s="26" t="inlineStr">
        <is>
          <t>产生半新半旧或lane错位向量，应用可能正常完成但结果错误，预期SDC高</t>
        </is>
      </c>
      <c r="L55" s="26" t="inlineStr">
        <is>
          <t>SIMD写回路径的专属结构化模型</t>
        </is>
      </c>
      <c r="M55" s="26" t="inlineStr">
        <is>
          <t>本方案结构化模型</t>
        </is>
      </c>
      <c r="N55" s="26" t="inlineStr">
        <is>
          <t>按序提交/精确异常/squash门控（功能约束，非ECC/parity）</t>
        </is>
      </c>
    </row>
    <row r="56" ht="37.15000152587891" customFormat="1" customHeight="1" s="16">
      <c r="A56" s="25" t="inlineStr">
        <is>
          <t>FB08</t>
        </is>
      </c>
      <c r="B56" s="25" t="inlineStr">
        <is>
          <t>FP/SIMD Dispatch/ROB</t>
        </is>
      </c>
      <c r="C56" s="26" t="inlineStr">
        <is>
          <t>FP/SIMD指令相关的squash与FU取消/结果抑制事件。</t>
        </is>
      </c>
      <c r="D56" s="26" t="inlineStr">
        <is>
          <t>时序</t>
        </is>
      </c>
      <c r="E56" s="26" t="inlineStr">
        <is>
          <t>squash/取消提前、延后、丢失或重复；绑定错误路径FP操作。绑定一个动态指令/事件ID，提前、延后、丢失、重复分开执行；数据载荷保持正确。仅当下游因此读取旧值、漏发、重复或改变顺序时计activated。触发：mispredict时存在未完成FP/SIMD操作。</t>
        </is>
      </c>
      <c r="F56" s="26" t="inlineStr">
        <is>
          <t>FB08-a squash提前/延后；FB08-b FU取消丢失；FB08-c 结果抑制丢失；FB08-d 取消重复</t>
        </is>
      </c>
      <c r="G56" s="26" t="inlineStr">
        <is>
          <t>F0 / F4 / F6</t>
        </is>
      </c>
      <c r="H56" s="26" t="inlineStr">
        <is>
          <t>W10 PolyBench
W13 FP-ExceptionRecovery</t>
        </is>
      </c>
      <c r="I56" s="26" t="inlineStr">
        <is>
          <t>mispredict时存在未完成FP/SIMD操作</t>
        </is>
      </c>
      <c r="J56" s="2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K56" s="26" t="inlineStr">
        <is>
          <t>丢失取消可能让错误路径结果写回或错误唤醒；重复取消多为性能/Timeout</t>
        </is>
      </c>
      <c r="L56" s="26" t="inlineStr">
        <is>
          <t>覆盖长延迟FP跨squash返回</t>
        </is>
      </c>
      <c r="M56" s="26" t="inlineStr">
        <is>
          <t>本方案结构化模型；MICRO24时延方法论</t>
        </is>
      </c>
      <c r="N56" s="26" t="inlineStr">
        <is>
          <t>按序提交/精确异常/squash门控（功能约束，非ECC/parity）</t>
        </is>
      </c>
    </row>
    <row r="57" ht="37.15000152587891" customFormat="1" customHeight="1" s="16">
      <c r="A57" s="25" t="inlineStr">
        <is>
          <t>FB09</t>
        </is>
      </c>
      <c r="B57" s="25" t="inlineStr">
        <is>
          <t>FP/SIMD Dispatch/ROB</t>
        </is>
      </c>
      <c r="C57" s="26" t="inlineStr">
        <is>
          <t>FP/SIMD commit、V寄存器架构映射更新、FPSR更新与old-dest释放事件。</t>
        </is>
      </c>
      <c r="D57" s="26" t="inlineStr">
        <is>
          <t>时序</t>
        </is>
      </c>
      <c r="E57" s="26" t="inlineStr">
        <is>
          <t>让其中一个子事件提前/延后/丢失/重复，分别执行。绑定一个动态指令/事件ID，提前、延后、丢失、重复分开执行；数据载荷保持正确。仅当下游因此读取旧值、漏发、重复或改变顺序时计activated。触发：FP/SIMD ROB head已完成可提交。</t>
        </is>
      </c>
      <c r="F57" s="26" t="inlineStr">
        <is>
          <t>FB09-a commit提前/延后；FB09-b V寄存器映射更新丢失/重复；FB09-c FPSR更新丢失/重复；FB09-d old-dest释放错误</t>
        </is>
      </c>
      <c r="G57" s="26" t="inlineStr">
        <is>
          <t>F0 / F4 / F6</t>
        </is>
      </c>
      <c r="H57" s="26" t="inlineStr">
        <is>
          <t>W8 FP-ScalarProbe
W13 FP-ExceptionRecovery</t>
        </is>
      </c>
      <c r="I57" s="26" t="inlineStr">
        <is>
          <t>FP/SIMD ROB head已完成可提交</t>
        </is>
      </c>
      <c r="J57" s="2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K57" s="26" t="inlineStr">
        <is>
          <t>V值与FPSR不同步、重复释放或漏提交可形成SDC/延迟use-after-free</t>
        </is>
      </c>
      <c r="L57" s="26" t="inlineStr">
        <is>
          <t>提交事务必须同时监控数据、状态和资源回收</t>
        </is>
      </c>
      <c r="M57" s="26" t="inlineStr">
        <is>
          <t>本方案结构化模型</t>
        </is>
      </c>
      <c r="N57" s="26" t="inlineStr">
        <is>
          <t>按序提交/精确异常/squash门控（功能约束，非ECC/parity）</t>
        </is>
      </c>
    </row>
    <row r="58" ht="37.15000152587891" customFormat="1" customHeight="1" s="16">
      <c r="A58" s="25" t="inlineStr">
        <is>
          <t>FB10</t>
        </is>
      </c>
      <c r="B58" s="25" t="inlineStr">
        <is>
          <t>FP/SIMD Dispatch/ROB</t>
        </is>
      </c>
      <c r="C58" s="26" t="inlineStr">
        <is>
          <t>FP激活ROB slot或完成状态固定bit，跨entry复用持续。</t>
        </is>
      </c>
      <c r="D58" s="26" t="inlineStr">
        <is>
          <t>卡死</t>
        </is>
      </c>
      <c r="E58" s="26" t="inlineStr">
        <is>
          <t>选择tag/complete/exception/lane-mask bit实施stuck-at-0/1。warm-up后固定一个bit/控制位，分别做stuck-at-0和stuck-at-1，每次经过均施加到结束；正确值本来等于卡死值时不增加activated。触发：warm-up后每次该slot被FP/SIMD指令占用。</t>
        </is>
      </c>
      <c r="F58" s="26" t="inlineStr">
        <is>
          <t>FB10-a tag bit stuck-at-0/1；FB10-b complete bit stuck-at-0/1；FB10-c exception bit stuck-at-0/1；FB10-d lane-mask bit stuck-at-0/1</t>
        </is>
      </c>
      <c r="G58" s="26" t="inlineStr">
        <is>
          <t>F5</t>
        </is>
      </c>
      <c r="H58" s="26" t="inlineStr">
        <is>
          <t>W9 NEON-LaneProbe
W10 PolyBench</t>
        </is>
      </c>
      <c r="I58" s="26" t="inlineStr">
        <is>
          <t>warm-up后每次该slot被FP/SIMD指令占用</t>
        </is>
      </c>
      <c r="J58" s="2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K58" s="26" t="inlineStr">
        <is>
          <t>周期性Crash/Timeout或稳定lane污染；FP异常状态卡死可能只对特殊值激活</t>
        </is>
      </c>
      <c r="L58" s="26" t="inlineStr">
        <is>
          <t>覆盖永久缺陷和数据相关激活</t>
        </is>
      </c>
      <c r="M58" s="26" t="inlineStr">
        <is>
          <t>CHAOS26 stuck-at方法；无直接FP ROB结果</t>
        </is>
      </c>
      <c r="N58" s="26" t="inlineStr">
        <is>
          <t>按序提交/精确异常/squash门控（功能约束，非ECC/parity）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2F6B6B"/>
    <outlinePr summaryBelow="1" summaryRight="1"/>
    <pageSetUpPr/>
  </sheetPr>
  <dimension ref="A1:F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5"/>
  <cols>
    <col width="12" customWidth="1" min="1" max="1"/>
    <col width="24" customWidth="1" min="2" max="2"/>
    <col width="70" customWidth="1" min="3" max="4"/>
    <col width="30" customWidth="1" min="5" max="5"/>
    <col width="58" customWidth="1" min="6" max="6"/>
  </cols>
  <sheetData>
    <row r="1" ht="34.04999923706055" customHeight="1">
      <c r="A1" s="7" t="inlineStr">
        <is>
          <t>层级</t>
        </is>
      </c>
      <c r="B1" s="7" t="inlineStr">
        <is>
          <t>名称</t>
        </is>
      </c>
      <c r="C1" s="7" t="inlineStr">
        <is>
          <t>定义</t>
        </is>
      </c>
      <c r="D1" s="7" t="inlineStr">
        <is>
          <t>必须采集量</t>
        </is>
      </c>
      <c r="E1" s="7" t="inlineStr">
        <is>
          <t>适用范围</t>
        </is>
      </c>
      <c r="F1" s="7" t="inlineStr">
        <is>
          <t>判定规则</t>
        </is>
      </c>
    </row>
    <row r="2" ht="96" customHeight="1">
      <c r="A2" s="6" t="inlineStr">
        <is>
          <t>L0</t>
        </is>
      </c>
      <c r="B2" s="6" t="inlineStr">
        <is>
          <t>注入与激活</t>
        </is>
      </c>
      <c r="C2" s="6" t="inlineStr">
        <is>
          <t>记录attempt、eligible、目标动态指令/entry/bit、注入时结构状态，以及故障字段是否被后续读取、选择或用于状态转移。</t>
        </is>
      </c>
      <c r="D2" s="6" t="inlineStr">
        <is>
          <t>attempted、eligible、activated、目标寿命、动态指令ID、ROB序号、commit序号、source/target</t>
        </is>
      </c>
      <c r="E2" s="6" t="inlineStr">
        <is>
          <t>全部</t>
        </is>
      </c>
      <c r="F2" s="6" t="inlineStr">
        <is>
          <t>未activated不进入SDC率分母；合法换值必须保存候选集</t>
        </is>
      </c>
    </row>
    <row r="3" ht="96" customHeight="1">
      <c r="A3" s="6" t="inlineStr">
        <is>
          <t>L1</t>
        </is>
      </c>
      <c r="B3" s="6" t="inlineStr">
        <is>
          <t>单元内部状态</t>
        </is>
      </c>
      <c r="C3" s="6" t="inlineStr">
        <is>
          <t>与同checkpoint的无故障影子状态逐事件比较：decode tuple；RAT/free-list/ready/checkpoint；ROB entry/head/tail/state。</t>
        </is>
      </c>
      <c r="D3" s="6" t="inlineStr">
        <is>
          <t>首个局部偏差周期；字段diff；映射唯一性；free+allocated守恒；ROB occupancy守恒；valid/complete合法转移</t>
        </is>
      </c>
      <c r="E3" s="6" t="inlineStr">
        <is>
          <t>全部，按单元定制</t>
        </is>
      </c>
      <c r="F3" s="6" t="inlineStr">
        <is>
          <t>局部偏差不等于架构错误；保留首次差异和是否恢复</t>
        </is>
      </c>
    </row>
    <row r="4" ht="96" customHeight="1">
      <c r="A4" s="6" t="inlineStr">
        <is>
          <t>L2</t>
        </is>
      </c>
      <c r="B4" s="6" t="inlineStr">
        <is>
          <t>跨单元依赖与分派</t>
        </is>
      </c>
      <c r="C4" s="6" t="inlineStr">
        <is>
          <t>观察decode→rename→dispatch/IQ的src/dst tag、依赖边、FU/opClass steering、ready/issue/replay。</t>
        </is>
      </c>
      <c r="D4" s="6" t="inlineStr">
        <is>
          <t>arch/phys tag、producer-consumer边、IQ slot、FU实例、issue cycle、stall/replay、重复/漏发</t>
        </is>
      </c>
      <c r="E4" s="6" t="inlineStr">
        <is>
          <t>Rename、Dispatch重点</t>
        </is>
      </c>
      <c r="F4" s="6" t="inlineStr">
        <is>
          <t>与golden逐动态指令匹配；区分值正确但时序不同</t>
        </is>
      </c>
    </row>
    <row r="5" ht="96" customHeight="1">
      <c r="A5" s="6" t="inlineStr">
        <is>
          <t>L3</t>
        </is>
      </c>
      <c r="B5" s="6" t="inlineStr">
        <is>
          <t>执行与写回传播</t>
        </is>
      </c>
      <c r="C5" s="6" t="inlineStr">
        <is>
          <t>观察FU输入/输出、完成事件、writeback tag、lane mask、PRF写入和FPSR/exception。</t>
        </is>
      </c>
      <c r="D5" s="6" t="inlineStr">
        <is>
          <t>FU/opClass、输入/结果、完成周期、ROB index、物理tag、lane diff、异常标志、错误值扇出</t>
        </is>
      </c>
      <c r="E5" s="6" t="inlineStr">
        <is>
          <t>Dispatch/ROB与FP/SIMD重点</t>
        </is>
      </c>
      <c r="F5" s="6" t="inlineStr">
        <is>
          <t>记录首次错误执行、错误完成配对及是否被后续覆盖</t>
        </is>
      </c>
    </row>
    <row r="6" ht="96" customHeight="1">
      <c r="A6" s="6" t="inlineStr">
        <is>
          <t>L4</t>
        </is>
      </c>
      <c r="B6" s="6" t="inlineStr">
        <is>
          <t>架构可见与提交</t>
        </is>
      </c>
      <c r="C6" s="6" t="inlineStr">
        <is>
          <t>commit处逐条比较PC、opcode、架构src/dst、寄存器值、FPSR和内存副作用，检查按序和精确异常。</t>
        </is>
      </c>
      <c r="D6" s="6" t="inlineStr">
        <is>
          <t>首个分歧commit序号、错误寄存器/lane、异常、错误路径提交、漏/重复提交、错误store</t>
        </is>
      </c>
      <c r="E6" s="6" t="inlineStr">
        <is>
          <t>全部</t>
        </is>
      </c>
      <c r="F6" s="6" t="inlineStr">
        <is>
          <t>commit trace与golden对齐；时序差异单列，不自动算数据错误</t>
        </is>
      </c>
    </row>
    <row r="7" ht="96" customHeight="1">
      <c r="A7" s="6" t="inlineStr">
        <is>
          <t>L5</t>
        </is>
      </c>
      <c r="B7" s="6" t="inlineStr">
        <is>
          <t>检测与最终结局</t>
        </is>
      </c>
      <c r="C7" s="6" t="inlineStr">
        <is>
          <t>首个运行时检测层级分Hardware RAS、OS、Application、None；最终结局分Masked、Detected-contained、Data Corruption、Crash、Timeout。离线oracle不算运行时检测。</t>
        </is>
      </c>
      <c r="D7" s="6" t="inlineStr">
        <is>
          <t>首检层级、任意时点Hardware RAS、OS/应用证据、contained、输出diff、超时原因、Simulator failure</t>
        </is>
      </c>
      <c r="E7" s="6" t="inlineStr">
        <is>
          <t>全部</t>
        </is>
      </c>
      <c r="F7" s="6" t="inlineStr">
        <is>
          <t>只要 Hardware RAS 任意时点检出数为 0，Data Corruption、Crash、Timeout 均计入 SDC；OS/Application 首检不排除 SDC；Masked 与 Simulator failure 不计入 SDC；五类最终结局+Simulator failure与Activated按现有激活口径核对；首检四类=可分析Activated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2F6B6B"/>
    <outlinePr summaryBelow="1" summaryRight="1"/>
    <pageSetUpPr/>
  </sheetPr>
  <dimension ref="A1:F1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5"/>
  <cols>
    <col width="14" customWidth="1" min="1" max="1"/>
    <col width="26" customWidth="1" min="2" max="2"/>
    <col width="66" customWidth="1" min="3" max="3"/>
    <col width="34" customWidth="1" min="4" max="4"/>
    <col width="46" customWidth="1" min="5" max="5"/>
    <col width="44" customWidth="1" min="6" max="6"/>
  </cols>
  <sheetData>
    <row r="1" ht="34.04999923706055" customHeight="1">
      <c r="A1" s="7" t="inlineStr">
        <is>
          <t>档位</t>
        </is>
      </c>
      <c r="B1" s="7" t="inlineStr">
        <is>
          <t>名称</t>
        </is>
      </c>
      <c r="C1" s="7" t="inlineStr">
        <is>
          <t>定义</t>
        </is>
      </c>
      <c r="D1" s="7" t="inlineStr">
        <is>
          <t>适用故障</t>
        </is>
      </c>
      <c r="E1" s="7" t="inlineStr">
        <is>
          <t>设计意图</t>
        </is>
      </c>
      <c r="F1" s="7" t="inlineStr">
        <is>
          <t>统计单位</t>
        </is>
      </c>
    </row>
    <row r="2" ht="58.04999923706055" customHeight="1">
      <c r="A2" s="6" t="inlineStr">
        <is>
          <t>F0</t>
        </is>
      </c>
      <c r="B2" s="6" t="inlineStr">
        <is>
          <t>单次瞬态</t>
        </is>
      </c>
      <c r="C2" s="6" t="inlineStr">
        <is>
          <t>每次运行只注入1次；warm-up后在 eligible event 中均匀抽样</t>
        </is>
      </c>
      <c r="D2" s="6" t="inlineStr">
        <is>
          <t>瞬态/结构化</t>
        </is>
      </c>
      <c r="E2" s="6" t="inlineStr">
        <is>
          <t>论文对照与AVF主基线</t>
        </is>
      </c>
      <c r="F2" s="6" t="inlineStr">
        <is>
          <t>run-level独立样本</t>
        </is>
      </c>
    </row>
    <row r="3" ht="58.04999923706055" customHeight="1">
      <c r="A3" s="6" t="inlineStr">
        <is>
          <t>F1</t>
        </is>
      </c>
      <c r="B3" s="6" t="inlineStr">
        <is>
          <t>低频事件归一化</t>
        </is>
      </c>
      <c r="C3" s="6" t="inlineStr">
        <is>
          <t>平均每1,000,000个 eligible events 注入1次，间隔加入±50%抖动</t>
        </is>
      </c>
      <c r="D3" s="6" t="inlineStr">
        <is>
          <t>瞬态/结构化</t>
        </is>
      </c>
      <c r="E3" s="6" t="inlineStr">
        <is>
          <t>低频跨负载比较</t>
        </is>
      </c>
      <c r="F3" s="6" t="inlineStr">
        <is>
          <t>run-level cluster；事件级仅作传播记录</t>
        </is>
      </c>
    </row>
    <row r="4" ht="58.04999923706055" customHeight="1">
      <c r="A4" s="6" t="inlineStr">
        <is>
          <t>F2</t>
        </is>
      </c>
      <c r="B4" s="6" t="inlineStr">
        <is>
          <t>中频事件归一化</t>
        </is>
      </c>
      <c r="C4" s="6" t="inlineStr">
        <is>
          <t>平均每100,000个 eligible events 注入1次，间隔加入±50%抖动</t>
        </is>
      </c>
      <c r="D4" s="6" t="inlineStr">
        <is>
          <t>瞬态/结构化</t>
        </is>
      </c>
      <c r="E4" s="6" t="inlineStr">
        <is>
          <t>观察SDC/Crash转折</t>
        </is>
      </c>
      <c r="F4" s="6" t="inlineStr">
        <is>
          <t>run-level cluster；事件级仅作传播记录</t>
        </is>
      </c>
    </row>
    <row r="5" ht="58.04999923706055" customHeight="1">
      <c r="A5" s="6" t="inlineStr">
        <is>
          <t>F3</t>
        </is>
      </c>
      <c r="B5" s="6" t="inlineStr">
        <is>
          <t>高频压力</t>
        </is>
      </c>
      <c r="C5" s="6" t="inlineStr">
        <is>
          <t>平均每10,000个 eligible events 注入1次，间隔加入±50%抖动</t>
        </is>
      </c>
      <c r="D5" s="6" t="inlineStr">
        <is>
          <t>瞬态/结构化</t>
        </is>
      </c>
      <c r="E5" s="6" t="inlineStr">
        <is>
          <t>仅作压力上界</t>
        </is>
      </c>
      <c r="F5" s="6" t="inlineStr">
        <is>
          <t>run-level cluster；事件级仅作传播记录</t>
        </is>
      </c>
    </row>
    <row r="6" ht="58.04999923706055" customHeight="1">
      <c r="A6" s="6" t="inlineStr">
        <is>
          <t>F4</t>
        </is>
      </c>
      <c r="B6" s="6" t="inlineStr">
        <is>
          <t>短突发</t>
        </is>
      </c>
      <c r="C6" s="6" t="inlineStr">
        <is>
          <t>每100,000个 eligible events 触发一次，连续污染2-4个 eligible events</t>
        </is>
      </c>
      <c r="D6" s="6" t="inlineStr">
        <is>
          <t>时序/多周期突发</t>
        </is>
      </c>
      <c r="E6" s="6" t="inlineStr">
        <is>
          <t>共享控制线或短时延持续</t>
        </is>
      </c>
      <c r="F6" s="6" t="inlineStr">
        <is>
          <t>run-level cluster；事件级仅作传播记录</t>
        </is>
      </c>
    </row>
    <row r="7" ht="58.04999923706055" customHeight="1">
      <c r="A7" s="6" t="inlineStr">
        <is>
          <t>F5</t>
        </is>
      </c>
      <c r="B7" s="6" t="inlineStr">
        <is>
          <t>永久卡死</t>
        </is>
      </c>
      <c r="C7" s="6" t="inlineStr">
        <is>
          <t>warm-up后第一个 eligible event 起持续至运行结束；每次运行只选1 bit/字段</t>
        </is>
      </c>
      <c r="D7" s="6" t="inlineStr">
        <is>
          <t>永久stuck-at/固定掩码</t>
        </is>
      </c>
      <c r="E7" s="6" t="inlineStr">
        <is>
          <t>永久缺陷</t>
        </is>
      </c>
      <c r="F7" s="6" t="inlineStr">
        <is>
          <t>run-level独立样本</t>
        </is>
      </c>
    </row>
    <row r="8" ht="58.04999923706055" customHeight="1">
      <c r="A8" s="6" t="inlineStr">
        <is>
          <t>F6</t>
        </is>
      </c>
      <c r="B8" s="6" t="inlineStr">
        <is>
          <t>确定性事件触发</t>
        </is>
      </c>
      <c r="C8" s="6" t="inlineStr">
        <is>
          <t>首次出现指定稀有事件时注入1次，保证结构化模型被激活</t>
        </is>
      </c>
      <c r="D8" s="6" t="inlineStr">
        <is>
          <t>稀有结构化事件</t>
        </is>
      </c>
      <c r="E8" s="6" t="inlineStr">
        <is>
          <t>保证激活与传播调试</t>
        </is>
      </c>
      <c r="F8" s="6" t="inlineStr">
        <is>
          <t>run-level独立样本</t>
        </is>
      </c>
    </row>
    <row r="9" ht="58.04999923706055" customHeight="1">
      <c r="A9" s="6" t="n"/>
      <c r="B9" s="6" t="n"/>
      <c r="C9" s="6" t="n"/>
      <c r="D9" s="6" t="n"/>
      <c r="E9" s="6" t="n"/>
      <c r="F9" s="6" t="n"/>
    </row>
    <row r="10" ht="58.04999923706055" customHeight="1">
      <c r="A10" s="10" t="inlineStr">
        <is>
          <t>统计项</t>
        </is>
      </c>
      <c r="B10" s="10" t="inlineStr">
        <is>
          <t>规则/公式</t>
        </is>
      </c>
      <c r="C10" s="10" t="inlineStr">
        <is>
          <t>筛查目标</t>
        </is>
      </c>
      <c r="D10" s="10" t="inlineStr">
        <is>
          <t>主结果目标</t>
        </is>
      </c>
      <c r="E10" s="10" t="inlineStr">
        <is>
          <t>原因</t>
        </is>
      </c>
      <c r="F10" s="10" t="inlineStr">
        <is>
          <t>备注</t>
        </is>
      </c>
    </row>
    <row r="11" ht="58.04999923706055" customHeight="1">
      <c r="A11" s="6" t="inlineStr">
        <is>
          <t>分母与二维分类</t>
        </is>
      </c>
      <c r="B11" s="6" t="inlineStr">
        <is>
          <t>合法目标出现率=eligible/attempted；故障激活率=activated/eligible；可分析activated=activated-post_activation_simulator_failure；SDC=RAS-silent Data Corruption+RAS-silent Crash+RAS-silent Timeout；SDC率=SDC/可分析activated</t>
        </is>
      </c>
      <c r="C11" s="6" t="inlineStr">
        <is>
          <t>报告激活、结局、首检层级</t>
        </is>
      </c>
      <c r="D11" s="6" t="inlineStr">
        <is>
          <t>同左并给Wilson区间</t>
        </is>
      </c>
      <c r="E11" s="6" t="inlineStr">
        <is>
          <t>检测维度与最终表现维度分开；OS/Application 检出不排除 SDC；模拟器失败不进入 SDC</t>
        </is>
      </c>
      <c r="F11" s="6" t="inlineStr">
        <is>
          <t>检测维度与结局维度分开</t>
        </is>
      </c>
    </row>
    <row r="12" ht="58.04999923706055" customHeight="1">
      <c r="A12" s="6" t="inlineStr">
        <is>
          <t>工程预试验</t>
        </is>
      </c>
      <c r="B12" s="6" t="inlineStr">
        <is>
          <t>每个有效RunID先取得30个独立activated runs/clusters；注入器、配置、负载、checkpoint和oracle不变时可计入累计，否则作废重采</t>
        </is>
      </c>
      <c r="C12" s="6" t="n">
        <v>30</v>
      </c>
      <c r="D12" s="6" t="n">
        <v>30</v>
      </c>
      <c r="E12" s="6" t="inlineStr">
        <is>
          <t>检查注入器、负载、日志与oracle</t>
        </is>
      </c>
      <c r="F12" s="6" t="inlineStr">
        <is>
          <t>30个本身不承担统计精度保证</t>
        </is>
      </c>
    </row>
    <row r="13" ht="58.04999923706055" customHeight="1">
      <c r="A13" s="6" t="inlineStr">
        <is>
          <t>常规样本量</t>
        </is>
      </c>
      <c r="B13" s="6" t="inlineStr">
        <is>
          <t>最坏p=0.5，95%置信水平、半宽5pp：n=1.96²×0.5×0.5/0.05²=384.16，向上取整为385</t>
        </is>
      </c>
      <c r="C13" s="6" t="n">
        <v>385</v>
      </c>
      <c r="D13" s="6" t="n">
        <v>385</v>
      </c>
      <c r="E13" s="6" t="inlineStr">
        <is>
          <t>为全部有效RunID提供统一筛查精度</t>
        </is>
      </c>
      <c r="F13" s="6" t="inlineStr">
        <is>
          <t>报告Wilson 95%区间</t>
        </is>
      </c>
    </row>
    <row r="14" ht="58.04999923706055" customHeight="1">
      <c r="A14" s="6" t="inlineStr">
        <is>
          <t>重点样本量</t>
        </is>
      </c>
      <c r="B14" s="6" t="inlineStr">
        <is>
          <t>仅task_plan.md预登记的18个重点RunID累计到2401；n=1.96²×0.5×0.5/0.02²=2401</t>
        </is>
      </c>
      <c r="C14" s="6" t="inlineStr">
        <is>
          <t>—</t>
        </is>
      </c>
      <c r="D14" s="6" t="n">
        <v>2401</v>
      </c>
      <c r="E14" s="6" t="inlineStr">
        <is>
          <t>把重点比例的最坏绝对误差收窄到约±2pp</t>
        </is>
      </c>
      <c r="F14" s="6" t="inlineStr">
        <is>
          <t>2401包含前385；不适用于其余292项；不得序贯停止</t>
        </is>
      </c>
    </row>
    <row r="15" ht="58.04999923706055" customHeight="1">
      <c r="A15" s="6" t="inlineStr">
        <is>
          <t>随机化</t>
        </is>
      </c>
      <c r="B15" s="6" t="inlineStr">
        <is>
          <t>seed、entry、bit、eligible event分层随机；合法换值保存source/target</t>
        </is>
      </c>
      <c r="C15" s="6" t="inlineStr">
        <is>
          <t>固定seed清单</t>
        </is>
      </c>
      <c r="D15" s="6" t="inlineStr">
        <is>
          <t>每cell独立&gt;=5个seed批次</t>
        </is>
      </c>
      <c r="E15" s="6" t="inlineStr">
        <is>
          <t>避免程序相位、固定ROB slot和寄存器热点</t>
        </is>
      </c>
      <c r="F15" s="6" t="inlineStr">
        <is>
          <t>跨模型用common random numbers</t>
        </is>
      </c>
    </row>
    <row r="16" ht="58.04999923706055" customHeight="1">
      <c r="A16" s="6" t="inlineStr">
        <is>
          <t>超时</t>
        </is>
      </c>
      <c r="B16" s="6" t="inlineStr">
        <is>
          <t>golden sim time或committed inst的10倍，并设置绝对上限</t>
        </is>
      </c>
      <c r="C16" s="6" t="inlineStr">
        <is>
          <t>统一</t>
        </is>
      </c>
      <c r="D16" s="6" t="inlineStr">
        <is>
          <t>统一</t>
        </is>
      </c>
      <c r="E16" s="6" t="inlineStr">
        <is>
          <t>区分慢化和死锁</t>
        </is>
      </c>
      <c r="F16" s="6" t="inlineStr">
        <is>
          <t>F5可预注册更高上限</t>
        </is>
      </c>
    </row>
    <row r="17" ht="58.04999923706055" customHeight="1">
      <c r="A17" s="6" t="inlineStr">
        <is>
          <t>重复注入</t>
        </is>
      </c>
      <c r="B17" s="6" t="inlineStr">
        <is>
          <t>F1-F4最终结局归因于整次运行故障序列</t>
        </is>
      </c>
      <c r="C17" s="6" t="inlineStr">
        <is>
          <t>保存cluster ID</t>
        </is>
      </c>
      <c r="D17" s="6" t="inlineStr">
        <is>
          <t>cluster bootstrap区间</t>
        </is>
      </c>
      <c r="E17" s="6" t="inlineStr">
        <is>
          <t>同一运行内事件不独立</t>
        </is>
      </c>
      <c r="F17" s="6" t="inlineStr">
        <is>
          <t>不得把事件直接当Bernoulli样本</t>
        </is>
      </c>
    </row>
    <row r="18" ht="58.04999923706055" customHeight="1">
      <c r="A18" s="6" t="inlineStr">
        <is>
          <t>跨结构比较</t>
        </is>
      </c>
      <c r="B18" s="6" t="inlineStr">
        <is>
          <t>只比较同一频率口径、负载、activated定义和保护基线</t>
        </is>
      </c>
      <c r="C18" s="6" t="inlineStr">
        <is>
          <t>必须</t>
        </is>
      </c>
      <c r="D18" s="6" t="inlineStr">
        <is>
          <t>必须</t>
        </is>
      </c>
      <c r="E18" s="6" t="inlineStr">
        <is>
          <t>不同论文指标不可直接横比</t>
        </is>
      </c>
      <c r="F18" s="6" t="inlineStr">
        <is>
          <t>DelayAVF/AVF/条件SDC分开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F6B6B"/>
    <outlinePr summaryBelow="1" summaryRight="1"/>
    <pageSetUpPr/>
  </sheetPr>
  <dimension ref="A1:F1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5"/>
  <cols>
    <col width="12" customWidth="1" min="1" max="1"/>
    <col width="30" customWidth="1" min="2" max="2"/>
    <col width="24" customWidth="1" min="3" max="3"/>
    <col width="80" customWidth="1" min="4" max="4"/>
    <col width="46" customWidth="1" min="5" max="5"/>
    <col width="16" customWidth="1" min="6" max="6"/>
  </cols>
  <sheetData>
    <row r="1" ht="34.04999923706055" customHeight="1">
      <c r="A1" s="7" t="inlineStr">
        <is>
          <t>负载ID</t>
        </is>
      </c>
      <c r="B1" s="7" t="inlineStr">
        <is>
          <t>名称</t>
        </is>
      </c>
      <c r="C1" s="7" t="inlineStr">
        <is>
          <t>类型</t>
        </is>
      </c>
      <c r="D1" s="7" t="inlineStr">
        <is>
          <t>定义/输入与oracle</t>
        </is>
      </c>
      <c r="E1" s="7" t="inlineStr">
        <is>
          <t>主要覆盖单元</t>
        </is>
      </c>
      <c r="F1" s="7" t="inlineStr">
        <is>
          <t>模式</t>
        </is>
      </c>
    </row>
    <row r="2" ht="78" customHeight="1">
      <c r="A2" s="6" t="inlineStr">
        <is>
          <t>W0</t>
        </is>
      </c>
      <c r="B2" s="6" t="inlineStr">
        <is>
          <t>MiniCheck-OOO</t>
        </is>
      </c>
      <c r="C2" s="6" t="inlineStr">
        <is>
          <t>自设最小正确性探针</t>
        </is>
      </c>
      <c r="D2" s="6" t="inlineStr">
        <is>
          <t>短整数/FP/NEON 算术、依赖链、分支、异常恢复；逐提交 trace 和最终 hash 双 oracle</t>
        </is>
      </c>
      <c r="E2" s="6" t="inlineStr">
        <is>
          <t>全部；注入器冒烟与传播调试</t>
        </is>
      </c>
      <c r="F2" s="6" t="inlineStr">
        <is>
          <t>SE</t>
        </is>
      </c>
    </row>
    <row r="3" ht="78" customHeight="1">
      <c r="A3" s="6" t="inlineStr">
        <is>
          <t>W1</t>
        </is>
      </c>
      <c r="B3" s="6" t="inlineStr">
        <is>
          <t>MiBench-TC23</t>
        </is>
      </c>
      <c r="C3" s="6" t="inlineStr">
        <is>
          <t>公开/论文复现</t>
        </is>
      </c>
      <c r="D3" s="6" t="inlineStr">
        <is>
          <t>blowfish、patricia、fft、gsm、dijkstra、rijndael、sha、bitcount、edge、smooth；最大输入集；输出与 golden 比对</t>
        </is>
      </c>
      <c r="E3" s="6" t="inlineStr">
        <is>
          <t>Int Dispatch/ROB；与 TC'23 定性/定量对照</t>
        </is>
      </c>
      <c r="F3" s="6" t="inlineStr">
        <is>
          <t>FS优先</t>
        </is>
      </c>
    </row>
    <row r="4" ht="78" customHeight="1">
      <c r="A4" s="6" t="inlineStr">
        <is>
          <t>W2</t>
        </is>
      </c>
      <c r="B4" s="6" t="inlineStr">
        <is>
          <t>BEEBS-DelayAVF</t>
        </is>
      </c>
      <c r="C4" s="6" t="inlineStr">
        <is>
          <t>公开/论文复现</t>
        </is>
      </c>
      <c r="D4" s="6" t="inlineStr">
        <is>
          <t>md5、libbubblesort、libstrstr、matmult、libfibcall；固定输入和输出</t>
        </is>
      </c>
      <c r="E4" s="6" t="inlineStr">
        <is>
          <t>Int Decode；只对照时延故障排序，不比较绝对 SDC 率</t>
        </is>
      </c>
      <c r="F4" s="6" t="inlineStr">
        <is>
          <t>SE</t>
        </is>
      </c>
    </row>
    <row r="5" ht="78" customHeight="1">
      <c r="A5" s="6" t="inlineStr">
        <is>
          <t>W3</t>
        </is>
      </c>
      <c r="B5" s="6" t="inlineStr">
        <is>
          <t>A64-DecodeProbe</t>
        </is>
      </c>
      <c r="C5" s="6" t="inlineStr">
        <is>
          <t>自设定向负载</t>
        </is>
      </c>
      <c r="D5" s="6" t="inlineStr">
        <is>
          <t>系统覆盖 data-processing immediate/register、shift/extend、conditional select、branch、load/store 解码边界；每条指令有软件参考值和 expected decode tuple</t>
        </is>
      </c>
      <c r="E5" s="6" t="inlineStr">
        <is>
          <t>Int Decode</t>
        </is>
      </c>
      <c r="F5" s="6" t="inlineStr">
        <is>
          <t>SE</t>
        </is>
      </c>
    </row>
    <row r="6" ht="78" customHeight="1">
      <c r="A6" s="6" t="inlineStr">
        <is>
          <t>W4</t>
        </is>
      </c>
      <c r="B6" s="6" t="inlineStr">
        <is>
          <t>Rename-Dependency</t>
        </is>
      </c>
      <c r="C6" s="6" t="inlineStr">
        <is>
          <t>自设定向负载</t>
        </is>
      </c>
      <c r="D6" s="6" t="inlineStr">
        <is>
          <t>RAW/WAR/WAW 链、x0、同周期多目的、长活跃区间、寄存器压力、分支嵌套；检查映射唯一性和最终寄存器 hash</t>
        </is>
      </c>
      <c r="E6" s="6" t="inlineStr">
        <is>
          <t>Int Rename</t>
        </is>
      </c>
      <c r="F6" s="6" t="inlineStr">
        <is>
          <t>SE</t>
        </is>
      </c>
    </row>
    <row r="7" ht="78" customHeight="1">
      <c r="A7" s="6" t="inlineStr">
        <is>
          <t>W5</t>
        </is>
      </c>
      <c r="B7" s="6" t="inlineStr">
        <is>
          <t>ROB-Recovery</t>
        </is>
      </c>
      <c r="C7" s="6" t="inlineStr">
        <is>
          <t>自设定向负载</t>
        </is>
      </c>
      <c r="D7" s="6" t="inlineStr">
        <is>
          <t>深 ROB、长/短延迟混合、连续 mispredict、精确异常、squash 后重分派；逐提交 PC/opcode/目的和值比较</t>
        </is>
      </c>
      <c r="E7" s="6" t="inlineStr">
        <is>
          <t>Int Dispatch/ROB</t>
        </is>
      </c>
      <c r="F7" s="6" t="inlineStr">
        <is>
          <t>SE+FS子集</t>
        </is>
      </c>
    </row>
    <row r="8" ht="78" customHeight="1">
      <c r="A8" s="6" t="inlineStr">
        <is>
          <t>W6</t>
        </is>
      </c>
      <c r="B8" s="6" t="inlineStr">
        <is>
          <t>CoreMark+Embench</t>
        </is>
      </c>
      <c r="C8" s="6" t="inlineStr">
        <is>
          <t>公开通用</t>
        </is>
      </c>
      <c r="D8" s="6" t="inlineStr">
        <is>
          <t>CoreMark 与 Embench 全集；固定编译器/优化/输入；使用内置校验及输出 hash</t>
        </is>
      </c>
      <c r="E8" s="6" t="inlineStr">
        <is>
          <t>整数 OOO 全链</t>
        </is>
      </c>
      <c r="F8" s="6" t="inlineStr">
        <is>
          <t>SE/FS</t>
        </is>
      </c>
    </row>
    <row r="9" ht="78" customHeight="1">
      <c r="A9" s="6" t="inlineStr">
        <is>
          <t>W7</t>
        </is>
      </c>
      <c r="B9" s="6" t="inlineStr">
        <is>
          <t>GAP-Selected</t>
        </is>
      </c>
      <c r="C9" s="6" t="inlineStr">
        <is>
          <t>公开通用</t>
        </is>
      </c>
      <c r="D9" s="6" t="inlineStr">
        <is>
          <t>BFS、SSSP、PageRank；固定图和结果 hash；制造不规则依赖、长延迟和 ROB 压力</t>
        </is>
      </c>
      <c r="E9" s="6" t="inlineStr">
        <is>
          <t>Int Rename、Dispatch/ROB</t>
        </is>
      </c>
      <c r="F9" s="6" t="inlineStr">
        <is>
          <t>SE/FS</t>
        </is>
      </c>
    </row>
    <row r="10" ht="78" customHeight="1">
      <c r="A10" s="6" t="inlineStr">
        <is>
          <t>W8</t>
        </is>
      </c>
      <c r="B10" s="6" t="inlineStr">
        <is>
          <t>FP-ScalarProbe</t>
        </is>
      </c>
      <c r="C10" s="6" t="inlineStr">
        <is>
          <t>自设定向负载</t>
        </is>
      </c>
      <c r="D10" s="6" t="inlineStr">
        <is>
          <t>FP32/FP64 add/mul/div/sqrt/FMA、NaN/Inf/±0/subnormal、四种舍入、FP exception；位级结果与 FPSR/FPCR oracle</t>
        </is>
      </c>
      <c r="E10" s="6" t="inlineStr">
        <is>
          <t>FP/SIMD Decode、Rename、Dispatch/ROB</t>
        </is>
      </c>
      <c r="F10" s="6" t="inlineStr">
        <is>
          <t>SE</t>
        </is>
      </c>
    </row>
    <row r="11" ht="78" customHeight="1">
      <c r="A11" s="6" t="inlineStr">
        <is>
          <t>W9</t>
        </is>
      </c>
      <c r="B11" s="6" t="inlineStr">
        <is>
          <t>NEON-LaneProbe</t>
        </is>
      </c>
      <c r="C11" s="6" t="inlineStr">
        <is>
          <t>自设定向负载</t>
        </is>
      </c>
      <c r="D11" s="6" t="inlineStr">
        <is>
          <t>8/16/32/64-bit lane、整数/浮点 AdvSIMD、lane extract/insert、widen/narrow、permute、reduce；逐 lane 比对</t>
        </is>
      </c>
      <c r="E11" s="6" t="inlineStr">
        <is>
          <t>FP/SIMD 三单元</t>
        </is>
      </c>
      <c r="F11" s="6" t="inlineStr">
        <is>
          <t>SE</t>
        </is>
      </c>
    </row>
    <row r="12" ht="78" customHeight="1">
      <c r="A12" s="6" t="inlineStr">
        <is>
          <t>W10</t>
        </is>
      </c>
      <c r="B12" s="6" t="inlineStr">
        <is>
          <t>PolyBench</t>
        </is>
      </c>
      <c r="C12" s="6" t="inlineStr">
        <is>
          <t>公开通用</t>
        </is>
      </c>
      <c r="D12" s="6" t="inlineStr">
        <is>
          <t>gemm、2mm、lu、cholesky、jacobi-2d；固定规模；输出数组逐元素/容差双校验</t>
        </is>
      </c>
      <c r="E12" s="6" t="inlineStr">
        <is>
          <t>FP/SIMD 三单元与长依赖链</t>
        </is>
      </c>
      <c r="F12" s="6" t="inlineStr">
        <is>
          <t>SE</t>
        </is>
      </c>
    </row>
    <row r="13" ht="78" customHeight="1">
      <c r="A13" s="6" t="inlineStr">
        <is>
          <t>W11</t>
        </is>
      </c>
      <c r="B13" s="6" t="inlineStr">
        <is>
          <t>libjpeg-turbo-NEON</t>
        </is>
      </c>
      <c r="C13" s="6" t="inlineStr">
        <is>
          <t>真实应用</t>
        </is>
      </c>
      <c r="D13" s="6" t="inlineStr">
        <is>
          <t>固定图像做压缩/解压，启用 AArch64 NEON；逐像素、文件 hash 和格式合法性检查</t>
        </is>
      </c>
      <c r="E13" s="6" t="inlineStr">
        <is>
          <t>FP/SIMD 三单元</t>
        </is>
      </c>
      <c r="F13" s="6" t="inlineStr">
        <is>
          <t>SE/FS</t>
        </is>
      </c>
    </row>
    <row r="14" ht="78" customHeight="1">
      <c r="A14" s="6" t="inlineStr">
        <is>
          <t>W12</t>
        </is>
      </c>
      <c r="B14" s="6" t="inlineStr">
        <is>
          <t>SPEC CPU2017 SimPoint</t>
        </is>
      </c>
      <c r="C14" s="6" t="inlineStr">
        <is>
          <t>公开通用（需许可证）</t>
        </is>
      </c>
      <c r="D14" s="6" t="inlineStr">
        <is>
          <t>整数选 mcf/xalancbmk，浮点选 lbm/cam4；固定 SimPoint/checkpoint，主结论后复核</t>
        </is>
      </c>
      <c r="E14" s="6" t="inlineStr">
        <is>
          <t>外部有效性</t>
        </is>
      </c>
      <c r="F14" s="6" t="inlineStr">
        <is>
          <t>SE/FS</t>
        </is>
      </c>
    </row>
    <row r="15" ht="78" customHeight="1">
      <c r="A15" s="6" t="inlineStr">
        <is>
          <t>W13</t>
        </is>
      </c>
      <c r="B15" s="6" t="inlineStr">
        <is>
          <t>FP-ExceptionRecovery</t>
        </is>
      </c>
      <c r="C15" s="6" t="inlineStr">
        <is>
          <t>自设定向负载</t>
        </is>
      </c>
      <c r="D15" s="6" t="inlineStr">
        <is>
          <t>FP invalid/div0/overflow/underflow/inexact 与分支误预测/精确异常交叉；检查 FPSR、目的寄存器和提交边界</t>
        </is>
      </c>
      <c r="E15" s="6" t="inlineStr">
        <is>
          <t>FP/SIMD Dispatch/ROB</t>
        </is>
      </c>
      <c r="F15" s="6" t="inlineStr">
        <is>
          <t>FS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17365D"/>
    <outlinePr summaryBelow="1" summaryRight="1"/>
    <pageSetUpPr/>
  </sheetPr>
  <dimension ref="A1:AW311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3.5"/>
  <cols>
    <col width="18" customWidth="1" min="1" max="1"/>
    <col width="10" customWidth="1" min="2" max="2"/>
    <col width="24" customWidth="1" min="3" max="3"/>
    <col width="48" customWidth="1" min="4" max="4"/>
    <col width="18" customWidth="1" min="5" max="5"/>
    <col width="60" customWidth="1" min="6" max="6"/>
    <col width="9" customWidth="1" min="7" max="7"/>
    <col width="43" customWidth="1" min="8" max="8"/>
    <col width="28" customWidth="1" min="9" max="9"/>
    <col width="60" customWidth="1" min="10" max="10"/>
    <col width="32" customWidth="1" min="11" max="11"/>
    <col width="64" customWidth="1" min="12" max="12"/>
    <col width="44" customWidth="1" min="13" max="13"/>
    <col width="42" customWidth="1" min="14" max="14"/>
    <col width="34" customWidth="1" min="15" max="15"/>
    <col width="18" customWidth="1" min="16" max="16"/>
    <col width="12" customWidth="1" min="17" max="19"/>
    <col width="18" customWidth="1" min="20" max="20"/>
    <col width="16" customWidth="1" min="21" max="21"/>
    <col width="12" customWidth="1" min="22" max="23"/>
    <col width="18" customWidth="1" min="24" max="24"/>
    <col width="12" customWidth="1" min="25" max="25"/>
    <col width="14" customWidth="1" min="26" max="26"/>
    <col width="40" customWidth="1" min="27" max="27"/>
    <col width="10" customWidth="1" min="28" max="28"/>
    <col width="16" customWidth="1" min="29" max="29"/>
    <col width="12" customWidth="1" min="30" max="30"/>
    <col width="18" customWidth="1" min="31" max="31"/>
    <col width="16" customWidth="1" min="32" max="32"/>
    <col width="12" customWidth="1" min="33" max="33"/>
    <col width="20" customWidth="1" min="34" max="34"/>
    <col width="18" customWidth="1" min="35" max="36"/>
    <col width="36" customWidth="1" min="37" max="37"/>
    <col width="18" customWidth="1" min="38" max="41"/>
    <col width="16" customWidth="1" min="42" max="42"/>
    <col width="48" customWidth="1" min="43" max="43"/>
    <col width="12" customWidth="1" min="44" max="44"/>
    <col width="16" customWidth="1" min="45" max="45"/>
    <col width="12" customWidth="1" min="46" max="46"/>
    <col width="12" customWidth="1" min="47" max="47"/>
    <col width="14" customWidth="1" min="48" max="48"/>
    <col width="34" customWidth="1" min="49" max="49"/>
  </cols>
  <sheetData>
    <row r="1" ht="34" customHeight="1">
      <c r="A1" s="29" t="inlineStr">
        <is>
          <t>RunID</t>
        </is>
      </c>
      <c r="B1" s="29" t="inlineStr">
        <is>
          <t>模型ID</t>
        </is>
      </c>
      <c r="C1" s="29" t="inlineStr">
        <is>
          <t>单元</t>
        </is>
      </c>
      <c r="D1" s="29" t="inlineStr">
        <is>
          <t>注入位置（结构与正常作用）</t>
        </is>
      </c>
      <c r="E1" s="29" t="inlineStr">
        <is>
          <t>故障类型</t>
        </is>
      </c>
      <c r="F1" s="29" t="inlineStr">
        <is>
          <t>故障模型（实施步骤与激活口径）</t>
        </is>
      </c>
      <c r="G1" s="29" t="inlineStr">
        <is>
          <t>频率</t>
        </is>
      </c>
      <c r="H1" s="29" t="inlineStr">
        <is>
          <t>频率定义</t>
        </is>
      </c>
      <c r="I1" s="29" t="inlineStr">
        <is>
          <t>负载（真实名称）</t>
        </is>
      </c>
      <c r="J1" s="29" t="inlineStr">
        <is>
          <t>负载定义/oracle</t>
        </is>
      </c>
      <c r="K1" s="29" t="inlineStr">
        <is>
          <t>触发条件</t>
        </is>
      </c>
      <c r="L1" s="29" t="inlineStr">
        <is>
          <t>传播监控</t>
        </is>
      </c>
      <c r="M1" s="29" t="inlineStr">
        <is>
          <t>预期结果</t>
        </is>
      </c>
      <c r="N1" s="29" t="inlineStr">
        <is>
          <t>设计理由</t>
        </is>
      </c>
      <c r="O1" s="29" t="inlineStr">
        <is>
          <t>文献依据</t>
        </is>
      </c>
      <c r="P1" s="29" t="inlineStr">
        <is>
          <t>Seed/注入索引</t>
        </is>
      </c>
      <c r="Q1" s="29" t="inlineStr">
        <is>
          <t>Attempted</t>
        </is>
      </c>
      <c r="R1" s="29" t="inlineStr">
        <is>
          <t>Activated</t>
        </is>
      </c>
      <c r="S1" s="29" t="inlineStr">
        <is>
          <t>Masked</t>
        </is>
      </c>
      <c r="T1" s="29" t="inlineStr">
        <is>
          <t>Detected-contained</t>
        </is>
      </c>
      <c r="U1" s="29" t="inlineStr">
        <is>
          <t>Data Corruption</t>
        </is>
      </c>
      <c r="V1" s="29" t="inlineStr">
        <is>
          <t>Crash</t>
        </is>
      </c>
      <c r="W1" s="29" t="inlineStr">
        <is>
          <t>Timeout</t>
        </is>
      </c>
      <c r="X1" s="29" t="inlineStr">
        <is>
          <t>SDC率(可分析activated)</t>
        </is>
      </c>
      <c r="Y1" s="29" t="inlineStr">
        <is>
          <t>激活率</t>
        </is>
      </c>
      <c r="Z1" s="29" t="inlineStr">
        <is>
          <t>记录状态</t>
        </is>
      </c>
      <c r="AA1" s="29" t="inlineStr">
        <is>
          <t>实测备注</t>
        </is>
      </c>
      <c r="AB1" s="29" t="inlineStr">
        <is>
          <t>SDC</t>
        </is>
      </c>
      <c r="AC1" s="29" t="inlineStr">
        <is>
          <t>Hardware RAS首检（互斥）</t>
        </is>
      </c>
      <c r="AD1" s="29" t="inlineStr">
        <is>
          <t>OS首检（互斥）</t>
        </is>
      </c>
      <c r="AE1" s="29" t="inlineStr">
        <is>
          <t>Application首检（互斥）</t>
        </is>
      </c>
      <c r="AF1" s="29" t="inlineStr">
        <is>
          <t>None首检（互斥）</t>
        </is>
      </c>
      <c r="AG1" s="29" t="inlineStr">
        <is>
          <t>Contained</t>
        </is>
      </c>
      <c r="AH1" s="29" t="inlineStr">
        <is>
          <t>Detected-uncontained</t>
        </is>
      </c>
      <c r="AI1" s="29" t="inlineStr">
        <is>
          <t>RAS-silent Crash</t>
        </is>
      </c>
      <c r="AJ1" s="29" t="inlineStr">
        <is>
          <t>RAS-silent Timeout</t>
        </is>
      </c>
      <c r="AK1" s="29" t="inlineStr">
        <is>
          <t>检测/告警证据</t>
        </is>
      </c>
      <c r="AL1" s="29" t="inlineStr">
        <is>
          <t>硬件RAS检测率(任意时点)</t>
        </is>
      </c>
      <c r="AM1" s="29" t="inlineStr">
        <is>
          <t>检测计数差额（应为0）</t>
        </is>
      </c>
      <c r="AN1" s="29" t="inlineStr">
        <is>
          <t>结局计数差额（应为0）</t>
        </is>
      </c>
      <c r="AO1" s="29" t="inlineStr">
        <is>
          <t>Hardware RAS检测（任意时点）</t>
        </is>
      </c>
      <c r="AP1" s="29" t="inlineStr">
        <is>
          <t>Simulator failure</t>
        </is>
      </c>
      <c r="AQ1" s="29" t="inlineStr">
        <is>
          <t>故障表现形式/子模型</t>
        </is>
      </c>
      <c r="AR1" s="38" t="inlineStr">
        <is>
          <t>Eligible</t>
        </is>
      </c>
      <c r="AS1" s="38" t="inlineStr">
        <is>
          <t>合法目标出现率</t>
        </is>
      </c>
      <c r="AT1" s="38" t="inlineStr">
        <is>
          <t>Pilot目标</t>
        </is>
      </c>
      <c r="AU1" s="38" t="inlineStr">
        <is>
          <t>累计目标</t>
        </is>
      </c>
      <c r="AV1" s="38" t="inlineStr">
        <is>
          <t>样本层级</t>
        </is>
      </c>
      <c r="AW1" s="38" t="inlineStr">
        <is>
          <t>采样说明</t>
        </is>
      </c>
    </row>
    <row r="2" ht="118.0500030517578" customHeight="1">
      <c r="A2" s="6" t="inlineStr">
        <is>
          <t>D01-F0-W3</t>
        </is>
      </c>
      <c r="B2" s="6" t="inlineStr">
        <is>
          <t>D01</t>
        </is>
      </c>
      <c r="C2" s="6" t="inlineStr">
        <is>
          <t>Int Decode</t>
        </is>
      </c>
      <c r="D2" s="6" t="inlineStr">
        <is>
          <t>fetch/decode边界的32-bit A64指令字锁存器；保存本周期将被译码的原始指令。</t>
        </is>
      </c>
      <c r="E2" s="6" t="inlineStr">
        <is>
          <t>单比特翻转</t>
        </is>
      </c>
      <c r="F2" s="6" t="inlineStr">
        <is>
          <t>在译码读取前翻转指令字1 bit。每次运行只选一个当前有效字段，在字段内均匀抽1 bit做XOR；保存动态指令ID、原值、故障值和bit编号。仅当故障字段被下游读取/选择/用于状态转移时计activated。触发：有效A64整数指令进入decode。</t>
        </is>
      </c>
      <c r="G2" s="6" t="inlineStr">
        <is>
          <t>F0</t>
        </is>
      </c>
      <c r="H2" s="6" t="inlineStr">
        <is>
          <t>每次运行只注入1次；warm-up后在 eligible event 中均匀抽样</t>
        </is>
      </c>
      <c r="I2" s="6" t="inlineStr">
        <is>
          <t>W3 A64-DecodeProbe</t>
        </is>
      </c>
      <c r="J2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2" s="6" t="inlineStr">
        <is>
          <t>有效A64整数指令进入decode</t>
        </is>
      </c>
      <c r="L2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2" s="6" t="inlineStr">
        <is>
          <t>高位/major opcode翻转更易illegal或Crash；寄存器/立即数字段翻转更易产生合法但错误执行和SDC</t>
        </is>
      </c>
      <c r="N2" s="6" t="inlineStr">
        <is>
          <t>最基本瞬态基线；按字段分层统计，避免只得到整体平均</t>
        </is>
      </c>
      <c r="O2" s="6" t="inlineStr">
        <is>
          <t>IISWC15/TC23使用单bit基线；译码直接证据为MICRO24</t>
        </is>
      </c>
      <c r="P2" s="9" t="n"/>
      <c r="Q2" s="9" t="n"/>
      <c r="R2" s="9" t="n"/>
      <c r="S2" s="9" t="n"/>
      <c r="T2" s="9" t="n"/>
      <c r="U2" s="9" t="n"/>
      <c r="V2" s="9" t="n"/>
      <c r="W2" s="9" t="n"/>
      <c r="X2" s="12">
        <f>IF(OR(R2="",R2-AP2&lt;=0),"",AB2/(R2-AP2))</f>
        <v/>
      </c>
      <c r="Y2" s="12">
        <f>IFERROR(R2/AR2,0)</f>
        <v/>
      </c>
      <c r="Z2" s="9" t="inlineStr">
        <is>
          <t>待执行</t>
        </is>
      </c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12">
        <f>IF(OR(R2="",R2-AP2&lt;=0),"",AO2/(R2-AP2))</f>
        <v/>
      </c>
      <c r="AM2" s="11">
        <f>IF(R2="","",SUM(AC2:AF2)-(R2-AP2))</f>
        <v/>
      </c>
      <c r="AN2" s="11">
        <f>IF(R2="","",SUM(S2:W2)+AP2-R2)</f>
        <v/>
      </c>
      <c r="AO2" s="9" t="n"/>
      <c r="AP2" s="9" t="n"/>
      <c r="AQ2" s="27" t="inlineStr">
        <is>
          <t>D01-a opcode/主操作码字段；D01-b 源/目的寄存器字段；D01-c 立即数/移位字段；D01-d 标志与控制字段；每次只翻1 bit</t>
        </is>
      </c>
      <c r="AR2" s="39" t="n"/>
      <c r="AS2" s="39">
        <f>IFERROR(AR2/Q2,0)</f>
        <v/>
      </c>
      <c r="AT2" s="39" t="n">
        <v>30</v>
      </c>
      <c r="AU2" s="39" t="n">
        <v>385</v>
      </c>
      <c r="AV2" s="39" t="inlineStr">
        <is>
          <t>常规</t>
        </is>
      </c>
      <c r="AW2" s="39" t="inlineStr">
        <is>
          <t>累计至少385，不机械扩展到2401</t>
        </is>
      </c>
    </row>
    <row r="3" ht="118.0500030517578" customHeight="1">
      <c r="A3" s="6" t="inlineStr">
        <is>
          <t>D01-F0-W6</t>
        </is>
      </c>
      <c r="B3" s="6" t="inlineStr">
        <is>
          <t>D01</t>
        </is>
      </c>
      <c r="C3" s="6" t="inlineStr">
        <is>
          <t>Int Decode</t>
        </is>
      </c>
      <c r="D3" s="6" t="inlineStr">
        <is>
          <t>fetch/decode边界的32-bit A64指令字锁存器；保存本周期将被译码的原始指令。</t>
        </is>
      </c>
      <c r="E3" s="6" t="inlineStr">
        <is>
          <t>单比特翻转</t>
        </is>
      </c>
      <c r="F3" s="6" t="inlineStr">
        <is>
          <t>在译码读取前翻转指令字1 bit。每次运行只选一个当前有效字段，在字段内均匀抽1 bit做XOR；保存动态指令ID、原值、故障值和bit编号。仅当故障字段被下游读取/选择/用于状态转移时计activated。触发：有效A64整数指令进入decode。</t>
        </is>
      </c>
      <c r="G3" s="6" t="inlineStr">
        <is>
          <t>F0</t>
        </is>
      </c>
      <c r="H3" s="6" t="inlineStr">
        <is>
          <t>每次运行只注入1次；warm-up后在 eligible event 中均匀抽样</t>
        </is>
      </c>
      <c r="I3" s="6" t="inlineStr">
        <is>
          <t>W6 CoreMark+Embench</t>
        </is>
      </c>
      <c r="J3" s="6" t="inlineStr">
        <is>
          <t>CoreMark+Embench（公开通用）
执行定义与oracle：CoreMark 与 Embench 全集；固定编译器/优化/输入；使用内置校验及输出 hash</t>
        </is>
      </c>
      <c r="K3" s="6" t="inlineStr">
        <is>
          <t>有效A64整数指令进入decode</t>
        </is>
      </c>
      <c r="L3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3" s="6" t="inlineStr">
        <is>
          <t>高位/major opcode翻转更易illegal或Crash；寄存器/立即数字段翻转更易产生合法但错误执行和SDC</t>
        </is>
      </c>
      <c r="N3" s="6" t="inlineStr">
        <is>
          <t>最基本瞬态基线；按字段分层统计，避免只得到整体平均</t>
        </is>
      </c>
      <c r="O3" s="6" t="inlineStr">
        <is>
          <t>IISWC15/TC23使用单bit基线；译码直接证据为MICRO24</t>
        </is>
      </c>
      <c r="P3" s="9" t="n"/>
      <c r="Q3" s="9" t="n">
        <v>385</v>
      </c>
      <c r="R3" s="9" t="n">
        <v>385</v>
      </c>
      <c r="S3" s="9" t="n">
        <v>243</v>
      </c>
      <c r="T3" s="9" t="n">
        <v>0</v>
      </c>
      <c r="U3" s="9" t="n">
        <v>0</v>
      </c>
      <c r="V3" s="9" t="n">
        <v>142</v>
      </c>
      <c r="W3" s="9" t="n">
        <v>0</v>
      </c>
      <c r="X3" s="12">
        <f>IF(OR(R3="",R3-AP3&lt;=0),"",AB3/(R3-AP3))</f>
        <v/>
      </c>
      <c r="Y3" s="12">
        <f>IFERROR(R3/AR3,0)</f>
        <v/>
      </c>
      <c r="Z3" s="9" t="inlineStr">
        <is>
          <t>部分证据/待核对</t>
        </is>
      </c>
      <c r="AA3" s="9" t="inlineStr">
        <is>
          <t>[2026-10-12 formal 回填|0201|HEAD 5c200ff→本提交|binary 1a618953|触发=F0等价(cycle1000,max_faults1)|seed 按协议第10条formal派生] 已覆盖子模型:D01-a(opcode/主操作码字段,opcode_bitflip/transient_bit_flip@coremark):attempted 385/activated 385/Masked 243/Crash 142/SDC 0/Hang 0;P_DUE 36.9%[32.2,41.8](pilot 30%,一致)。本行=预登记重点(2401):现仅记录385层,2401扩样待全行子模型(b/c/d)齐后另行规划。未运行子模型:D01-b/c/d。负载注意:W6定义=CoreMark+Embench全集,本证据仅CoreMark→部分证据。证据:runs/formal_D01-F0-W6-a/c0000/results.jsonl;artifacts/formal_D01-F0-W6-a/summary.md;独立审计:主agent全集核验(385 distinct,r0000-r0384,385×f=1)</t>
        </is>
      </c>
      <c r="AB3" s="9" t="n">
        <v>0</v>
      </c>
      <c r="AC3" s="9" t="n">
        <v>0</v>
      </c>
      <c r="AD3" s="9" t="n">
        <v>142</v>
      </c>
      <c r="AE3" s="9" t="n">
        <v>0</v>
      </c>
      <c r="AF3" s="9" t="n">
        <v>243</v>
      </c>
      <c r="AG3" s="9" t="n"/>
      <c r="AH3" s="9" t="n"/>
      <c r="AI3" s="9" t="n"/>
      <c r="AJ3" s="9" t="n"/>
      <c r="AK3" s="9" t="inlineStr">
        <is>
          <t>SE口径推定首检:Masked→None;SDC→Application(oracle校验和);Crash/Hang→OS(abort/timeout看门狗);硬件RAS=0(B0无ECC/parity)</t>
        </is>
      </c>
      <c r="AL3" s="12">
        <f>IF(OR(R3="",R3-AP3&lt;=0),"",AO3/(R3-AP3))</f>
        <v/>
      </c>
      <c r="AM3" s="11">
        <f>IF(R3="","",SUM(AC3:AF3)-(R3-AP3))</f>
        <v/>
      </c>
      <c r="AN3" s="11">
        <f>IF(R3="","",SUM(S3:W3)+AP3-R3)</f>
        <v/>
      </c>
      <c r="AO3" s="9" t="n">
        <v>0</v>
      </c>
      <c r="AP3" s="9" t="n">
        <v>0</v>
      </c>
      <c r="AQ3" s="27" t="inlineStr">
        <is>
          <t>D01-a opcode/主操作码字段；D01-b 源/目的寄存器字段；D01-c 立即数/移位字段；D01-d 标志与控制字段；每次只翻1 bit</t>
        </is>
      </c>
      <c r="AR3" s="39" t="n"/>
      <c r="AS3" s="39">
        <f>IFERROR(AR3/Q3,0)</f>
        <v/>
      </c>
      <c r="AT3" s="39" t="n">
        <v>30</v>
      </c>
      <c r="AU3" s="39" t="n">
        <v>2401</v>
      </c>
      <c r="AV3" s="39" t="inlineStr">
        <is>
          <t>预登记重点</t>
        </is>
      </c>
      <c r="AW3" s="39" t="inlineStr">
        <is>
          <t>累计2401（含pilot与前385），不得序贯停止</t>
        </is>
      </c>
    </row>
    <row r="4" ht="118.0500030517578" customHeight="1">
      <c r="A4" s="6" t="inlineStr">
        <is>
          <t>D01-F1-W3</t>
        </is>
      </c>
      <c r="B4" s="6" t="inlineStr">
        <is>
          <t>D01</t>
        </is>
      </c>
      <c r="C4" s="6" t="inlineStr">
        <is>
          <t>Int Decode</t>
        </is>
      </c>
      <c r="D4" s="6" t="inlineStr">
        <is>
          <t>fetch/decode边界的32-bit A64指令字锁存器；保存本周期将被译码的原始指令。</t>
        </is>
      </c>
      <c r="E4" s="6" t="inlineStr">
        <is>
          <t>单比特翻转</t>
        </is>
      </c>
      <c r="F4" s="6" t="inlineStr">
        <is>
          <t>在译码读取前翻转指令字1 bit。每次运行只选一个当前有效字段，在字段内均匀抽1 bit做XOR；保存动态指令ID、原值、故障值和bit编号。仅当故障字段被下游读取/选择/用于状态转移时计activated。触发：有效A64整数指令进入decode。</t>
        </is>
      </c>
      <c r="G4" s="6" t="inlineStr">
        <is>
          <t>F1</t>
        </is>
      </c>
      <c r="H4" s="6" t="inlineStr">
        <is>
          <t>平均每1,000,000个 eligible events 注入1次，间隔加入±50%抖动</t>
        </is>
      </c>
      <c r="I4" s="6" t="inlineStr">
        <is>
          <t>W3 A64-DecodeProbe</t>
        </is>
      </c>
      <c r="J4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4" s="6" t="inlineStr">
        <is>
          <t>有效A64整数指令进入decode</t>
        </is>
      </c>
      <c r="L4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4" s="6" t="inlineStr">
        <is>
          <t>高位/major opcode翻转更易illegal或Crash；寄存器/立即数字段翻转更易产生合法但错误执行和SDC</t>
        </is>
      </c>
      <c r="N4" s="6" t="inlineStr">
        <is>
          <t>最基本瞬态基线；按字段分层统计，避免只得到整体平均</t>
        </is>
      </c>
      <c r="O4" s="6" t="inlineStr">
        <is>
          <t>IISWC15/TC23使用单bit基线；译码直接证据为MICRO24</t>
        </is>
      </c>
      <c r="P4" s="9" t="n"/>
      <c r="Q4" s="9" t="n"/>
      <c r="R4" s="9" t="n"/>
      <c r="S4" s="9" t="n"/>
      <c r="T4" s="9" t="n"/>
      <c r="U4" s="9" t="n"/>
      <c r="V4" s="9" t="n"/>
      <c r="W4" s="9" t="n"/>
      <c r="X4" s="12">
        <f>IF(OR(R4="",R4-AP4&lt;=0),"",AB4/(R4-AP4))</f>
        <v/>
      </c>
      <c r="Y4" s="12">
        <f>IFERROR(R4/AR4,0)</f>
        <v/>
      </c>
      <c r="Z4" s="9" t="inlineStr">
        <is>
          <t>待执行</t>
        </is>
      </c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12">
        <f>IF(OR(R4="",R4-AP4&lt;=0),"",AO4/(R4-AP4))</f>
        <v/>
      </c>
      <c r="AM4" s="11">
        <f>IF(R4="","",SUM(AC4:AF4)-(R4-AP4))</f>
        <v/>
      </c>
      <c r="AN4" s="11">
        <f>IF(R4="","",SUM(S4:W4)+AP4-R4)</f>
        <v/>
      </c>
      <c r="AO4" s="9" t="n"/>
      <c r="AP4" s="9" t="n"/>
      <c r="AQ4" s="27" t="inlineStr">
        <is>
          <t>D01-a opcode/主操作码字段；D01-b 源/目的寄存器字段；D01-c 立即数/移位字段；D01-d 标志与控制字段；每次只翻1 bit</t>
        </is>
      </c>
      <c r="AR4" s="39" t="n"/>
      <c r="AS4" s="39">
        <f>IFERROR(AR4/Q4,0)</f>
        <v/>
      </c>
      <c r="AT4" s="39" t="n">
        <v>30</v>
      </c>
      <c r="AU4" s="39" t="n">
        <v>385</v>
      </c>
      <c r="AV4" s="39" t="inlineStr">
        <is>
          <t>常规</t>
        </is>
      </c>
      <c r="AW4" s="39" t="inlineStr">
        <is>
          <t>累计至少385，不机械扩展到2401</t>
        </is>
      </c>
    </row>
    <row r="5" ht="118.0500030517578" customHeight="1">
      <c r="A5" s="6" t="inlineStr">
        <is>
          <t>D01-F1-W6</t>
        </is>
      </c>
      <c r="B5" s="6" t="inlineStr">
        <is>
          <t>D01</t>
        </is>
      </c>
      <c r="C5" s="6" t="inlineStr">
        <is>
          <t>Int Decode</t>
        </is>
      </c>
      <c r="D5" s="6" t="inlineStr">
        <is>
          <t>fetch/decode边界的32-bit A64指令字锁存器；保存本周期将被译码的原始指令。</t>
        </is>
      </c>
      <c r="E5" s="6" t="inlineStr">
        <is>
          <t>单比特翻转</t>
        </is>
      </c>
      <c r="F5" s="6" t="inlineStr">
        <is>
          <t>在译码读取前翻转指令字1 bit。每次运行只选一个当前有效字段，在字段内均匀抽1 bit做XOR；保存动态指令ID、原值、故障值和bit编号。仅当故障字段被下游读取/选择/用于状态转移时计activated。触发：有效A64整数指令进入decode。</t>
        </is>
      </c>
      <c r="G5" s="6" t="inlineStr">
        <is>
          <t>F1</t>
        </is>
      </c>
      <c r="H5" s="6" t="inlineStr">
        <is>
          <t>平均每1,000,000个 eligible events 注入1次，间隔加入±50%抖动</t>
        </is>
      </c>
      <c r="I5" s="6" t="inlineStr">
        <is>
          <t>W6 CoreMark+Embench</t>
        </is>
      </c>
      <c r="J5" s="6" t="inlineStr">
        <is>
          <t>CoreMark+Embench（公开通用）
执行定义与oracle：CoreMark 与 Embench 全集；固定编译器/优化/输入；使用内置校验及输出 hash</t>
        </is>
      </c>
      <c r="K5" s="6" t="inlineStr">
        <is>
          <t>有效A64整数指令进入decode</t>
        </is>
      </c>
      <c r="L5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5" s="6" t="inlineStr">
        <is>
          <t>高位/major opcode翻转更易illegal或Crash；寄存器/立即数字段翻转更易产生合法但错误执行和SDC</t>
        </is>
      </c>
      <c r="N5" s="6" t="inlineStr">
        <is>
          <t>最基本瞬态基线；按字段分层统计，避免只得到整体平均</t>
        </is>
      </c>
      <c r="O5" s="6" t="inlineStr">
        <is>
          <t>IISWC15/TC23使用单bit基线；译码直接证据为MICRO24</t>
        </is>
      </c>
      <c r="P5" s="9" t="n"/>
      <c r="Q5" s="9" t="n"/>
      <c r="R5" s="9" t="n"/>
      <c r="S5" s="9" t="n"/>
      <c r="T5" s="9" t="n"/>
      <c r="U5" s="9" t="n"/>
      <c r="V5" s="9" t="n"/>
      <c r="W5" s="9" t="n"/>
      <c r="X5" s="12">
        <f>IF(OR(R5="",R5-AP5&lt;=0),"",AB5/(R5-AP5))</f>
        <v/>
      </c>
      <c r="Y5" s="12">
        <f>IFERROR(R5/AR5,0)</f>
        <v/>
      </c>
      <c r="Z5" s="9" t="inlineStr">
        <is>
          <t>待执行</t>
        </is>
      </c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12">
        <f>IF(OR(R5="",R5-AP5&lt;=0),"",AO5/(R5-AP5))</f>
        <v/>
      </c>
      <c r="AM5" s="11">
        <f>IF(R5="","",SUM(AC5:AF5)-(R5-AP5))</f>
        <v/>
      </c>
      <c r="AN5" s="11">
        <f>IF(R5="","",SUM(S5:W5)+AP5-R5)</f>
        <v/>
      </c>
      <c r="AO5" s="9" t="n"/>
      <c r="AP5" s="9" t="n"/>
      <c r="AQ5" s="27" t="inlineStr">
        <is>
          <t>D01-a opcode/主操作码字段；D01-b 源/目的寄存器字段；D01-c 立即数/移位字段；D01-d 标志与控制字段；每次只翻1 bit</t>
        </is>
      </c>
      <c r="AR5" s="39" t="n"/>
      <c r="AS5" s="39">
        <f>IFERROR(AR5/Q5,0)</f>
        <v/>
      </c>
      <c r="AT5" s="39" t="n">
        <v>30</v>
      </c>
      <c r="AU5" s="39" t="n">
        <v>385</v>
      </c>
      <c r="AV5" s="39" t="inlineStr">
        <is>
          <t>常规</t>
        </is>
      </c>
      <c r="AW5" s="39" t="inlineStr">
        <is>
          <t>累计至少385，不机械扩展到2401</t>
        </is>
      </c>
    </row>
    <row r="6" ht="118.0500030517578" customHeight="1">
      <c r="A6" s="6" t="inlineStr">
        <is>
          <t>D01-F2-W3</t>
        </is>
      </c>
      <c r="B6" s="6" t="inlineStr">
        <is>
          <t>D01</t>
        </is>
      </c>
      <c r="C6" s="6" t="inlineStr">
        <is>
          <t>Int Decode</t>
        </is>
      </c>
      <c r="D6" s="6" t="inlineStr">
        <is>
          <t>fetch/decode边界的32-bit A64指令字锁存器；保存本周期将被译码的原始指令。</t>
        </is>
      </c>
      <c r="E6" s="6" t="inlineStr">
        <is>
          <t>单比特翻转</t>
        </is>
      </c>
      <c r="F6" s="6" t="inlineStr">
        <is>
          <t>在译码读取前翻转指令字1 bit。每次运行只选一个当前有效字段，在字段内均匀抽1 bit做XOR；保存动态指令ID、原值、故障值和bit编号。仅当故障字段被下游读取/选择/用于状态转移时计activated。触发：有效A64整数指令进入decode。</t>
        </is>
      </c>
      <c r="G6" s="6" t="inlineStr">
        <is>
          <t>F2</t>
        </is>
      </c>
      <c r="H6" s="6" t="inlineStr">
        <is>
          <t>平均每100,000个 eligible events 注入1次，间隔加入±50%抖动</t>
        </is>
      </c>
      <c r="I6" s="6" t="inlineStr">
        <is>
          <t>W3 A64-DecodeProbe</t>
        </is>
      </c>
      <c r="J6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6" s="6" t="inlineStr">
        <is>
          <t>有效A64整数指令进入decode</t>
        </is>
      </c>
      <c r="L6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6" s="6" t="inlineStr">
        <is>
          <t>高位/major opcode翻转更易illegal或Crash；寄存器/立即数字段翻转更易产生合法但错误执行和SDC</t>
        </is>
      </c>
      <c r="N6" s="6" t="inlineStr">
        <is>
          <t>最基本瞬态基线；按字段分层统计，避免只得到整体平均</t>
        </is>
      </c>
      <c r="O6" s="6" t="inlineStr">
        <is>
          <t>IISWC15/TC23使用单bit基线；译码直接证据为MICRO24</t>
        </is>
      </c>
      <c r="P6" s="9" t="n"/>
      <c r="Q6" s="9" t="n"/>
      <c r="R6" s="9" t="n"/>
      <c r="S6" s="9" t="n"/>
      <c r="T6" s="9" t="n"/>
      <c r="U6" s="9" t="n"/>
      <c r="V6" s="9" t="n"/>
      <c r="W6" s="9" t="n"/>
      <c r="X6" s="12">
        <f>IF(OR(R6="",R6-AP6&lt;=0),"",AB6/(R6-AP6))</f>
        <v/>
      </c>
      <c r="Y6" s="12">
        <f>IFERROR(R6/AR6,0)</f>
        <v/>
      </c>
      <c r="Z6" s="9" t="inlineStr">
        <is>
          <t>待执行</t>
        </is>
      </c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12">
        <f>IF(OR(R6="",R6-AP6&lt;=0),"",AO6/(R6-AP6))</f>
        <v/>
      </c>
      <c r="AM6" s="11">
        <f>IF(R6="","",SUM(AC6:AF6)-(R6-AP6))</f>
        <v/>
      </c>
      <c r="AN6" s="11">
        <f>IF(R6="","",SUM(S6:W6)+AP6-R6)</f>
        <v/>
      </c>
      <c r="AO6" s="9" t="n"/>
      <c r="AP6" s="9" t="n"/>
      <c r="AQ6" s="27" t="inlineStr">
        <is>
          <t>D01-a opcode/主操作码字段；D01-b 源/目的寄存器字段；D01-c 立即数/移位字段；D01-d 标志与控制字段；每次只翻1 bit</t>
        </is>
      </c>
      <c r="AR6" s="39" t="n"/>
      <c r="AS6" s="39">
        <f>IFERROR(AR6/Q6,0)</f>
        <v/>
      </c>
      <c r="AT6" s="39" t="n">
        <v>30</v>
      </c>
      <c r="AU6" s="39" t="n">
        <v>385</v>
      </c>
      <c r="AV6" s="39" t="inlineStr">
        <is>
          <t>常规</t>
        </is>
      </c>
      <c r="AW6" s="39" t="inlineStr">
        <is>
          <t>累计至少385，不机械扩展到2401</t>
        </is>
      </c>
    </row>
    <row r="7" ht="118.0500030517578" customHeight="1">
      <c r="A7" s="6" t="inlineStr">
        <is>
          <t>D01-F2-W6</t>
        </is>
      </c>
      <c r="B7" s="6" t="inlineStr">
        <is>
          <t>D01</t>
        </is>
      </c>
      <c r="C7" s="6" t="inlineStr">
        <is>
          <t>Int Decode</t>
        </is>
      </c>
      <c r="D7" s="6" t="inlineStr">
        <is>
          <t>fetch/decode边界的32-bit A64指令字锁存器；保存本周期将被译码的原始指令。</t>
        </is>
      </c>
      <c r="E7" s="6" t="inlineStr">
        <is>
          <t>单比特翻转</t>
        </is>
      </c>
      <c r="F7" s="6" t="inlineStr">
        <is>
          <t>在译码读取前翻转指令字1 bit。每次运行只选一个当前有效字段，在字段内均匀抽1 bit做XOR；保存动态指令ID、原值、故障值和bit编号。仅当故障字段被下游读取/选择/用于状态转移时计activated。触发：有效A64整数指令进入decode。</t>
        </is>
      </c>
      <c r="G7" s="6" t="inlineStr">
        <is>
          <t>F2</t>
        </is>
      </c>
      <c r="H7" s="6" t="inlineStr">
        <is>
          <t>平均每100,000个 eligible events 注入1次，间隔加入±50%抖动</t>
        </is>
      </c>
      <c r="I7" s="6" t="inlineStr">
        <is>
          <t>W6 CoreMark+Embench</t>
        </is>
      </c>
      <c r="J7" s="6" t="inlineStr">
        <is>
          <t>CoreMark+Embench（公开通用）
执行定义与oracle：CoreMark 与 Embench 全集；固定编译器/优化/输入；使用内置校验及输出 hash</t>
        </is>
      </c>
      <c r="K7" s="6" t="inlineStr">
        <is>
          <t>有效A64整数指令进入decode</t>
        </is>
      </c>
      <c r="L7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7" s="6" t="inlineStr">
        <is>
          <t>高位/major opcode翻转更易illegal或Crash；寄存器/立即数字段翻转更易产生合法但错误执行和SDC</t>
        </is>
      </c>
      <c r="N7" s="6" t="inlineStr">
        <is>
          <t>最基本瞬态基线；按字段分层统计，避免只得到整体平均</t>
        </is>
      </c>
      <c r="O7" s="6" t="inlineStr">
        <is>
          <t>IISWC15/TC23使用单bit基线；译码直接证据为MICRO24</t>
        </is>
      </c>
      <c r="P7" s="9" t="n"/>
      <c r="Q7" s="9" t="n"/>
      <c r="R7" s="9" t="n"/>
      <c r="S7" s="9" t="n"/>
      <c r="T7" s="9" t="n"/>
      <c r="U7" s="9" t="n"/>
      <c r="V7" s="9" t="n"/>
      <c r="W7" s="9" t="n"/>
      <c r="X7" s="12">
        <f>IF(OR(R7="",R7-AP7&lt;=0),"",AB7/(R7-AP7))</f>
        <v/>
      </c>
      <c r="Y7" s="12">
        <f>IFERROR(R7/AR7,0)</f>
        <v/>
      </c>
      <c r="Z7" s="9" t="inlineStr">
        <is>
          <t>待执行</t>
        </is>
      </c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12">
        <f>IF(OR(R7="",R7-AP7&lt;=0),"",AO7/(R7-AP7))</f>
        <v/>
      </c>
      <c r="AM7" s="11">
        <f>IF(R7="","",SUM(AC7:AF7)-(R7-AP7))</f>
        <v/>
      </c>
      <c r="AN7" s="11">
        <f>IF(R7="","",SUM(S7:W7)+AP7-R7)</f>
        <v/>
      </c>
      <c r="AO7" s="9" t="n"/>
      <c r="AP7" s="9" t="n"/>
      <c r="AQ7" s="27" t="inlineStr">
        <is>
          <t>D01-a opcode/主操作码字段；D01-b 源/目的寄存器字段；D01-c 立即数/移位字段；D01-d 标志与控制字段；每次只翻1 bit</t>
        </is>
      </c>
      <c r="AR7" s="39" t="n"/>
      <c r="AS7" s="39">
        <f>IFERROR(AR7/Q7,0)</f>
        <v/>
      </c>
      <c r="AT7" s="39" t="n">
        <v>30</v>
      </c>
      <c r="AU7" s="39" t="n">
        <v>385</v>
      </c>
      <c r="AV7" s="39" t="inlineStr">
        <is>
          <t>常规</t>
        </is>
      </c>
      <c r="AW7" s="39" t="inlineStr">
        <is>
          <t>累计至少385，不机械扩展到2401</t>
        </is>
      </c>
    </row>
    <row r="8" ht="118.0500030517578" customHeight="1">
      <c r="A8" s="6" t="inlineStr">
        <is>
          <t>D02-F0-W3</t>
        </is>
      </c>
      <c r="B8" s="6" t="inlineStr">
        <is>
          <t>D02</t>
        </is>
      </c>
      <c r="C8" s="6" t="inlineStr">
        <is>
          <t>Int Decode</t>
        </is>
      </c>
      <c r="D8" s="6" t="inlineStr">
        <is>
          <t>同一32-bit指令字锁存器；模拟一次多位扰动而不改其他流水状态。</t>
        </is>
      </c>
      <c r="E8" s="6" t="inlineStr">
        <is>
          <t>双比特翻转</t>
        </is>
      </c>
      <c r="F8" s="6" t="inlineStr">
        <is>
          <t>在同一指令字内翻转2 bit，并按opcode/operand跨字段与同字段分层。同一字段同时翻转2个不同bit，50%相邻、50%非相邻；两bit在同一事件生效，不与其他字段叠加。保存bit距离和原/故障值。仅当字段被消费时计activated。触发：有效A64整数指令进入decode。</t>
        </is>
      </c>
      <c r="G8" s="6" t="inlineStr">
        <is>
          <t>F0</t>
        </is>
      </c>
      <c r="H8" s="6" t="inlineStr">
        <is>
          <t>每次运行只注入1次；warm-up后在 eligible event 中均匀抽样</t>
        </is>
      </c>
      <c r="I8" s="6" t="inlineStr">
        <is>
          <t>W3 A64-DecodeProbe</t>
        </is>
      </c>
      <c r="J8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8" s="6" t="inlineStr">
        <is>
          <t>有效A64整数指令进入decode</t>
        </is>
      </c>
      <c r="L8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8" s="6" t="inlineStr">
        <is>
          <t>合法指令替换与illegal两极化增强；跨字段双翻转可能绕开单字段规律</t>
        </is>
      </c>
      <c r="N8" s="6" t="inlineStr">
        <is>
          <t>覆盖MBU和DelayAVF观察到的多状态位错误</t>
        </is>
      </c>
      <c r="O8" s="6" t="inlineStr">
        <is>
          <t>MICRO24；CHAOS26多bit规律类比</t>
        </is>
      </c>
      <c r="P8" s="9" t="n"/>
      <c r="Q8" s="9" t="n"/>
      <c r="R8" s="9" t="n"/>
      <c r="S8" s="9" t="n"/>
      <c r="T8" s="9" t="n"/>
      <c r="U8" s="9" t="n"/>
      <c r="V8" s="9" t="n"/>
      <c r="W8" s="9" t="n"/>
      <c r="X8" s="12">
        <f>IF(OR(R8="",R8-AP8&lt;=0),"",AB8/(R8-AP8))</f>
        <v/>
      </c>
      <c r="Y8" s="12">
        <f>IFERROR(R8/AR8,0)</f>
        <v/>
      </c>
      <c r="Z8" s="9" t="inlineStr">
        <is>
          <t>待执行</t>
        </is>
      </c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12">
        <f>IF(OR(R8="",R8-AP8&lt;=0),"",AO8/(R8-AP8))</f>
        <v/>
      </c>
      <c r="AM8" s="11">
        <f>IF(R8="","",SUM(AC8:AF8)-(R8-AP8))</f>
        <v/>
      </c>
      <c r="AN8" s="11">
        <f>IF(R8="","",SUM(S8:W8)+AP8-R8)</f>
        <v/>
      </c>
      <c r="AO8" s="9" t="n"/>
      <c r="AP8" s="9" t="n"/>
      <c r="AQ8" s="27" t="inlineStr">
        <is>
          <t>D02-a 同字段相邻双bit；D02-b 同字段非相邻双bit；D02-c opcode/operand跨字段双bit</t>
        </is>
      </c>
      <c r="AR8" s="39" t="n"/>
      <c r="AS8" s="39">
        <f>IFERROR(AR8/Q8,0)</f>
        <v/>
      </c>
      <c r="AT8" s="39" t="n">
        <v>30</v>
      </c>
      <c r="AU8" s="39" t="n">
        <v>385</v>
      </c>
      <c r="AV8" s="39" t="inlineStr">
        <is>
          <t>常规</t>
        </is>
      </c>
      <c r="AW8" s="39" t="inlineStr">
        <is>
          <t>累计至少385，不机械扩展到2401</t>
        </is>
      </c>
    </row>
    <row r="9" ht="118.0500030517578" customHeight="1">
      <c r="A9" s="6" t="inlineStr">
        <is>
          <t>D02-F0-W6</t>
        </is>
      </c>
      <c r="B9" s="6" t="inlineStr">
        <is>
          <t>D02</t>
        </is>
      </c>
      <c r="C9" s="6" t="inlineStr">
        <is>
          <t>Int Decode</t>
        </is>
      </c>
      <c r="D9" s="6" t="inlineStr">
        <is>
          <t>同一32-bit指令字锁存器；模拟一次多位扰动而不改其他流水状态。</t>
        </is>
      </c>
      <c r="E9" s="6" t="inlineStr">
        <is>
          <t>双比特翻转</t>
        </is>
      </c>
      <c r="F9" s="6" t="inlineStr">
        <is>
          <t>在同一指令字内翻转2 bit，并按opcode/operand跨字段与同字段分层。同一字段同时翻转2个不同bit，50%相邻、50%非相邻；两bit在同一事件生效，不与其他字段叠加。保存bit距离和原/故障值。仅当字段被消费时计activated。触发：有效A64整数指令进入decode。</t>
        </is>
      </c>
      <c r="G9" s="6" t="inlineStr">
        <is>
          <t>F0</t>
        </is>
      </c>
      <c r="H9" s="6" t="inlineStr">
        <is>
          <t>每次运行只注入1次；warm-up后在 eligible event 中均匀抽样</t>
        </is>
      </c>
      <c r="I9" s="6" t="inlineStr">
        <is>
          <t>W6 CoreMark+Embench</t>
        </is>
      </c>
      <c r="J9" s="6" t="inlineStr">
        <is>
          <t>CoreMark+Embench（公开通用）
执行定义与oracle：CoreMark 与 Embench 全集；固定编译器/优化/输入；使用内置校验及输出 hash</t>
        </is>
      </c>
      <c r="K9" s="6" t="inlineStr">
        <is>
          <t>有效A64整数指令进入decode</t>
        </is>
      </c>
      <c r="L9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9" s="6" t="inlineStr">
        <is>
          <t>合法指令替换与illegal两极化增强；跨字段双翻转可能绕开单字段规律</t>
        </is>
      </c>
      <c r="N9" s="6" t="inlineStr">
        <is>
          <t>覆盖MBU和DelayAVF观察到的多状态位错误</t>
        </is>
      </c>
      <c r="O9" s="6" t="inlineStr">
        <is>
          <t>MICRO24；CHAOS26多bit规律类比</t>
        </is>
      </c>
      <c r="P9" s="9" t="n"/>
      <c r="Q9" s="9" t="n">
        <v>385</v>
      </c>
      <c r="R9" s="9" t="n">
        <v>385</v>
      </c>
      <c r="S9" s="9" t="n">
        <v>312</v>
      </c>
      <c r="T9" s="9" t="n">
        <v>0</v>
      </c>
      <c r="U9" s="9" t="n">
        <v>0</v>
      </c>
      <c r="V9" s="9" t="n">
        <v>73</v>
      </c>
      <c r="W9" s="9" t="n">
        <v>0</v>
      </c>
      <c r="X9" s="41" t="n">
        <v>0.1896103896103896</v>
      </c>
      <c r="Y9" s="12">
        <f>IFERROR(R9/AR9,0)</f>
        <v/>
      </c>
      <c r="Z9" s="9" t="inlineStr">
        <is>
          <t>部分证据/待核对</t>
        </is>
      </c>
      <c r="AA9" s="9" t="inlineStr">
        <is>
          <t>[2026-10-12 过渡回填|0201(huawei0201,172.168.178.81)|HEAD bf3d284|binary 1a618953|触发=F0等价(cycle1000 warm-up,max_faults1,首个eligible)] 已覆盖子模型:D02-a(同字段相邻双bit,sub_field=bitflip2_adj,decode/coremark):attempted 385/activated 385/Masked 312/Crash 73/SDC 73（RAS-silent Crash 73）/Hang 0。负载注意:W6 定义=CoreMark+Embench 全集,本证据仅跑 CoreMark(Embench 未跑)→部分证据。未运行子模型:D02-b/c。证据:runs/formal_D02a_coremark/c0000/results.jsonl;artifacts/formal_D02a_coremark/summary.md；[2026-10-12 SDC口径修正] SDC=73（Data Corruption 0+RAS-silent Crash 73+RAS-silent Timeout 0），原始结局计数不变</t>
        </is>
      </c>
      <c r="AB9" s="9" t="n">
        <v>73</v>
      </c>
      <c r="AC9" s="9" t="n">
        <v>0</v>
      </c>
      <c r="AD9" s="9" t="n">
        <v>73</v>
      </c>
      <c r="AE9" s="9" t="n">
        <v>0</v>
      </c>
      <c r="AF9" s="9" t="n">
        <v>312</v>
      </c>
      <c r="AG9" s="9" t="n"/>
      <c r="AH9" s="9" t="n"/>
      <c r="AI9" s="9" t="n">
        <v>73</v>
      </c>
      <c r="AJ9" s="9" t="n">
        <v>0</v>
      </c>
      <c r="AK9" s="9" t="inlineStr">
        <is>
          <t>SE口径首检：Masked及仅由离线oracle发现的Data Corruption→None；架构Crash/已归因Timeout→OS；Hardware RAS任意时点=0（B0无ECC/parity）。OS/Application检出不排除SDC。</t>
        </is>
      </c>
      <c r="AL9" s="41" t="n">
        <v>0</v>
      </c>
      <c r="AM9" s="11" t="n">
        <v>0</v>
      </c>
      <c r="AN9" s="11">
        <f>IF(R9="","",SUM(S9:W9)+AP9-R9)</f>
        <v/>
      </c>
      <c r="AO9" s="9" t="n">
        <v>0</v>
      </c>
      <c r="AP9" s="9" t="n">
        <v>0</v>
      </c>
      <c r="AQ9" s="27" t="inlineStr">
        <is>
          <t>D02-a 同字段相邻双bit；D02-b 同字段非相邻双bit；D02-c opcode/operand跨字段双bit</t>
        </is>
      </c>
      <c r="AR9" s="39" t="n"/>
      <c r="AS9" s="39">
        <f>IFERROR(AR9/Q9,0)</f>
        <v/>
      </c>
      <c r="AT9" s="39" t="n">
        <v>30</v>
      </c>
      <c r="AU9" s="39" t="n">
        <v>385</v>
      </c>
      <c r="AV9" s="39" t="inlineStr">
        <is>
          <t>常规</t>
        </is>
      </c>
      <c r="AW9" s="39" t="inlineStr">
        <is>
          <t>累计至少385，不机械扩展到2401</t>
        </is>
      </c>
    </row>
    <row r="10" ht="118.0500030517578" customHeight="1">
      <c r="A10" s="6" t="inlineStr">
        <is>
          <t>D02-F2-W3</t>
        </is>
      </c>
      <c r="B10" s="6" t="inlineStr">
        <is>
          <t>D02</t>
        </is>
      </c>
      <c r="C10" s="6" t="inlineStr">
        <is>
          <t>Int Decode</t>
        </is>
      </c>
      <c r="D10" s="6" t="inlineStr">
        <is>
          <t>同一32-bit指令字锁存器；模拟一次多位扰动而不改其他流水状态。</t>
        </is>
      </c>
      <c r="E10" s="6" t="inlineStr">
        <is>
          <t>双比特翻转</t>
        </is>
      </c>
      <c r="F10" s="6" t="inlineStr">
        <is>
          <t>在同一指令字内翻转2 bit，并按opcode/operand跨字段与同字段分层。同一字段同时翻转2个不同bit，50%相邻、50%非相邻；两bit在同一事件生效，不与其他字段叠加。保存bit距离和原/故障值。仅当字段被消费时计activated。触发：有效A64整数指令进入decode。</t>
        </is>
      </c>
      <c r="G10" s="6" t="inlineStr">
        <is>
          <t>F2</t>
        </is>
      </c>
      <c r="H10" s="6" t="inlineStr">
        <is>
          <t>平均每100,000个 eligible events 注入1次，间隔加入±50%抖动</t>
        </is>
      </c>
      <c r="I10" s="6" t="inlineStr">
        <is>
          <t>W3 A64-DecodeProbe</t>
        </is>
      </c>
      <c r="J10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10" s="6" t="inlineStr">
        <is>
          <t>有效A64整数指令进入decode</t>
        </is>
      </c>
      <c r="L10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10" s="6" t="inlineStr">
        <is>
          <t>合法指令替换与illegal两极化增强；跨字段双翻转可能绕开单字段规律</t>
        </is>
      </c>
      <c r="N10" s="6" t="inlineStr">
        <is>
          <t>覆盖MBU和DelayAVF观察到的多状态位错误</t>
        </is>
      </c>
      <c r="O10" s="6" t="inlineStr">
        <is>
          <t>MICRO24；CHAOS26多bit规律类比</t>
        </is>
      </c>
      <c r="P10" s="9" t="n"/>
      <c r="Q10" s="9" t="n"/>
      <c r="R10" s="9" t="n"/>
      <c r="S10" s="9" t="n"/>
      <c r="T10" s="9" t="n"/>
      <c r="U10" s="9" t="n"/>
      <c r="V10" s="9" t="n"/>
      <c r="W10" s="9" t="n"/>
      <c r="X10" s="12">
        <f>IF(OR(R10="",R10-AP10&lt;=0),"",AB10/(R10-AP10))</f>
        <v/>
      </c>
      <c r="Y10" s="12">
        <f>IFERROR(R10/AR10,0)</f>
        <v/>
      </c>
      <c r="Z10" s="9" t="inlineStr">
        <is>
          <t>待执行</t>
        </is>
      </c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2">
        <f>IF(OR(R10="",R10-AP10&lt;=0),"",AO10/(R10-AP10))</f>
        <v/>
      </c>
      <c r="AM10" s="11">
        <f>IF(R10="","",SUM(AC10:AF10)-(R10-AP10))</f>
        <v/>
      </c>
      <c r="AN10" s="11">
        <f>IF(R10="","",SUM(S10:W10)+AP10-R10)</f>
        <v/>
      </c>
      <c r="AO10" s="9" t="n"/>
      <c r="AP10" s="9" t="n"/>
      <c r="AQ10" s="27" t="inlineStr">
        <is>
          <t>D02-a 同字段相邻双bit；D02-b 同字段非相邻双bit；D02-c opcode/operand跨字段双bit</t>
        </is>
      </c>
      <c r="AR10" s="39" t="n"/>
      <c r="AS10" s="39">
        <f>IFERROR(AR10/Q10,0)</f>
        <v/>
      </c>
      <c r="AT10" s="39" t="n">
        <v>30</v>
      </c>
      <c r="AU10" s="39" t="n">
        <v>385</v>
      </c>
      <c r="AV10" s="39" t="inlineStr">
        <is>
          <t>常规</t>
        </is>
      </c>
      <c r="AW10" s="39" t="inlineStr">
        <is>
          <t>累计至少385，不机械扩展到2401</t>
        </is>
      </c>
    </row>
    <row r="11" ht="118.0500030517578" customHeight="1">
      <c r="A11" s="6" t="inlineStr">
        <is>
          <t>D02-F2-W6</t>
        </is>
      </c>
      <c r="B11" s="6" t="inlineStr">
        <is>
          <t>D02</t>
        </is>
      </c>
      <c r="C11" s="6" t="inlineStr">
        <is>
          <t>Int Decode</t>
        </is>
      </c>
      <c r="D11" s="6" t="inlineStr">
        <is>
          <t>同一32-bit指令字锁存器；模拟一次多位扰动而不改其他流水状态。</t>
        </is>
      </c>
      <c r="E11" s="6" t="inlineStr">
        <is>
          <t>双比特翻转</t>
        </is>
      </c>
      <c r="F11" s="6" t="inlineStr">
        <is>
          <t>在同一指令字内翻转2 bit，并按opcode/operand跨字段与同字段分层。同一字段同时翻转2个不同bit，50%相邻、50%非相邻；两bit在同一事件生效，不与其他字段叠加。保存bit距离和原/故障值。仅当字段被消费时计activated。触发：有效A64整数指令进入decode。</t>
        </is>
      </c>
      <c r="G11" s="6" t="inlineStr">
        <is>
          <t>F2</t>
        </is>
      </c>
      <c r="H11" s="6" t="inlineStr">
        <is>
          <t>平均每100,000个 eligible events 注入1次，间隔加入±50%抖动</t>
        </is>
      </c>
      <c r="I11" s="6" t="inlineStr">
        <is>
          <t>W6 CoreMark+Embench</t>
        </is>
      </c>
      <c r="J11" s="6" t="inlineStr">
        <is>
          <t>CoreMark+Embench（公开通用）
执行定义与oracle：CoreMark 与 Embench 全集；固定编译器/优化/输入；使用内置校验及输出 hash</t>
        </is>
      </c>
      <c r="K11" s="6" t="inlineStr">
        <is>
          <t>有效A64整数指令进入decode</t>
        </is>
      </c>
      <c r="L11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11" s="6" t="inlineStr">
        <is>
          <t>合法指令替换与illegal两极化增强；跨字段双翻转可能绕开单字段规律</t>
        </is>
      </c>
      <c r="N11" s="6" t="inlineStr">
        <is>
          <t>覆盖MBU和DelayAVF观察到的多状态位错误</t>
        </is>
      </c>
      <c r="O11" s="6" t="inlineStr">
        <is>
          <t>MICRO24；CHAOS26多bit规律类比</t>
        </is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12">
        <f>IF(OR(R11="",R11-AP11&lt;=0),"",AB11/(R11-AP11))</f>
        <v/>
      </c>
      <c r="Y11" s="12">
        <f>IFERROR(R11/AR11,0)</f>
        <v/>
      </c>
      <c r="Z11" s="9" t="inlineStr">
        <is>
          <t>待执行</t>
        </is>
      </c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2">
        <f>IF(OR(R11="",R11-AP11&lt;=0),"",AO11/(R11-AP11))</f>
        <v/>
      </c>
      <c r="AM11" s="11">
        <f>IF(R11="","",SUM(AC11:AF11)-(R11-AP11))</f>
        <v/>
      </c>
      <c r="AN11" s="11">
        <f>IF(R11="","",SUM(S11:W11)+AP11-R11)</f>
        <v/>
      </c>
      <c r="AO11" s="9" t="n"/>
      <c r="AP11" s="9" t="n"/>
      <c r="AQ11" s="27" t="inlineStr">
        <is>
          <t>D02-a 同字段相邻双bit；D02-b 同字段非相邻双bit；D02-c opcode/operand跨字段双bit</t>
        </is>
      </c>
      <c r="AR11" s="39" t="n"/>
      <c r="AS11" s="39">
        <f>IFERROR(AR11/Q11,0)</f>
        <v/>
      </c>
      <c r="AT11" s="39" t="n">
        <v>30</v>
      </c>
      <c r="AU11" s="39" t="n">
        <v>385</v>
      </c>
      <c r="AV11" s="39" t="inlineStr">
        <is>
          <t>常规</t>
        </is>
      </c>
      <c r="AW11" s="39" t="inlineStr">
        <is>
          <t>累计至少385，不机械扩展到2401</t>
        </is>
      </c>
    </row>
    <row r="12" ht="118.0500030517578" customHeight="1">
      <c r="A12" s="6" t="inlineStr">
        <is>
          <t>D03-F0-W3</t>
        </is>
      </c>
      <c r="B12" s="6" t="inlineStr">
        <is>
          <t>D03</t>
        </is>
      </c>
      <c r="C12" s="6" t="inlineStr">
        <is>
          <t>Int Decode</t>
        </is>
      </c>
      <c r="D12" s="6" t="inlineStr">
        <is>
          <t>major opcode/opClass译码输出；决定ALU、branch、load/store、system等内部类别。</t>
        </is>
      </c>
      <c r="E12" s="6" t="inlineStr">
        <is>
          <t>换值</t>
        </is>
      </c>
      <c r="F12" s="6" t="inlineStr">
        <is>
          <t>把opClass替换为同格式、操作数字段兼容的另一合法整数opClass，如ADD↔SUB、AND↔ORR。从当前有效且生命周期合法的候选集合中选择另一个合法值；禁止空闲、越界或编码非法候选。保存source/target和候选集大小。仅当替换值被消费时计activated。触发：候选opClass非空且目标FU可用。</t>
        </is>
      </c>
      <c r="G12" s="6" t="inlineStr">
        <is>
          <t>F0</t>
        </is>
      </c>
      <c r="H12" s="6" t="inlineStr">
        <is>
          <t>每次运行只注入1次；warm-up后在 eligible event 中均匀抽样</t>
        </is>
      </c>
      <c r="I12" s="6" t="inlineStr">
        <is>
          <t>W3 A64-DecodeProbe</t>
        </is>
      </c>
      <c r="J12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12" s="6" t="inlineStr">
        <is>
          <t>候选opClass非空且目标FU可用</t>
        </is>
      </c>
      <c r="L12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12" s="6" t="inlineStr">
        <is>
          <t>比随机翻转更易静默通过合法性检查，预期SDC比例上升；跨FU替换更易Crash/Timeout</t>
        </is>
      </c>
      <c r="N12" s="6" t="inlineStr">
        <is>
          <t>直接研究合法控制替换而非非法编码</t>
        </is>
      </c>
      <c r="O12" s="6" t="inlineStr">
        <is>
          <t>本方案结构化模型；MICRO24提供译码时延机制证据</t>
        </is>
      </c>
      <c r="P12" s="9" t="n"/>
      <c r="Q12" s="9" t="n"/>
      <c r="R12" s="9" t="n"/>
      <c r="S12" s="9" t="n"/>
      <c r="T12" s="9" t="n"/>
      <c r="U12" s="9" t="n"/>
      <c r="V12" s="9" t="n"/>
      <c r="W12" s="9" t="n"/>
      <c r="X12" s="12">
        <f>IF(OR(R12="",R12-AP12&lt;=0),"",AB12/(R12-AP12))</f>
        <v/>
      </c>
      <c r="Y12" s="12">
        <f>IFERROR(R12/AR12,0)</f>
        <v/>
      </c>
      <c r="Z12" s="9" t="inlineStr">
        <is>
          <t>待执行</t>
        </is>
      </c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12">
        <f>IF(OR(R12="",R12-AP12&lt;=0),"",AO12/(R12-AP12))</f>
        <v/>
      </c>
      <c r="AM12" s="11">
        <f>IF(R12="","",SUM(AC12:AF12)-(R12-AP12))</f>
        <v/>
      </c>
      <c r="AN12" s="11">
        <f>IF(R12="","",SUM(S12:W12)+AP12-R12)</f>
        <v/>
      </c>
      <c r="AO12" s="9" t="n"/>
      <c r="AP12" s="9" t="n"/>
      <c r="AQ12" s="27" t="inlineStr">
        <is>
          <t>D03-a 算术opClass合法换值（ADD↔SUB）；D03-b 逻辑opClass合法换值（AND↔ORR）；D03-c 跨FU合法类别换值</t>
        </is>
      </c>
      <c r="AR12" s="39" t="n"/>
      <c r="AS12" s="39">
        <f>IFERROR(AR12/Q12,0)</f>
        <v/>
      </c>
      <c r="AT12" s="39" t="n">
        <v>30</v>
      </c>
      <c r="AU12" s="39" t="n">
        <v>385</v>
      </c>
      <c r="AV12" s="39" t="inlineStr">
        <is>
          <t>常规</t>
        </is>
      </c>
      <c r="AW12" s="39" t="inlineStr">
        <is>
          <t>累计至少385，不机械扩展到2401</t>
        </is>
      </c>
    </row>
    <row r="13" ht="118.0500030517578" customHeight="1">
      <c r="A13" s="6" t="inlineStr">
        <is>
          <t>D03-F0-W6</t>
        </is>
      </c>
      <c r="B13" s="6" t="inlineStr">
        <is>
          <t>D03</t>
        </is>
      </c>
      <c r="C13" s="6" t="inlineStr">
        <is>
          <t>Int Decode</t>
        </is>
      </c>
      <c r="D13" s="6" t="inlineStr">
        <is>
          <t>major opcode/opClass译码输出；决定ALU、branch、load/store、system等内部类别。</t>
        </is>
      </c>
      <c r="E13" s="6" t="inlineStr">
        <is>
          <t>换值</t>
        </is>
      </c>
      <c r="F13" s="6" t="inlineStr">
        <is>
          <t>把opClass替换为同格式、操作数字段兼容的另一合法整数opClass，如ADD↔SUB、AND↔ORR。从当前有效且生命周期合法的候选集合中选择另一个合法值；禁止空闲、越界或编码非法候选。保存source/target和候选集大小。仅当替换值被消费时计activated。触发：候选opClass非空且目标FU可用。</t>
        </is>
      </c>
      <c r="G13" s="6" t="inlineStr">
        <is>
          <t>F0</t>
        </is>
      </c>
      <c r="H13" s="6" t="inlineStr">
        <is>
          <t>每次运行只注入1次；warm-up后在 eligible event 中均匀抽样</t>
        </is>
      </c>
      <c r="I13" s="6" t="inlineStr">
        <is>
          <t>W6 CoreMark+Embench</t>
        </is>
      </c>
      <c r="J13" s="6" t="inlineStr">
        <is>
          <t>CoreMark+Embench（公开通用）
执行定义与oracle：CoreMark 与 Embench 全集；固定编译器/优化/输入；使用内置校验及输出 hash</t>
        </is>
      </c>
      <c r="K13" s="6" t="inlineStr">
        <is>
          <t>候选opClass非空且目标FU可用</t>
        </is>
      </c>
      <c r="L13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13" s="6" t="inlineStr">
        <is>
          <t>比随机翻转更易静默通过合法性检查，预期SDC比例上升；跨FU替换更易Crash/Timeout</t>
        </is>
      </c>
      <c r="N13" s="6" t="inlineStr">
        <is>
          <t>直接研究合法控制替换而非非法编码</t>
        </is>
      </c>
      <c r="O13" s="6" t="inlineStr">
        <is>
          <t>本方案结构化模型；MICRO24提供译码时延机制证据</t>
        </is>
      </c>
      <c r="P13" s="9" t="n"/>
      <c r="Q13" s="9" t="n"/>
      <c r="R13" s="9" t="n"/>
      <c r="S13" s="9" t="n"/>
      <c r="T13" s="9" t="n"/>
      <c r="U13" s="9" t="n"/>
      <c r="V13" s="9" t="n"/>
      <c r="W13" s="9" t="n"/>
      <c r="X13" s="12">
        <f>IF(OR(R13="",R13-AP13&lt;=0),"",AB13/(R13-AP13))</f>
        <v/>
      </c>
      <c r="Y13" s="12">
        <f>IFERROR(R13/AR13,0)</f>
        <v/>
      </c>
      <c r="Z13" s="9" t="inlineStr">
        <is>
          <t>待执行</t>
        </is>
      </c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2">
        <f>IF(OR(R13="",R13-AP13&lt;=0),"",AO13/(R13-AP13))</f>
        <v/>
      </c>
      <c r="AM13" s="11">
        <f>IF(R13="","",SUM(AC13:AF13)-(R13-AP13))</f>
        <v/>
      </c>
      <c r="AN13" s="11">
        <f>IF(R13="","",SUM(S13:W13)+AP13-R13)</f>
        <v/>
      </c>
      <c r="AO13" s="9" t="n"/>
      <c r="AP13" s="9" t="n"/>
      <c r="AQ13" s="27" t="inlineStr">
        <is>
          <t>D03-a 算术opClass合法换值（ADD↔SUB）；D03-b 逻辑opClass合法换值（AND↔ORR）；D03-c 跨FU合法类别换值</t>
        </is>
      </c>
      <c r="AR13" s="39" t="n"/>
      <c r="AS13" s="39">
        <f>IFERROR(AR13/Q13,0)</f>
        <v/>
      </c>
      <c r="AT13" s="39" t="n">
        <v>30</v>
      </c>
      <c r="AU13" s="39" t="n">
        <v>385</v>
      </c>
      <c r="AV13" s="39" t="inlineStr">
        <is>
          <t>常规</t>
        </is>
      </c>
      <c r="AW13" s="39" t="inlineStr">
        <is>
          <t>累计至少385，不机械扩展到2401</t>
        </is>
      </c>
    </row>
    <row r="14" ht="118.0500030517578" customHeight="1">
      <c r="A14" s="6" t="inlineStr">
        <is>
          <t>D03-F2-W3</t>
        </is>
      </c>
      <c r="B14" s="6" t="inlineStr">
        <is>
          <t>D03</t>
        </is>
      </c>
      <c r="C14" s="6" t="inlineStr">
        <is>
          <t>Int Decode</t>
        </is>
      </c>
      <c r="D14" s="6" t="inlineStr">
        <is>
          <t>major opcode/opClass译码输出；决定ALU、branch、load/store、system等内部类别。</t>
        </is>
      </c>
      <c r="E14" s="6" t="inlineStr">
        <is>
          <t>换值</t>
        </is>
      </c>
      <c r="F14" s="6" t="inlineStr">
        <is>
          <t>把opClass替换为同格式、操作数字段兼容的另一合法整数opClass，如ADD↔SUB、AND↔ORR。从当前有效且生命周期合法的候选集合中选择另一个合法值；禁止空闲、越界或编码非法候选。保存source/target和候选集大小。仅当替换值被消费时计activated。触发：候选opClass非空且目标FU可用。</t>
        </is>
      </c>
      <c r="G14" s="6" t="inlineStr">
        <is>
          <t>F2</t>
        </is>
      </c>
      <c r="H14" s="6" t="inlineStr">
        <is>
          <t>平均每100,000个 eligible events 注入1次，间隔加入±50%抖动</t>
        </is>
      </c>
      <c r="I14" s="6" t="inlineStr">
        <is>
          <t>W3 A64-DecodeProbe</t>
        </is>
      </c>
      <c r="J14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14" s="6" t="inlineStr">
        <is>
          <t>候选opClass非空且目标FU可用</t>
        </is>
      </c>
      <c r="L14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14" s="6" t="inlineStr">
        <is>
          <t>比随机翻转更易静默通过合法性检查，预期SDC比例上升；跨FU替换更易Crash/Timeout</t>
        </is>
      </c>
      <c r="N14" s="6" t="inlineStr">
        <is>
          <t>直接研究合法控制替换而非非法编码</t>
        </is>
      </c>
      <c r="O14" s="6" t="inlineStr">
        <is>
          <t>本方案结构化模型；MICRO24提供译码时延机制证据</t>
        </is>
      </c>
      <c r="P14" s="9" t="n"/>
      <c r="Q14" s="9" t="n"/>
      <c r="R14" s="9" t="n"/>
      <c r="S14" s="9" t="n"/>
      <c r="T14" s="9" t="n"/>
      <c r="U14" s="9" t="n"/>
      <c r="V14" s="9" t="n"/>
      <c r="W14" s="9" t="n"/>
      <c r="X14" s="12">
        <f>IF(OR(R14="",R14-AP14&lt;=0),"",AB14/(R14-AP14))</f>
        <v/>
      </c>
      <c r="Y14" s="12">
        <f>IFERROR(R14/AR14,0)</f>
        <v/>
      </c>
      <c r="Z14" s="9" t="inlineStr">
        <is>
          <t>待执行</t>
        </is>
      </c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12">
        <f>IF(OR(R14="",R14-AP14&lt;=0),"",AO14/(R14-AP14))</f>
        <v/>
      </c>
      <c r="AM14" s="11">
        <f>IF(R14="","",SUM(AC14:AF14)-(R14-AP14))</f>
        <v/>
      </c>
      <c r="AN14" s="11">
        <f>IF(R14="","",SUM(S14:W14)+AP14-R14)</f>
        <v/>
      </c>
      <c r="AO14" s="9" t="n"/>
      <c r="AP14" s="9" t="n"/>
      <c r="AQ14" s="27" t="inlineStr">
        <is>
          <t>D03-a 算术opClass合法换值（ADD↔SUB）；D03-b 逻辑opClass合法换值（AND↔ORR）；D03-c 跨FU合法类别换值</t>
        </is>
      </c>
      <c r="AR14" s="39" t="n"/>
      <c r="AS14" s="39">
        <f>IFERROR(AR14/Q14,0)</f>
        <v/>
      </c>
      <c r="AT14" s="39" t="n">
        <v>30</v>
      </c>
      <c r="AU14" s="39" t="n">
        <v>385</v>
      </c>
      <c r="AV14" s="39" t="inlineStr">
        <is>
          <t>常规</t>
        </is>
      </c>
      <c r="AW14" s="39" t="inlineStr">
        <is>
          <t>累计至少385，不机械扩展到2401</t>
        </is>
      </c>
    </row>
    <row r="15" ht="118.0500030517578" customHeight="1">
      <c r="A15" s="6" t="inlineStr">
        <is>
          <t>D03-F2-W6</t>
        </is>
      </c>
      <c r="B15" s="6" t="inlineStr">
        <is>
          <t>D03</t>
        </is>
      </c>
      <c r="C15" s="6" t="inlineStr">
        <is>
          <t>Int Decode</t>
        </is>
      </c>
      <c r="D15" s="6" t="inlineStr">
        <is>
          <t>major opcode/opClass译码输出；决定ALU、branch、load/store、system等内部类别。</t>
        </is>
      </c>
      <c r="E15" s="6" t="inlineStr">
        <is>
          <t>换值</t>
        </is>
      </c>
      <c r="F15" s="6" t="inlineStr">
        <is>
          <t>把opClass替换为同格式、操作数字段兼容的另一合法整数opClass，如ADD↔SUB、AND↔ORR。从当前有效且生命周期合法的候选集合中选择另一个合法值；禁止空闲、越界或编码非法候选。保存source/target和候选集大小。仅当替换值被消费时计activated。触发：候选opClass非空且目标FU可用。</t>
        </is>
      </c>
      <c r="G15" s="6" t="inlineStr">
        <is>
          <t>F2</t>
        </is>
      </c>
      <c r="H15" s="6" t="inlineStr">
        <is>
          <t>平均每100,000个 eligible events 注入1次，间隔加入±50%抖动</t>
        </is>
      </c>
      <c r="I15" s="6" t="inlineStr">
        <is>
          <t>W6 CoreMark+Embench</t>
        </is>
      </c>
      <c r="J15" s="6" t="inlineStr">
        <is>
          <t>CoreMark+Embench（公开通用）
执行定义与oracle：CoreMark 与 Embench 全集；固定编译器/优化/输入；使用内置校验及输出 hash</t>
        </is>
      </c>
      <c r="K15" s="6" t="inlineStr">
        <is>
          <t>候选opClass非空且目标FU可用</t>
        </is>
      </c>
      <c r="L15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15" s="6" t="inlineStr">
        <is>
          <t>比随机翻转更易静默通过合法性检查，预期SDC比例上升；跨FU替换更易Crash/Timeout</t>
        </is>
      </c>
      <c r="N15" s="6" t="inlineStr">
        <is>
          <t>直接研究合法控制替换而非非法编码</t>
        </is>
      </c>
      <c r="O15" s="6" t="inlineStr">
        <is>
          <t>本方案结构化模型；MICRO24提供译码时延机制证据</t>
        </is>
      </c>
      <c r="P15" s="9" t="n"/>
      <c r="Q15" s="9" t="n"/>
      <c r="R15" s="9" t="n"/>
      <c r="S15" s="9" t="n"/>
      <c r="T15" s="9" t="n"/>
      <c r="U15" s="9" t="n"/>
      <c r="V15" s="9" t="n"/>
      <c r="W15" s="9" t="n"/>
      <c r="X15" s="12">
        <f>IF(OR(R15="",R15-AP15&lt;=0),"",AB15/(R15-AP15))</f>
        <v/>
      </c>
      <c r="Y15" s="12">
        <f>IFERROR(R15/AR15,0)</f>
        <v/>
      </c>
      <c r="Z15" s="9" t="inlineStr">
        <is>
          <t>待执行</t>
        </is>
      </c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12">
        <f>IF(OR(R15="",R15-AP15&lt;=0),"",AO15/(R15-AP15))</f>
        <v/>
      </c>
      <c r="AM15" s="11">
        <f>IF(R15="","",SUM(AC15:AF15)-(R15-AP15))</f>
        <v/>
      </c>
      <c r="AN15" s="11">
        <f>IF(R15="","",SUM(S15:W15)+AP15-R15)</f>
        <v/>
      </c>
      <c r="AO15" s="9" t="n"/>
      <c r="AP15" s="9" t="n"/>
      <c r="AQ15" s="27" t="inlineStr">
        <is>
          <t>D03-a 算术opClass合法换值（ADD↔SUB）；D03-b 逻辑opClass合法换值（AND↔ORR）；D03-c 跨FU合法类别换值</t>
        </is>
      </c>
      <c r="AR15" s="39" t="n"/>
      <c r="AS15" s="39">
        <f>IFERROR(AR15/Q15,0)</f>
        <v/>
      </c>
      <c r="AT15" s="39" t="n">
        <v>30</v>
      </c>
      <c r="AU15" s="39" t="n">
        <v>385</v>
      </c>
      <c r="AV15" s="39" t="inlineStr">
        <is>
          <t>常规</t>
        </is>
      </c>
      <c r="AW15" s="39" t="inlineStr">
        <is>
          <t>累计至少385，不机械扩展到2401</t>
        </is>
      </c>
    </row>
    <row r="16" ht="118.0500030517578" customHeight="1">
      <c r="A16" s="6" t="inlineStr">
        <is>
          <t>D03-F6-W3</t>
        </is>
      </c>
      <c r="B16" s="6" t="inlineStr">
        <is>
          <t>D03</t>
        </is>
      </c>
      <c r="C16" s="6" t="inlineStr">
        <is>
          <t>Int Decode</t>
        </is>
      </c>
      <c r="D16" s="6" t="inlineStr">
        <is>
          <t>major opcode/opClass译码输出；决定ALU、branch、load/store、system等内部类别。</t>
        </is>
      </c>
      <c r="E16" s="6" t="inlineStr">
        <is>
          <t>换值</t>
        </is>
      </c>
      <c r="F16" s="6" t="inlineStr">
        <is>
          <t>把opClass替换为同格式、操作数字段兼容的另一合法整数opClass，如ADD↔SUB、AND↔ORR。从当前有效且生命周期合法的候选集合中选择另一个合法值；禁止空闲、越界或编码非法候选。保存source/target和候选集大小。仅当替换值被消费时计activated。触发：候选opClass非空且目标FU可用。</t>
        </is>
      </c>
      <c r="G16" s="6" t="inlineStr">
        <is>
          <t>F6</t>
        </is>
      </c>
      <c r="H16" s="6" t="inlineStr">
        <is>
          <t>首次出现指定稀有事件时注入1次，保证结构化模型被激活</t>
        </is>
      </c>
      <c r="I16" s="6" t="inlineStr">
        <is>
          <t>W3 A64-DecodeProbe</t>
        </is>
      </c>
      <c r="J16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16" s="6" t="inlineStr">
        <is>
          <t>候选opClass非空且目标FU可用</t>
        </is>
      </c>
      <c r="L16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16" s="6" t="inlineStr">
        <is>
          <t>比随机翻转更易静默通过合法性检查，预期SDC比例上升；跨FU替换更易Crash/Timeout</t>
        </is>
      </c>
      <c r="N16" s="6" t="inlineStr">
        <is>
          <t>直接研究合法控制替换而非非法编码</t>
        </is>
      </c>
      <c r="O16" s="6" t="inlineStr">
        <is>
          <t>本方案结构化模型；MICRO24提供译码时延机制证据</t>
        </is>
      </c>
      <c r="P16" s="9" t="n"/>
      <c r="Q16" s="9" t="n"/>
      <c r="R16" s="9" t="n"/>
      <c r="S16" s="9" t="n"/>
      <c r="T16" s="9" t="n"/>
      <c r="U16" s="9" t="n"/>
      <c r="V16" s="9" t="n"/>
      <c r="W16" s="9" t="n"/>
      <c r="X16" s="12">
        <f>IF(OR(R16="",R16-AP16&lt;=0),"",AB16/(R16-AP16))</f>
        <v/>
      </c>
      <c r="Y16" s="12">
        <f>IFERROR(R16/AR16,0)</f>
        <v/>
      </c>
      <c r="Z16" s="9" t="inlineStr">
        <is>
          <t>待执行</t>
        </is>
      </c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12">
        <f>IF(OR(R16="",R16-AP16&lt;=0),"",AO16/(R16-AP16))</f>
        <v/>
      </c>
      <c r="AM16" s="11">
        <f>IF(R16="","",SUM(AC16:AF16)-(R16-AP16))</f>
        <v/>
      </c>
      <c r="AN16" s="11">
        <f>IF(R16="","",SUM(S16:W16)+AP16-R16)</f>
        <v/>
      </c>
      <c r="AO16" s="9" t="n"/>
      <c r="AP16" s="9" t="n"/>
      <c r="AQ16" s="27" t="inlineStr">
        <is>
          <t>D03-a 算术opClass合法换值（ADD↔SUB）；D03-b 逻辑opClass合法换值（AND↔ORR）；D03-c 跨FU合法类别换值</t>
        </is>
      </c>
      <c r="AR16" s="39" t="n"/>
      <c r="AS16" s="39">
        <f>IFERROR(AR16/Q16,0)</f>
        <v/>
      </c>
      <c r="AT16" s="39" t="n">
        <v>30</v>
      </c>
      <c r="AU16" s="39" t="n">
        <v>2401</v>
      </c>
      <c r="AV16" s="39" t="inlineStr">
        <is>
          <t>预登记重点</t>
        </is>
      </c>
      <c r="AW16" s="39" t="inlineStr">
        <is>
          <t>累计2401（含pilot与前385），不得序贯停止</t>
        </is>
      </c>
    </row>
    <row r="17" ht="118.0500030517578" customHeight="1">
      <c r="A17" s="6" t="inlineStr">
        <is>
          <t>D03-F6-W6</t>
        </is>
      </c>
      <c r="B17" s="6" t="inlineStr">
        <is>
          <t>D03</t>
        </is>
      </c>
      <c r="C17" s="6" t="inlineStr">
        <is>
          <t>Int Decode</t>
        </is>
      </c>
      <c r="D17" s="6" t="inlineStr">
        <is>
          <t>major opcode/opClass译码输出；决定ALU、branch、load/store、system等内部类别。</t>
        </is>
      </c>
      <c r="E17" s="6" t="inlineStr">
        <is>
          <t>换值</t>
        </is>
      </c>
      <c r="F17" s="6" t="inlineStr">
        <is>
          <t>把opClass替换为同格式、操作数字段兼容的另一合法整数opClass，如ADD↔SUB、AND↔ORR。从当前有效且生命周期合法的候选集合中选择另一个合法值；禁止空闲、越界或编码非法候选。保存source/target和候选集大小。仅当替换值被消费时计activated。触发：候选opClass非空且目标FU可用。</t>
        </is>
      </c>
      <c r="G17" s="6" t="inlineStr">
        <is>
          <t>F6</t>
        </is>
      </c>
      <c r="H17" s="6" t="inlineStr">
        <is>
          <t>首次出现指定稀有事件时注入1次，保证结构化模型被激活</t>
        </is>
      </c>
      <c r="I17" s="6" t="inlineStr">
        <is>
          <t>W6 CoreMark+Embench</t>
        </is>
      </c>
      <c r="J17" s="6" t="inlineStr">
        <is>
          <t>CoreMark+Embench（公开通用）
执行定义与oracle：CoreMark 与 Embench 全集；固定编译器/优化/输入；使用内置校验及输出 hash</t>
        </is>
      </c>
      <c r="K17" s="6" t="inlineStr">
        <is>
          <t>候选opClass非空且目标FU可用</t>
        </is>
      </c>
      <c r="L17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17" s="6" t="inlineStr">
        <is>
          <t>比随机翻转更易静默通过合法性检查，预期SDC比例上升；跨FU替换更易Crash/Timeout</t>
        </is>
      </c>
      <c r="N17" s="6" t="inlineStr">
        <is>
          <t>直接研究合法控制替换而非非法编码</t>
        </is>
      </c>
      <c r="O17" s="6" t="inlineStr">
        <is>
          <t>本方案结构化模型；MICRO24提供译码时延机制证据</t>
        </is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12">
        <f>IF(OR(R17="",R17-AP17&lt;=0),"",AB17/(R17-AP17))</f>
        <v/>
      </c>
      <c r="Y17" s="12">
        <f>IFERROR(R17/AR17,0)</f>
        <v/>
      </c>
      <c r="Z17" s="9" t="inlineStr">
        <is>
          <t>待执行</t>
        </is>
      </c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12">
        <f>IF(OR(R17="",R17-AP17&lt;=0),"",AO17/(R17-AP17))</f>
        <v/>
      </c>
      <c r="AM17" s="11">
        <f>IF(R17="","",SUM(AC17:AF17)-(R17-AP17))</f>
        <v/>
      </c>
      <c r="AN17" s="11">
        <f>IF(R17="","",SUM(S17:W17)+AP17-R17)</f>
        <v/>
      </c>
      <c r="AO17" s="9" t="n"/>
      <c r="AP17" s="9" t="n"/>
      <c r="AQ17" s="27" t="inlineStr">
        <is>
          <t>D03-a 算术opClass合法换值（ADD↔SUB）；D03-b 逻辑opClass合法换值（AND↔ORR）；D03-c 跨FU合法类别换值</t>
        </is>
      </c>
      <c r="AR17" s="39" t="n"/>
      <c r="AS17" s="39">
        <f>IFERROR(AR17/Q17,0)</f>
        <v/>
      </c>
      <c r="AT17" s="39" t="n">
        <v>30</v>
      </c>
      <c r="AU17" s="39" t="n">
        <v>385</v>
      </c>
      <c r="AV17" s="39" t="inlineStr">
        <is>
          <t>常规</t>
        </is>
      </c>
      <c r="AW17" s="39" t="inlineStr">
        <is>
          <t>累计至少385，不机械扩展到2401</t>
        </is>
      </c>
    </row>
    <row r="18" ht="118.0500030517578" customHeight="1">
      <c r="A18" s="6" t="inlineStr">
        <is>
          <t>D04-F0-W3</t>
        </is>
      </c>
      <c r="B18" s="6" t="inlineStr">
        <is>
          <t>D04</t>
        </is>
      </c>
      <c r="C18" s="6" t="inlineStr">
        <is>
          <t>Int Decode</t>
        </is>
      </c>
      <c r="D18" s="6" t="inlineStr">
        <is>
          <t>译码输出的src0/src1/dst架构寄存器号。</t>
        </is>
      </c>
      <c r="E18" s="6" t="inlineStr">
        <is>
          <t>换值</t>
        </is>
      </c>
      <c r="F18" s="6" t="inlineStr">
        <is>
          <t>把一个源或目的寄存器替换为另一当前合法架构寄存器；源互换、dst替换、x0注入分开统计。从当前有效且生命周期合法的候选集合中选择另一个合法值；禁止空闲、越界或编码非法候选。保存source/target和候选集大小。仅当替换值被消费时计activated。触发：至少两个可选架构寄存器。</t>
        </is>
      </c>
      <c r="G18" s="6" t="inlineStr">
        <is>
          <t>F0</t>
        </is>
      </c>
      <c r="H18" s="6" t="inlineStr">
        <is>
          <t>每次运行只注入1次；warm-up后在 eligible event 中均匀抽样</t>
        </is>
      </c>
      <c r="I18" s="6" t="inlineStr">
        <is>
          <t>W3 A64-DecodeProbe</t>
        </is>
      </c>
      <c r="J18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18" s="6" t="inlineStr">
        <is>
          <t>至少两个可选架构寄存器</t>
        </is>
      </c>
      <c r="L18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18" s="6" t="inlineStr">
        <is>
          <t>源/目的仍合法，易进入rename并产生静默数据路径；dst=x0可能掩蔽，src=x0可能稳定偏差</t>
        </is>
      </c>
      <c r="N18" s="6" t="inlineStr">
        <is>
          <t>覆盖译码字段到rename映射的关键静默路径</t>
        </is>
      </c>
      <c r="O18" s="6" t="inlineStr">
        <is>
          <t>本方案结构化模型</t>
        </is>
      </c>
      <c r="P18" s="9" t="n"/>
      <c r="Q18" s="9" t="n"/>
      <c r="R18" s="9" t="n"/>
      <c r="S18" s="9" t="n"/>
      <c r="T18" s="9" t="n"/>
      <c r="U18" s="9" t="n"/>
      <c r="V18" s="9" t="n"/>
      <c r="W18" s="9" t="n"/>
      <c r="X18" s="12">
        <f>IF(OR(R18="",R18-AP18&lt;=0),"",AB18/(R18-AP18))</f>
        <v/>
      </c>
      <c r="Y18" s="12">
        <f>IFERROR(R18/AR18,0)</f>
        <v/>
      </c>
      <c r="Z18" s="9" t="inlineStr">
        <is>
          <t>待执行</t>
        </is>
      </c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12">
        <f>IF(OR(R18="",R18-AP18&lt;=0),"",AO18/(R18-AP18))</f>
        <v/>
      </c>
      <c r="AM18" s="11">
        <f>IF(R18="","",SUM(AC18:AF18)-(R18-AP18))</f>
        <v/>
      </c>
      <c r="AN18" s="11">
        <f>IF(R18="","",SUM(S18:W18)+AP18-R18)</f>
        <v/>
      </c>
      <c r="AO18" s="9" t="n"/>
      <c r="AP18" s="9" t="n"/>
      <c r="AQ18" s="27" t="inlineStr">
        <is>
          <t>D04-a src0替换；D04-b src1替换；D04-c src0/src1互换；D04-d dst替换；D04-e x0注入；子模型分开统计</t>
        </is>
      </c>
      <c r="AR18" s="39" t="n"/>
      <c r="AS18" s="39">
        <f>IFERROR(AR18/Q18,0)</f>
        <v/>
      </c>
      <c r="AT18" s="39" t="n">
        <v>30</v>
      </c>
      <c r="AU18" s="39" t="n">
        <v>385</v>
      </c>
      <c r="AV18" s="39" t="inlineStr">
        <is>
          <t>常规</t>
        </is>
      </c>
      <c r="AW18" s="39" t="inlineStr">
        <is>
          <t>累计至少385，不机械扩展到2401</t>
        </is>
      </c>
    </row>
    <row r="19" ht="118.0500030517578" customHeight="1">
      <c r="A19" s="6" t="inlineStr">
        <is>
          <t>D04-F0-W4</t>
        </is>
      </c>
      <c r="B19" s="6" t="inlineStr">
        <is>
          <t>D04</t>
        </is>
      </c>
      <c r="C19" s="6" t="inlineStr">
        <is>
          <t>Int Decode</t>
        </is>
      </c>
      <c r="D19" s="6" t="inlineStr">
        <is>
          <t>译码输出的src0/src1/dst架构寄存器号。</t>
        </is>
      </c>
      <c r="E19" s="6" t="inlineStr">
        <is>
          <t>换值</t>
        </is>
      </c>
      <c r="F19" s="6" t="inlineStr">
        <is>
          <t>把一个源或目的寄存器替换为另一当前合法架构寄存器；源互换、dst替换、x0注入分开统计。从当前有效且生命周期合法的候选集合中选择另一个合法值；禁止空闲、越界或编码非法候选。保存source/target和候选集大小。仅当替换值被消费时计activated。触发：至少两个可选架构寄存器。</t>
        </is>
      </c>
      <c r="G19" s="6" t="inlineStr">
        <is>
          <t>F0</t>
        </is>
      </c>
      <c r="H19" s="6" t="inlineStr">
        <is>
          <t>每次运行只注入1次；warm-up后在 eligible event 中均匀抽样</t>
        </is>
      </c>
      <c r="I19" s="6" t="inlineStr">
        <is>
          <t>W4 Rename-Dependency</t>
        </is>
      </c>
      <c r="J19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19" s="6" t="inlineStr">
        <is>
          <t>至少两个可选架构寄存器</t>
        </is>
      </c>
      <c r="L19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19" s="6" t="inlineStr">
        <is>
          <t>源/目的仍合法，易进入rename并产生静默数据路径；dst=x0可能掩蔽，src=x0可能稳定偏差</t>
        </is>
      </c>
      <c r="N19" s="6" t="inlineStr">
        <is>
          <t>覆盖译码字段到rename映射的关键静默路径</t>
        </is>
      </c>
      <c r="O19" s="6" t="inlineStr">
        <is>
          <t>本方案结构化模型</t>
        </is>
      </c>
      <c r="P19" s="9" t="n"/>
      <c r="Q19" s="9" t="n">
        <v>770</v>
      </c>
      <c r="R19" s="9" t="n">
        <v>770</v>
      </c>
      <c r="S19" s="9" t="n">
        <v>639</v>
      </c>
      <c r="T19" s="9" t="n">
        <v>0</v>
      </c>
      <c r="U19" s="9" t="n">
        <v>0</v>
      </c>
      <c r="V19" s="9" t="n">
        <v>131</v>
      </c>
      <c r="W19" s="9" t="n">
        <v>0</v>
      </c>
      <c r="X19" s="41" t="n">
        <v>0.1701298701298701</v>
      </c>
      <c r="Y19" s="12">
        <f>IFERROR(R19/AR19,0)</f>
        <v/>
      </c>
      <c r="Z19" s="9" t="inlineStr">
        <is>
          <t>部分证据/待核对</t>
        </is>
      </c>
      <c r="AA19" s="9" t="inlineStr">
        <is>
          <t>[2026-10-12 过渡回填|0201(huawei0201,172.168.178.81)|HEAD bf3d284|binary 1a618953|触发=F0等价(cycle1000 warm-up,max_faults1,首个eligible)] 已覆盖子模型×2(行内计数为两者合计,分开统计如下):D04-c(src0/src1互换,src_swap,decode/dep_chain):385/385/Masked 310/Crash 75/SDC 75（RAS-silent Crash）;D04-e(x0注入,x0_sub,decode/dep_chain):385/385/Masked 329/Crash 56/SDC 56（RAS-silent Crash）。未运行子模型:D04-a/b/d。证据:runs/formal_D04c_depchain/c0000/results.jsonl;runs/formal_D04e_depchain/c0000/results.jsonl;artifacts/formal_D04{c,e}_depchain/summary.md;双通道审计(subagent A)PASS；[2026-10-12 SDC口径修正] SDC=131（Data Corruption 0+RAS-silent Crash 131+RAS-silent Timeout 0），原始结局计数不变</t>
        </is>
      </c>
      <c r="AB19" s="9" t="n">
        <v>131</v>
      </c>
      <c r="AC19" s="9" t="n">
        <v>0</v>
      </c>
      <c r="AD19" s="9" t="n">
        <v>131</v>
      </c>
      <c r="AE19" s="9" t="n">
        <v>0</v>
      </c>
      <c r="AF19" s="9" t="n">
        <v>639</v>
      </c>
      <c r="AG19" s="9" t="n"/>
      <c r="AH19" s="9" t="n"/>
      <c r="AI19" s="9" t="n">
        <v>131</v>
      </c>
      <c r="AJ19" s="9" t="n">
        <v>0</v>
      </c>
      <c r="AK19" s="9" t="inlineStr">
        <is>
          <t>SE口径首检：Masked及仅由离线oracle发现的Data Corruption→None；架构Crash/已归因Timeout→OS；Hardware RAS任意时点=0（B0无ECC/parity）。OS/Application检出不排除SDC。</t>
        </is>
      </c>
      <c r="AL19" s="41" t="n">
        <v>0</v>
      </c>
      <c r="AM19" s="11" t="n">
        <v>0</v>
      </c>
      <c r="AN19" s="11">
        <f>IF(R19="","",SUM(S19:W19)+AP19-R19)</f>
        <v/>
      </c>
      <c r="AO19" s="9" t="n">
        <v>0</v>
      </c>
      <c r="AP19" s="9" t="n">
        <v>0</v>
      </c>
      <c r="AQ19" s="27" t="inlineStr">
        <is>
          <t>D04-a src0替换；D04-b src1替换；D04-c src0/src1互换；D04-d dst替换；D04-e x0注入；子模型分开统计</t>
        </is>
      </c>
      <c r="AR19" s="39" t="n"/>
      <c r="AS19" s="39">
        <f>IFERROR(AR19/Q19,0)</f>
        <v/>
      </c>
      <c r="AT19" s="39" t="n">
        <v>30</v>
      </c>
      <c r="AU19" s="39" t="n">
        <v>385</v>
      </c>
      <c r="AV19" s="39" t="inlineStr">
        <is>
          <t>常规</t>
        </is>
      </c>
      <c r="AW19" s="39" t="inlineStr">
        <is>
          <t>累计至少385，不机械扩展到2401</t>
        </is>
      </c>
    </row>
    <row r="20" ht="118.0500030517578" customHeight="1">
      <c r="A20" s="6" t="inlineStr">
        <is>
          <t>D04-F2-W3</t>
        </is>
      </c>
      <c r="B20" s="6" t="inlineStr">
        <is>
          <t>D04</t>
        </is>
      </c>
      <c r="C20" s="6" t="inlineStr">
        <is>
          <t>Int Decode</t>
        </is>
      </c>
      <c r="D20" s="6" t="inlineStr">
        <is>
          <t>译码输出的src0/src1/dst架构寄存器号。</t>
        </is>
      </c>
      <c r="E20" s="6" t="inlineStr">
        <is>
          <t>换值</t>
        </is>
      </c>
      <c r="F20" s="6" t="inlineStr">
        <is>
          <t>把一个源或目的寄存器替换为另一当前合法架构寄存器；源互换、dst替换、x0注入分开统计。从当前有效且生命周期合法的候选集合中选择另一个合法值；禁止空闲、越界或编码非法候选。保存source/target和候选集大小。仅当替换值被消费时计activated。触发：至少两个可选架构寄存器。</t>
        </is>
      </c>
      <c r="G20" s="6" t="inlineStr">
        <is>
          <t>F2</t>
        </is>
      </c>
      <c r="H20" s="6" t="inlineStr">
        <is>
          <t>平均每100,000个 eligible events 注入1次，间隔加入±50%抖动</t>
        </is>
      </c>
      <c r="I20" s="6" t="inlineStr">
        <is>
          <t>W3 A64-DecodeProbe</t>
        </is>
      </c>
      <c r="J20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20" s="6" t="inlineStr">
        <is>
          <t>至少两个可选架构寄存器</t>
        </is>
      </c>
      <c r="L20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20" s="6" t="inlineStr">
        <is>
          <t>源/目的仍合法，易进入rename并产生静默数据路径；dst=x0可能掩蔽，src=x0可能稳定偏差</t>
        </is>
      </c>
      <c r="N20" s="6" t="inlineStr">
        <is>
          <t>覆盖译码字段到rename映射的关键静默路径</t>
        </is>
      </c>
      <c r="O20" s="6" t="inlineStr">
        <is>
          <t>本方案结构化模型</t>
        </is>
      </c>
      <c r="P20" s="9" t="n"/>
      <c r="Q20" s="9" t="n"/>
      <c r="R20" s="9" t="n"/>
      <c r="S20" s="9" t="n"/>
      <c r="T20" s="9" t="n"/>
      <c r="U20" s="9" t="n"/>
      <c r="V20" s="9" t="n"/>
      <c r="W20" s="9" t="n"/>
      <c r="X20" s="12">
        <f>IF(OR(R20="",R20-AP20&lt;=0),"",AB20/(R20-AP20))</f>
        <v/>
      </c>
      <c r="Y20" s="12">
        <f>IFERROR(R20/AR20,0)</f>
        <v/>
      </c>
      <c r="Z20" s="9" t="inlineStr">
        <is>
          <t>待执行</t>
        </is>
      </c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12">
        <f>IF(OR(R20="",R20-AP20&lt;=0),"",AO20/(R20-AP20))</f>
        <v/>
      </c>
      <c r="AM20" s="11">
        <f>IF(R20="","",SUM(AC20:AF20)-(R20-AP20))</f>
        <v/>
      </c>
      <c r="AN20" s="11">
        <f>IF(R20="","",SUM(S20:W20)+AP20-R20)</f>
        <v/>
      </c>
      <c r="AO20" s="9" t="n"/>
      <c r="AP20" s="9" t="n"/>
      <c r="AQ20" s="27" t="inlineStr">
        <is>
          <t>D04-a src0替换；D04-b src1替换；D04-c src0/src1互换；D04-d dst替换；D04-e x0注入；子模型分开统计</t>
        </is>
      </c>
      <c r="AR20" s="39" t="n"/>
      <c r="AS20" s="39">
        <f>IFERROR(AR20/Q20,0)</f>
        <v/>
      </c>
      <c r="AT20" s="39" t="n">
        <v>30</v>
      </c>
      <c r="AU20" s="39" t="n">
        <v>385</v>
      </c>
      <c r="AV20" s="39" t="inlineStr">
        <is>
          <t>常规</t>
        </is>
      </c>
      <c r="AW20" s="39" t="inlineStr">
        <is>
          <t>累计至少385，不机械扩展到2401</t>
        </is>
      </c>
    </row>
    <row r="21" ht="118.0500030517578" customHeight="1">
      <c r="A21" s="6" t="inlineStr">
        <is>
          <t>D04-F2-W4</t>
        </is>
      </c>
      <c r="B21" s="6" t="inlineStr">
        <is>
          <t>D04</t>
        </is>
      </c>
      <c r="C21" s="6" t="inlineStr">
        <is>
          <t>Int Decode</t>
        </is>
      </c>
      <c r="D21" s="6" t="inlineStr">
        <is>
          <t>译码输出的src0/src1/dst架构寄存器号。</t>
        </is>
      </c>
      <c r="E21" s="6" t="inlineStr">
        <is>
          <t>换值</t>
        </is>
      </c>
      <c r="F21" s="6" t="inlineStr">
        <is>
          <t>把一个源或目的寄存器替换为另一当前合法架构寄存器；源互换、dst替换、x0注入分开统计。从当前有效且生命周期合法的候选集合中选择另一个合法值；禁止空闲、越界或编码非法候选。保存source/target和候选集大小。仅当替换值被消费时计activated。触发：至少两个可选架构寄存器。</t>
        </is>
      </c>
      <c r="G21" s="6" t="inlineStr">
        <is>
          <t>F2</t>
        </is>
      </c>
      <c r="H21" s="6" t="inlineStr">
        <is>
          <t>平均每100,000个 eligible events 注入1次，间隔加入±50%抖动</t>
        </is>
      </c>
      <c r="I21" s="6" t="inlineStr">
        <is>
          <t>W4 Rename-Dependency</t>
        </is>
      </c>
      <c r="J21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21" s="6" t="inlineStr">
        <is>
          <t>至少两个可选架构寄存器</t>
        </is>
      </c>
      <c r="L21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21" s="6" t="inlineStr">
        <is>
          <t>源/目的仍合法，易进入rename并产生静默数据路径；dst=x0可能掩蔽，src=x0可能稳定偏差</t>
        </is>
      </c>
      <c r="N21" s="6" t="inlineStr">
        <is>
          <t>覆盖译码字段到rename映射的关键静默路径</t>
        </is>
      </c>
      <c r="O21" s="6" t="inlineStr">
        <is>
          <t>本方案结构化模型</t>
        </is>
      </c>
      <c r="P21" s="9" t="n"/>
      <c r="Q21" s="9" t="n"/>
      <c r="R21" s="9" t="n"/>
      <c r="S21" s="9" t="n"/>
      <c r="T21" s="9" t="n"/>
      <c r="U21" s="9" t="n"/>
      <c r="V21" s="9" t="n"/>
      <c r="W21" s="9" t="n"/>
      <c r="X21" s="12">
        <f>IF(OR(R21="",R21-AP21&lt;=0),"",AB21/(R21-AP21))</f>
        <v/>
      </c>
      <c r="Y21" s="12">
        <f>IFERROR(R21/AR21,0)</f>
        <v/>
      </c>
      <c r="Z21" s="9" t="inlineStr">
        <is>
          <t>待执行</t>
        </is>
      </c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12">
        <f>IF(OR(R21="",R21-AP21&lt;=0),"",AO21/(R21-AP21))</f>
        <v/>
      </c>
      <c r="AM21" s="11">
        <f>IF(R21="","",SUM(AC21:AF21)-(R21-AP21))</f>
        <v/>
      </c>
      <c r="AN21" s="11">
        <f>IF(R21="","",SUM(S21:W21)+AP21-R21)</f>
        <v/>
      </c>
      <c r="AO21" s="9" t="n"/>
      <c r="AP21" s="9" t="n"/>
      <c r="AQ21" s="27" t="inlineStr">
        <is>
          <t>D04-a src0替换；D04-b src1替换；D04-c src0/src1互换；D04-d dst替换；D04-e x0注入；子模型分开统计</t>
        </is>
      </c>
      <c r="AR21" s="39" t="n"/>
      <c r="AS21" s="39">
        <f>IFERROR(AR21/Q21,0)</f>
        <v/>
      </c>
      <c r="AT21" s="39" t="n">
        <v>30</v>
      </c>
      <c r="AU21" s="39" t="n">
        <v>385</v>
      </c>
      <c r="AV21" s="39" t="inlineStr">
        <is>
          <t>常规</t>
        </is>
      </c>
      <c r="AW21" s="39" t="inlineStr">
        <is>
          <t>累计至少385，不机械扩展到2401</t>
        </is>
      </c>
    </row>
    <row r="22" ht="118.0500030517578" customHeight="1">
      <c r="A22" s="6" t="inlineStr">
        <is>
          <t>D04-F6-W3</t>
        </is>
      </c>
      <c r="B22" s="6" t="inlineStr">
        <is>
          <t>D04</t>
        </is>
      </c>
      <c r="C22" s="6" t="inlineStr">
        <is>
          <t>Int Decode</t>
        </is>
      </c>
      <c r="D22" s="6" t="inlineStr">
        <is>
          <t>译码输出的src0/src1/dst架构寄存器号。</t>
        </is>
      </c>
      <c r="E22" s="6" t="inlineStr">
        <is>
          <t>换值</t>
        </is>
      </c>
      <c r="F22" s="6" t="inlineStr">
        <is>
          <t>把一个源或目的寄存器替换为另一当前合法架构寄存器；源互换、dst替换、x0注入分开统计。从当前有效且生命周期合法的候选集合中选择另一个合法值；禁止空闲、越界或编码非法候选。保存source/target和候选集大小。仅当替换值被消费时计activated。触发：至少两个可选架构寄存器。</t>
        </is>
      </c>
      <c r="G22" s="6" t="inlineStr">
        <is>
          <t>F6</t>
        </is>
      </c>
      <c r="H22" s="6" t="inlineStr">
        <is>
          <t>首次出现指定稀有事件时注入1次，保证结构化模型被激活</t>
        </is>
      </c>
      <c r="I22" s="6" t="inlineStr">
        <is>
          <t>W3 A64-DecodeProbe</t>
        </is>
      </c>
      <c r="J22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22" s="6" t="inlineStr">
        <is>
          <t>至少两个可选架构寄存器</t>
        </is>
      </c>
      <c r="L22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22" s="6" t="inlineStr">
        <is>
          <t>源/目的仍合法，易进入rename并产生静默数据路径；dst=x0可能掩蔽，src=x0可能稳定偏差</t>
        </is>
      </c>
      <c r="N22" s="6" t="inlineStr">
        <is>
          <t>覆盖译码字段到rename映射的关键静默路径</t>
        </is>
      </c>
      <c r="O22" s="6" t="inlineStr">
        <is>
          <t>本方案结构化模型</t>
        </is>
      </c>
      <c r="P22" s="9" t="n"/>
      <c r="Q22" s="9" t="n"/>
      <c r="R22" s="9" t="n"/>
      <c r="S22" s="9" t="n"/>
      <c r="T22" s="9" t="n"/>
      <c r="U22" s="9" t="n"/>
      <c r="V22" s="9" t="n"/>
      <c r="W22" s="9" t="n"/>
      <c r="X22" s="12">
        <f>IF(OR(R22="",R22-AP22&lt;=0),"",AB22/(R22-AP22))</f>
        <v/>
      </c>
      <c r="Y22" s="12">
        <f>IFERROR(R22/AR22,0)</f>
        <v/>
      </c>
      <c r="Z22" s="9" t="inlineStr">
        <is>
          <t>待执行</t>
        </is>
      </c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12">
        <f>IF(OR(R22="",R22-AP22&lt;=0),"",AO22/(R22-AP22))</f>
        <v/>
      </c>
      <c r="AM22" s="11">
        <f>IF(R22="","",SUM(AC22:AF22)-(R22-AP22))</f>
        <v/>
      </c>
      <c r="AN22" s="11">
        <f>IF(R22="","",SUM(S22:W22)+AP22-R22)</f>
        <v/>
      </c>
      <c r="AO22" s="9" t="n"/>
      <c r="AP22" s="9" t="n"/>
      <c r="AQ22" s="27" t="inlineStr">
        <is>
          <t>D04-a src0替换；D04-b src1替换；D04-c src0/src1互换；D04-d dst替换；D04-e x0注入；子模型分开统计</t>
        </is>
      </c>
      <c r="AR22" s="39" t="n"/>
      <c r="AS22" s="39">
        <f>IFERROR(AR22/Q22,0)</f>
        <v/>
      </c>
      <c r="AT22" s="39" t="n">
        <v>30</v>
      </c>
      <c r="AU22" s="39" t="n">
        <v>385</v>
      </c>
      <c r="AV22" s="39" t="inlineStr">
        <is>
          <t>常规</t>
        </is>
      </c>
      <c r="AW22" s="39" t="inlineStr">
        <is>
          <t>累计至少385，不机械扩展到2401</t>
        </is>
      </c>
    </row>
    <row r="23" ht="118.0500030517578" customHeight="1">
      <c r="A23" s="6" t="inlineStr">
        <is>
          <t>D04-F6-W4</t>
        </is>
      </c>
      <c r="B23" s="6" t="inlineStr">
        <is>
          <t>D04</t>
        </is>
      </c>
      <c r="C23" s="6" t="inlineStr">
        <is>
          <t>Int Decode</t>
        </is>
      </c>
      <c r="D23" s="6" t="inlineStr">
        <is>
          <t>译码输出的src0/src1/dst架构寄存器号。</t>
        </is>
      </c>
      <c r="E23" s="6" t="inlineStr">
        <is>
          <t>换值</t>
        </is>
      </c>
      <c r="F23" s="6" t="inlineStr">
        <is>
          <t>把一个源或目的寄存器替换为另一当前合法架构寄存器；源互换、dst替换、x0注入分开统计。从当前有效且生命周期合法的候选集合中选择另一个合法值；禁止空闲、越界或编码非法候选。保存source/target和候选集大小。仅当替换值被消费时计activated。触发：至少两个可选架构寄存器。</t>
        </is>
      </c>
      <c r="G23" s="6" t="inlineStr">
        <is>
          <t>F6</t>
        </is>
      </c>
      <c r="H23" s="6" t="inlineStr">
        <is>
          <t>首次出现指定稀有事件时注入1次，保证结构化模型被激活</t>
        </is>
      </c>
      <c r="I23" s="6" t="inlineStr">
        <is>
          <t>W4 Rename-Dependency</t>
        </is>
      </c>
      <c r="J23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23" s="6" t="inlineStr">
        <is>
          <t>至少两个可选架构寄存器</t>
        </is>
      </c>
      <c r="L23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23" s="6" t="inlineStr">
        <is>
          <t>源/目的仍合法，易进入rename并产生静默数据路径；dst=x0可能掩蔽，src=x0可能稳定偏差</t>
        </is>
      </c>
      <c r="N23" s="6" t="inlineStr">
        <is>
          <t>覆盖译码字段到rename映射的关键静默路径</t>
        </is>
      </c>
      <c r="O23" s="6" t="inlineStr">
        <is>
          <t>本方案结构化模型</t>
        </is>
      </c>
      <c r="P23" s="9" t="n"/>
      <c r="Q23" s="9" t="n"/>
      <c r="R23" s="9" t="n"/>
      <c r="S23" s="9" t="n"/>
      <c r="T23" s="9" t="n"/>
      <c r="U23" s="9" t="n"/>
      <c r="V23" s="9" t="n"/>
      <c r="W23" s="9" t="n"/>
      <c r="X23" s="12">
        <f>IF(OR(R23="",R23-AP23&lt;=0),"",AB23/(R23-AP23))</f>
        <v/>
      </c>
      <c r="Y23" s="12">
        <f>IFERROR(R23/AR23,0)</f>
        <v/>
      </c>
      <c r="Z23" s="9" t="inlineStr">
        <is>
          <t>待执行</t>
        </is>
      </c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12">
        <f>IF(OR(R23="",R23-AP23&lt;=0),"",AO23/(R23-AP23))</f>
        <v/>
      </c>
      <c r="AM23" s="11">
        <f>IF(R23="","",SUM(AC23:AF23)-(R23-AP23))</f>
        <v/>
      </c>
      <c r="AN23" s="11">
        <f>IF(R23="","",SUM(S23:W23)+AP23-R23)</f>
        <v/>
      </c>
      <c r="AO23" s="9" t="n"/>
      <c r="AP23" s="9" t="n"/>
      <c r="AQ23" s="27" t="inlineStr">
        <is>
          <t>D04-a src0替换；D04-b src1替换；D04-c src0/src1互换；D04-d dst替换；D04-e x0注入；子模型分开统计</t>
        </is>
      </c>
      <c r="AR23" s="39" t="n"/>
      <c r="AS23" s="39">
        <f>IFERROR(AR23/Q23,0)</f>
        <v/>
      </c>
      <c r="AT23" s="39" t="n">
        <v>30</v>
      </c>
      <c r="AU23" s="39" t="n">
        <v>385</v>
      </c>
      <c r="AV23" s="39" t="inlineStr">
        <is>
          <t>常规</t>
        </is>
      </c>
      <c r="AW23" s="39" t="inlineStr">
        <is>
          <t>累计至少385，不机械扩展到2401</t>
        </is>
      </c>
    </row>
    <row r="24" ht="118.0500030517578" customHeight="1">
      <c r="A24" s="6" t="inlineStr">
        <is>
          <t>D05-F0-W3</t>
        </is>
      </c>
      <c r="B24" s="6" t="inlineStr">
        <is>
          <t>D05</t>
        </is>
      </c>
      <c r="C24" s="6" t="inlineStr">
        <is>
          <t>Int Decode</t>
        </is>
      </c>
      <c r="D24" s="6" t="inlineStr">
        <is>
          <t>立即数抽取、符号扩展与分段拼接输出。</t>
        </is>
      </c>
      <c r="E24" s="6" t="inlineStr">
        <is>
          <t>错位拼接</t>
        </is>
      </c>
      <c r="F24" s="6" t="inlineStr">
        <is>
          <t>将imm片段互换、循环移位、符号扩展改零扩展或读取上一条imm；每种规则独立，保留完整位宽。仅命中含对应立即数字段的指令且错误imm被执行时计activated。</t>
        </is>
      </c>
      <c r="G24" s="6" t="inlineStr">
        <is>
          <t>F0</t>
        </is>
      </c>
      <c r="H24" s="6" t="inlineStr">
        <is>
          <t>每次运行只注入1次；warm-up后在 eligible event 中均匀抽样</t>
        </is>
      </c>
      <c r="I24" s="6" t="inlineStr">
        <is>
          <t>W3 A64-DecodeProbe</t>
        </is>
      </c>
      <c r="J24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24" s="6" t="inlineStr">
        <is>
          <t>命中立即数/shift/extend指令</t>
        </is>
      </c>
      <c r="L24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24" s="6" t="inlineStr">
        <is>
          <t>地址/算术立即数仍合法时易SDC；分支偏移错误更易控制流异常</t>
        </is>
      </c>
      <c r="N24" s="6" t="inlineStr">
        <is>
          <t>适配A64分散立即数字段和扩展逻辑</t>
        </is>
      </c>
      <c r="O24" s="6" t="inlineStr">
        <is>
          <t>本方案结构化模型</t>
        </is>
      </c>
      <c r="P24" s="9" t="n"/>
      <c r="Q24" s="9" t="n"/>
      <c r="R24" s="9" t="n"/>
      <c r="S24" s="9" t="n"/>
      <c r="T24" s="9" t="n"/>
      <c r="U24" s="9" t="n"/>
      <c r="V24" s="9" t="n"/>
      <c r="W24" s="9" t="n"/>
      <c r="X24" s="12">
        <f>IF(OR(R24="",R24-AP24&lt;=0),"",AB24/(R24-AP24))</f>
        <v/>
      </c>
      <c r="Y24" s="12">
        <f>IFERROR(R24/AR24,0)</f>
        <v/>
      </c>
      <c r="Z24" s="9" t="inlineStr">
        <is>
          <t>待执行</t>
        </is>
      </c>
      <c r="AA24" s="9" t="inlineStr">
        <is>
          <t>[2026-10-12 过渡回填|0201(huawei0201,172.168.178.81)|HEAD bf3d284|binary 1a618953|触发=F0等价(cycle1000 warm-up,max_faults1,首个eligible)] 跨负载部分证据备注:子模型 D05-b(立即数循环移位,imm_rotate,decode)已于非矩阵负载 dep_chain(W4) 完成 385 样本(attempted 385/activated 385/Masked 277/Crash 108/SDC 108（RAS-silent Crash 108）;证据:runs/formal_D05b_depchain/c0000/results.jsonl;双通道审计 PASS)。本行矩阵负载 W3 A64-DecodeProbe 未运行(D05 无 W4 行),不关闭本 RunID。；[2026-10-12 SDC口径修正] 跨负载证据仅修正分类口径，仍不关闭本RunID</t>
        </is>
      </c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12">
        <f>IF(OR(R24="",R24-AP24&lt;=0),"",AO24/(R24-AP24))</f>
        <v/>
      </c>
      <c r="AM24" s="11">
        <f>IF(R24="","",SUM(AC24:AF24)-(R24-AP24))</f>
        <v/>
      </c>
      <c r="AN24" s="11">
        <f>IF(R24="","",SUM(S24:W24)+AP24-R24)</f>
        <v/>
      </c>
      <c r="AO24" s="9" t="n"/>
      <c r="AP24" s="9" t="n"/>
      <c r="AQ24" s="27" t="inlineStr">
        <is>
          <t>D05-a 立即数字段互换；D05-b 立即数循环移位；D05-c 符号扩展↔零扩展；D05-d 读取上一条立即数</t>
        </is>
      </c>
      <c r="AR24" s="39" t="n"/>
      <c r="AS24" s="39">
        <f>IFERROR(AR24/Q24,0)</f>
        <v/>
      </c>
      <c r="AT24" s="39" t="n">
        <v>30</v>
      </c>
      <c r="AU24" s="39" t="n">
        <v>385</v>
      </c>
      <c r="AV24" s="39" t="inlineStr">
        <is>
          <t>常规</t>
        </is>
      </c>
      <c r="AW24" s="39" t="inlineStr">
        <is>
          <t>累计至少385，不机械扩展到2401</t>
        </is>
      </c>
    </row>
    <row r="25" ht="118.0500030517578" customHeight="1">
      <c r="A25" s="6" t="inlineStr">
        <is>
          <t>D05-F0-W6</t>
        </is>
      </c>
      <c r="B25" s="6" t="inlineStr">
        <is>
          <t>D05</t>
        </is>
      </c>
      <c r="C25" s="6" t="inlineStr">
        <is>
          <t>Int Decode</t>
        </is>
      </c>
      <c r="D25" s="6" t="inlineStr">
        <is>
          <t>立即数抽取、符号扩展与分段拼接输出。</t>
        </is>
      </c>
      <c r="E25" s="6" t="inlineStr">
        <is>
          <t>错位拼接</t>
        </is>
      </c>
      <c r="F25" s="6" t="inlineStr">
        <is>
          <t>将imm片段互换、循环移位、符号扩展改零扩展或读取上一条imm；每种规则独立，保留完整位宽。仅命中含对应立即数字段的指令且错误imm被执行时计activated。</t>
        </is>
      </c>
      <c r="G25" s="6" t="inlineStr">
        <is>
          <t>F0</t>
        </is>
      </c>
      <c r="H25" s="6" t="inlineStr">
        <is>
          <t>每次运行只注入1次；warm-up后在 eligible event 中均匀抽样</t>
        </is>
      </c>
      <c r="I25" s="6" t="inlineStr">
        <is>
          <t>W6 CoreMark+Embench</t>
        </is>
      </c>
      <c r="J25" s="6" t="inlineStr">
        <is>
          <t>CoreMark+Embench（公开通用）
执行定义与oracle：CoreMark 与 Embench 全集；固定编译器/优化/输入；使用内置校验及输出 hash</t>
        </is>
      </c>
      <c r="K25" s="6" t="inlineStr">
        <is>
          <t>命中立即数/shift/extend指令</t>
        </is>
      </c>
      <c r="L25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25" s="6" t="inlineStr">
        <is>
          <t>地址/算术立即数仍合法时易SDC；分支偏移错误更易控制流异常</t>
        </is>
      </c>
      <c r="N25" s="6" t="inlineStr">
        <is>
          <t>适配A64分散立即数字段和扩展逻辑</t>
        </is>
      </c>
      <c r="O25" s="6" t="inlineStr">
        <is>
          <t>本方案结构化模型</t>
        </is>
      </c>
      <c r="P25" s="9" t="n"/>
      <c r="Q25" s="9" t="n"/>
      <c r="R25" s="9" t="n"/>
      <c r="S25" s="9" t="n"/>
      <c r="T25" s="9" t="n"/>
      <c r="U25" s="9" t="n"/>
      <c r="V25" s="9" t="n"/>
      <c r="W25" s="9" t="n"/>
      <c r="X25" s="12">
        <f>IF(OR(R25="",R25-AP25&lt;=0),"",AB25/(R25-AP25))</f>
        <v/>
      </c>
      <c r="Y25" s="12">
        <f>IFERROR(R25/AR25,0)</f>
        <v/>
      </c>
      <c r="Z25" s="9" t="inlineStr">
        <is>
          <t>待执行</t>
        </is>
      </c>
      <c r="AA25" s="9" t="inlineStr">
        <is>
          <t>[2026-10-12 过渡回填|0201(huawei0201,172.168.178.81)|HEAD bf3d284|binary 1a618953|触发=F0等价(cycle1000 warm-up,max_faults1,首个eligible)] 跨负载部分证据备注:子模型 D05-b(imm_rotate)已于非矩阵负载 dep_chain(W4) 完成 385 样本(Masked 277/Crash 108/SDC 108（RAS-silent Crash 108）;证据:runs/formal_D05b_depchain/c0000/results.jsonl)。本行矩阵负载 W6 CoreMark+Embench 未运行,不关闭本 RunID。；[2026-10-12 SDC口径修正] 跨负载证据仅修正分类口径，仍不关闭本RunID</t>
        </is>
      </c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12">
        <f>IF(OR(R25="",R25-AP25&lt;=0),"",AO25/(R25-AP25))</f>
        <v/>
      </c>
      <c r="AM25" s="11">
        <f>IF(R25="","",SUM(AC25:AF25)-(R25-AP25))</f>
        <v/>
      </c>
      <c r="AN25" s="11">
        <f>IF(R25="","",SUM(S25:W25)+AP25-R25)</f>
        <v/>
      </c>
      <c r="AO25" s="9" t="n"/>
      <c r="AP25" s="9" t="n"/>
      <c r="AQ25" s="27" t="inlineStr">
        <is>
          <t>D05-a 立即数字段互换；D05-b 立即数循环移位；D05-c 符号扩展↔零扩展；D05-d 读取上一条立即数</t>
        </is>
      </c>
      <c r="AR25" s="39" t="n"/>
      <c r="AS25" s="39">
        <f>IFERROR(AR25/Q25,0)</f>
        <v/>
      </c>
      <c r="AT25" s="39" t="n">
        <v>30</v>
      </c>
      <c r="AU25" s="39" t="n">
        <v>385</v>
      </c>
      <c r="AV25" s="39" t="inlineStr">
        <is>
          <t>常规</t>
        </is>
      </c>
      <c r="AW25" s="39" t="inlineStr">
        <is>
          <t>累计至少385，不机械扩展到2401</t>
        </is>
      </c>
    </row>
    <row r="26" ht="118.0500030517578" customHeight="1">
      <c r="A26" s="6" t="inlineStr">
        <is>
          <t>D05-F2-W3</t>
        </is>
      </c>
      <c r="B26" s="6" t="inlineStr">
        <is>
          <t>D05</t>
        </is>
      </c>
      <c r="C26" s="6" t="inlineStr">
        <is>
          <t>Int Decode</t>
        </is>
      </c>
      <c r="D26" s="6" t="inlineStr">
        <is>
          <t>立即数抽取、符号扩展与分段拼接输出。</t>
        </is>
      </c>
      <c r="E26" s="6" t="inlineStr">
        <is>
          <t>错位拼接</t>
        </is>
      </c>
      <c r="F26" s="6" t="inlineStr">
        <is>
          <t>将imm片段互换、循环移位、符号扩展改零扩展或读取上一条imm；每种规则独立，保留完整位宽。仅命中含对应立即数字段的指令且错误imm被执行时计activated。</t>
        </is>
      </c>
      <c r="G26" s="6" t="inlineStr">
        <is>
          <t>F2</t>
        </is>
      </c>
      <c r="H26" s="6" t="inlineStr">
        <is>
          <t>平均每100,000个 eligible events 注入1次，间隔加入±50%抖动</t>
        </is>
      </c>
      <c r="I26" s="6" t="inlineStr">
        <is>
          <t>W3 A64-DecodeProbe</t>
        </is>
      </c>
      <c r="J26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26" s="6" t="inlineStr">
        <is>
          <t>命中立即数/shift/extend指令</t>
        </is>
      </c>
      <c r="L26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26" s="6" t="inlineStr">
        <is>
          <t>地址/算术立即数仍合法时易SDC；分支偏移错误更易控制流异常</t>
        </is>
      </c>
      <c r="N26" s="6" t="inlineStr">
        <is>
          <t>适配A64分散立即数字段和扩展逻辑</t>
        </is>
      </c>
      <c r="O26" s="6" t="inlineStr">
        <is>
          <t>本方案结构化模型</t>
        </is>
      </c>
      <c r="P26" s="9" t="n"/>
      <c r="Q26" s="9" t="n"/>
      <c r="R26" s="9" t="n"/>
      <c r="S26" s="9" t="n"/>
      <c r="T26" s="9" t="n"/>
      <c r="U26" s="9" t="n"/>
      <c r="V26" s="9" t="n"/>
      <c r="W26" s="9" t="n"/>
      <c r="X26" s="12">
        <f>IF(OR(R26="",R26-AP26&lt;=0),"",AB26/(R26-AP26))</f>
        <v/>
      </c>
      <c r="Y26" s="12">
        <f>IFERROR(R26/AR26,0)</f>
        <v/>
      </c>
      <c r="Z26" s="9" t="inlineStr">
        <is>
          <t>待执行</t>
        </is>
      </c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12">
        <f>IF(OR(R26="",R26-AP26&lt;=0),"",AO26/(R26-AP26))</f>
        <v/>
      </c>
      <c r="AM26" s="11">
        <f>IF(R26="","",SUM(AC26:AF26)-(R26-AP26))</f>
        <v/>
      </c>
      <c r="AN26" s="11">
        <f>IF(R26="","",SUM(S26:W26)+AP26-R26)</f>
        <v/>
      </c>
      <c r="AO26" s="9" t="n"/>
      <c r="AP26" s="9" t="n"/>
      <c r="AQ26" s="27" t="inlineStr">
        <is>
          <t>D05-a 立即数字段互换；D05-b 立即数循环移位；D05-c 符号扩展↔零扩展；D05-d 读取上一条立即数</t>
        </is>
      </c>
      <c r="AR26" s="39" t="n"/>
      <c r="AS26" s="39">
        <f>IFERROR(AR26/Q26,0)</f>
        <v/>
      </c>
      <c r="AT26" s="39" t="n">
        <v>30</v>
      </c>
      <c r="AU26" s="39" t="n">
        <v>385</v>
      </c>
      <c r="AV26" s="39" t="inlineStr">
        <is>
          <t>常规</t>
        </is>
      </c>
      <c r="AW26" s="39" t="inlineStr">
        <is>
          <t>累计至少385，不机械扩展到2401</t>
        </is>
      </c>
    </row>
    <row r="27" ht="118.0500030517578" customHeight="1">
      <c r="A27" s="6" t="inlineStr">
        <is>
          <t>D05-F2-W6</t>
        </is>
      </c>
      <c r="B27" s="6" t="inlineStr">
        <is>
          <t>D05</t>
        </is>
      </c>
      <c r="C27" s="6" t="inlineStr">
        <is>
          <t>Int Decode</t>
        </is>
      </c>
      <c r="D27" s="6" t="inlineStr">
        <is>
          <t>立即数抽取、符号扩展与分段拼接输出。</t>
        </is>
      </c>
      <c r="E27" s="6" t="inlineStr">
        <is>
          <t>错位拼接</t>
        </is>
      </c>
      <c r="F27" s="6" t="inlineStr">
        <is>
          <t>将imm片段互换、循环移位、符号扩展改零扩展或读取上一条imm；每种规则独立，保留完整位宽。仅命中含对应立即数字段的指令且错误imm被执行时计activated。</t>
        </is>
      </c>
      <c r="G27" s="6" t="inlineStr">
        <is>
          <t>F2</t>
        </is>
      </c>
      <c r="H27" s="6" t="inlineStr">
        <is>
          <t>平均每100,000个 eligible events 注入1次，间隔加入±50%抖动</t>
        </is>
      </c>
      <c r="I27" s="6" t="inlineStr">
        <is>
          <t>W6 CoreMark+Embench</t>
        </is>
      </c>
      <c r="J27" s="6" t="inlineStr">
        <is>
          <t>CoreMark+Embench（公开通用）
执行定义与oracle：CoreMark 与 Embench 全集；固定编译器/优化/输入；使用内置校验及输出 hash</t>
        </is>
      </c>
      <c r="K27" s="6" t="inlineStr">
        <is>
          <t>命中立即数/shift/extend指令</t>
        </is>
      </c>
      <c r="L27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27" s="6" t="inlineStr">
        <is>
          <t>地址/算术立即数仍合法时易SDC；分支偏移错误更易控制流异常</t>
        </is>
      </c>
      <c r="N27" s="6" t="inlineStr">
        <is>
          <t>适配A64分散立即数字段和扩展逻辑</t>
        </is>
      </c>
      <c r="O27" s="6" t="inlineStr">
        <is>
          <t>本方案结构化模型</t>
        </is>
      </c>
      <c r="P27" s="9" t="n"/>
      <c r="Q27" s="9" t="n"/>
      <c r="R27" s="9" t="n"/>
      <c r="S27" s="9" t="n"/>
      <c r="T27" s="9" t="n"/>
      <c r="U27" s="9" t="n"/>
      <c r="V27" s="9" t="n"/>
      <c r="W27" s="9" t="n"/>
      <c r="X27" s="12">
        <f>IF(OR(R27="",R27-AP27&lt;=0),"",AB27/(R27-AP27))</f>
        <v/>
      </c>
      <c r="Y27" s="12">
        <f>IFERROR(R27/AR27,0)</f>
        <v/>
      </c>
      <c r="Z27" s="9" t="inlineStr">
        <is>
          <t>待执行</t>
        </is>
      </c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12">
        <f>IF(OR(R27="",R27-AP27&lt;=0),"",AO27/(R27-AP27))</f>
        <v/>
      </c>
      <c r="AM27" s="11">
        <f>IF(R27="","",SUM(AC27:AF27)-(R27-AP27))</f>
        <v/>
      </c>
      <c r="AN27" s="11">
        <f>IF(R27="","",SUM(S27:W27)+AP27-R27)</f>
        <v/>
      </c>
      <c r="AO27" s="9" t="n"/>
      <c r="AP27" s="9" t="n"/>
      <c r="AQ27" s="27" t="inlineStr">
        <is>
          <t>D05-a 立即数字段互换；D05-b 立即数循环移位；D05-c 符号扩展↔零扩展；D05-d 读取上一条立即数</t>
        </is>
      </c>
      <c r="AR27" s="39" t="n"/>
      <c r="AS27" s="39">
        <f>IFERROR(AR27/Q27,0)</f>
        <v/>
      </c>
      <c r="AT27" s="39" t="n">
        <v>30</v>
      </c>
      <c r="AU27" s="39" t="n">
        <v>385</v>
      </c>
      <c r="AV27" s="39" t="inlineStr">
        <is>
          <t>常规</t>
        </is>
      </c>
      <c r="AW27" s="39" t="inlineStr">
        <is>
          <t>累计至少385，不机械扩展到2401</t>
        </is>
      </c>
    </row>
    <row r="28" ht="118.0500030517578" customHeight="1">
      <c r="A28" s="6" t="inlineStr">
        <is>
          <t>D05-F6-W3</t>
        </is>
      </c>
      <c r="B28" s="6" t="inlineStr">
        <is>
          <t>D05</t>
        </is>
      </c>
      <c r="C28" s="6" t="inlineStr">
        <is>
          <t>Int Decode</t>
        </is>
      </c>
      <c r="D28" s="6" t="inlineStr">
        <is>
          <t>立即数抽取、符号扩展与分段拼接输出。</t>
        </is>
      </c>
      <c r="E28" s="6" t="inlineStr">
        <is>
          <t>错位拼接</t>
        </is>
      </c>
      <c r="F28" s="6" t="inlineStr">
        <is>
          <t>将imm片段互换、循环移位、符号扩展改零扩展或读取上一条imm；每种规则独立，保留完整位宽。仅命中含对应立即数字段的指令且错误imm被执行时计activated。</t>
        </is>
      </c>
      <c r="G28" s="6" t="inlineStr">
        <is>
          <t>F6</t>
        </is>
      </c>
      <c r="H28" s="6" t="inlineStr">
        <is>
          <t>首次出现指定稀有事件时注入1次，保证结构化模型被激活</t>
        </is>
      </c>
      <c r="I28" s="6" t="inlineStr">
        <is>
          <t>W3 A64-DecodeProbe</t>
        </is>
      </c>
      <c r="J28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28" s="6" t="inlineStr">
        <is>
          <t>命中立即数/shift/extend指令</t>
        </is>
      </c>
      <c r="L28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28" s="6" t="inlineStr">
        <is>
          <t>地址/算术立即数仍合法时易SDC；分支偏移错误更易控制流异常</t>
        </is>
      </c>
      <c r="N28" s="6" t="inlineStr">
        <is>
          <t>适配A64分散立即数字段和扩展逻辑</t>
        </is>
      </c>
      <c r="O28" s="6" t="inlineStr">
        <is>
          <t>本方案结构化模型</t>
        </is>
      </c>
      <c r="P28" s="9" t="n"/>
      <c r="Q28" s="9" t="n"/>
      <c r="R28" s="9" t="n"/>
      <c r="S28" s="9" t="n"/>
      <c r="T28" s="9" t="n"/>
      <c r="U28" s="9" t="n"/>
      <c r="V28" s="9" t="n"/>
      <c r="W28" s="9" t="n"/>
      <c r="X28" s="12">
        <f>IF(OR(R28="",R28-AP28&lt;=0),"",AB28/(R28-AP28))</f>
        <v/>
      </c>
      <c r="Y28" s="12">
        <f>IFERROR(R28/AR28,0)</f>
        <v/>
      </c>
      <c r="Z28" s="9" t="inlineStr">
        <is>
          <t>待执行</t>
        </is>
      </c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12">
        <f>IF(OR(R28="",R28-AP28&lt;=0),"",AO28/(R28-AP28))</f>
        <v/>
      </c>
      <c r="AM28" s="11">
        <f>IF(R28="","",SUM(AC28:AF28)-(R28-AP28))</f>
        <v/>
      </c>
      <c r="AN28" s="11">
        <f>IF(R28="","",SUM(S28:W28)+AP28-R28)</f>
        <v/>
      </c>
      <c r="AO28" s="9" t="n"/>
      <c r="AP28" s="9" t="n"/>
      <c r="AQ28" s="27" t="inlineStr">
        <is>
          <t>D05-a 立即数字段互换；D05-b 立即数循环移位；D05-c 符号扩展↔零扩展；D05-d 读取上一条立即数</t>
        </is>
      </c>
      <c r="AR28" s="39" t="n"/>
      <c r="AS28" s="39">
        <f>IFERROR(AR28/Q28,0)</f>
        <v/>
      </c>
      <c r="AT28" s="39" t="n">
        <v>30</v>
      </c>
      <c r="AU28" s="39" t="n">
        <v>385</v>
      </c>
      <c r="AV28" s="39" t="inlineStr">
        <is>
          <t>常规</t>
        </is>
      </c>
      <c r="AW28" s="39" t="inlineStr">
        <is>
          <t>累计至少385，不机械扩展到2401</t>
        </is>
      </c>
    </row>
    <row r="29" ht="118.0500030517578" customHeight="1">
      <c r="A29" s="6" t="inlineStr">
        <is>
          <t>D05-F6-W6</t>
        </is>
      </c>
      <c r="B29" s="6" t="inlineStr">
        <is>
          <t>D05</t>
        </is>
      </c>
      <c r="C29" s="6" t="inlineStr">
        <is>
          <t>Int Decode</t>
        </is>
      </c>
      <c r="D29" s="6" t="inlineStr">
        <is>
          <t>立即数抽取、符号扩展与分段拼接输出。</t>
        </is>
      </c>
      <c r="E29" s="6" t="inlineStr">
        <is>
          <t>错位拼接</t>
        </is>
      </c>
      <c r="F29" s="6" t="inlineStr">
        <is>
          <t>将imm片段互换、循环移位、符号扩展改零扩展或读取上一条imm；每种规则独立，保留完整位宽。仅命中含对应立即数字段的指令且错误imm被执行时计activated。</t>
        </is>
      </c>
      <c r="G29" s="6" t="inlineStr">
        <is>
          <t>F6</t>
        </is>
      </c>
      <c r="H29" s="6" t="inlineStr">
        <is>
          <t>首次出现指定稀有事件时注入1次，保证结构化模型被激活</t>
        </is>
      </c>
      <c r="I29" s="6" t="inlineStr">
        <is>
          <t>W6 CoreMark+Embench</t>
        </is>
      </c>
      <c r="J29" s="6" t="inlineStr">
        <is>
          <t>CoreMark+Embench（公开通用）
执行定义与oracle：CoreMark 与 Embench 全集；固定编译器/优化/输入；使用内置校验及输出 hash</t>
        </is>
      </c>
      <c r="K29" s="6" t="inlineStr">
        <is>
          <t>命中立即数/shift/extend指令</t>
        </is>
      </c>
      <c r="L29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29" s="6" t="inlineStr">
        <is>
          <t>地址/算术立即数仍合法时易SDC；分支偏移错误更易控制流异常</t>
        </is>
      </c>
      <c r="N29" s="6" t="inlineStr">
        <is>
          <t>适配A64分散立即数字段和扩展逻辑</t>
        </is>
      </c>
      <c r="O29" s="6" t="inlineStr">
        <is>
          <t>本方案结构化模型</t>
        </is>
      </c>
      <c r="P29" s="9" t="n"/>
      <c r="Q29" s="9" t="n"/>
      <c r="R29" s="9" t="n"/>
      <c r="S29" s="9" t="n"/>
      <c r="T29" s="9" t="n"/>
      <c r="U29" s="9" t="n"/>
      <c r="V29" s="9" t="n"/>
      <c r="W29" s="9" t="n"/>
      <c r="X29" s="12">
        <f>IF(OR(R29="",R29-AP29&lt;=0),"",AB29/(R29-AP29))</f>
        <v/>
      </c>
      <c r="Y29" s="12">
        <f>IFERROR(R29/AR29,0)</f>
        <v/>
      </c>
      <c r="Z29" s="9" t="inlineStr">
        <is>
          <t>待执行</t>
        </is>
      </c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12">
        <f>IF(OR(R29="",R29-AP29&lt;=0),"",AO29/(R29-AP29))</f>
        <v/>
      </c>
      <c r="AM29" s="11">
        <f>IF(R29="","",SUM(AC29:AF29)-(R29-AP29))</f>
        <v/>
      </c>
      <c r="AN29" s="11">
        <f>IF(R29="","",SUM(S29:W29)+AP29-R29)</f>
        <v/>
      </c>
      <c r="AO29" s="9" t="n"/>
      <c r="AP29" s="9" t="n"/>
      <c r="AQ29" s="27" t="inlineStr">
        <is>
          <t>D05-a 立即数字段互换；D05-b 立即数循环移位；D05-c 符号扩展↔零扩展；D05-d 读取上一条立即数</t>
        </is>
      </c>
      <c r="AR29" s="39" t="n"/>
      <c r="AS29" s="39">
        <f>IFERROR(AR29/Q29,0)</f>
        <v/>
      </c>
      <c r="AT29" s="39" t="n">
        <v>30</v>
      </c>
      <c r="AU29" s="39" t="n">
        <v>385</v>
      </c>
      <c r="AV29" s="39" t="inlineStr">
        <is>
          <t>常规</t>
        </is>
      </c>
      <c r="AW29" s="39" t="inlineStr">
        <is>
          <t>累计至少385，不机械扩展到2401</t>
        </is>
      </c>
    </row>
    <row r="30" ht="118.0500030517578" customHeight="1">
      <c r="A30" s="6" t="inlineStr">
        <is>
          <t>D06-F0-W3</t>
        </is>
      </c>
      <c r="B30" s="6" t="inlineStr">
        <is>
          <t>D06</t>
        </is>
      </c>
      <c r="C30" s="6" t="inlineStr">
        <is>
          <t>Int Decode</t>
        </is>
      </c>
      <c r="D30" s="6" t="inlineStr">
        <is>
          <t>位宽、shift/extend、setflags、signed/unsigned等控制位输出。</t>
        </is>
      </c>
      <c r="E30" s="6" t="inlineStr">
        <is>
          <t>状态</t>
        </is>
      </c>
      <c r="F30" s="6" t="inlineStr">
        <is>
          <t>把sf、S、shift type、extend type或条件码控制替换为另一合法组合，数据字段保持不变。清零、伪造、提前置位和延后清除分成独立子模型，每次运行只改变一种状态转移；记录前后状态机轨迹和关联动态指令。仅当错误状态参与仲裁/转移时计activated。触发：目标控制位被指令实际使用。</t>
        </is>
      </c>
      <c r="G30" s="6" t="inlineStr">
        <is>
          <t>F0</t>
        </is>
      </c>
      <c r="H30" s="6" t="inlineStr">
        <is>
          <t>每次运行只注入1次；warm-up后在 eligible event 中均匀抽样</t>
        </is>
      </c>
      <c r="I30" s="6" t="inlineStr">
        <is>
          <t>W3 A64-DecodeProbe</t>
        </is>
      </c>
      <c r="J30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30" s="6" t="inlineStr">
        <is>
          <t>目标控制位被指令实际使用</t>
        </is>
      </c>
      <c r="L30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30" s="6" t="inlineStr">
        <is>
          <t>32/64位和符号语义错误通常仍可提交，预期是高价值SDC路径；setflags错误可能延迟到后续分支才显现</t>
        </is>
      </c>
      <c r="N30" s="6" t="inlineStr">
        <is>
          <t>控制位对数据/控制传播作用不同，必须独立监控</t>
        </is>
      </c>
      <c r="O30" s="6" t="inlineStr">
        <is>
          <t>本方案结构化模型</t>
        </is>
      </c>
      <c r="P30" s="9" t="n"/>
      <c r="Q30" s="9" t="n"/>
      <c r="R30" s="9" t="n"/>
      <c r="S30" s="9" t="n"/>
      <c r="T30" s="9" t="n"/>
      <c r="U30" s="9" t="n"/>
      <c r="V30" s="9" t="n"/>
      <c r="W30" s="9" t="n"/>
      <c r="X30" s="12">
        <f>IF(OR(R30="",R30-AP30&lt;=0),"",AB30/(R30-AP30))</f>
        <v/>
      </c>
      <c r="Y30" s="12">
        <f>IFERROR(R30/AR30,0)</f>
        <v/>
      </c>
      <c r="Z30" s="9" t="inlineStr">
        <is>
          <t>待执行</t>
        </is>
      </c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12">
        <f>IF(OR(R30="",R30-AP30&lt;=0),"",AO30/(R30-AP30))</f>
        <v/>
      </c>
      <c r="AM30" s="11">
        <f>IF(R30="","",SUM(AC30:AF30)-(R30-AP30))</f>
        <v/>
      </c>
      <c r="AN30" s="11">
        <f>IF(R30="","",SUM(S30:W30)+AP30-R30)</f>
        <v/>
      </c>
      <c r="AO30" s="9" t="n"/>
      <c r="AP30" s="9" t="n"/>
      <c r="AQ30" s="27" t="inlineStr">
        <is>
          <t>D06-a sf位换值；D06-b setflags/S位换值；D06-c shift类型换值；D06-d extend类型换值；D06-e signed/unsigned控制换值</t>
        </is>
      </c>
      <c r="AR30" s="39" t="n"/>
      <c r="AS30" s="39">
        <f>IFERROR(AR30/Q30,0)</f>
        <v/>
      </c>
      <c r="AT30" s="39" t="n">
        <v>30</v>
      </c>
      <c r="AU30" s="39" t="n">
        <v>385</v>
      </c>
      <c r="AV30" s="39" t="inlineStr">
        <is>
          <t>常规</t>
        </is>
      </c>
      <c r="AW30" s="39" t="inlineStr">
        <is>
          <t>累计至少385，不机械扩展到2401</t>
        </is>
      </c>
    </row>
    <row r="31" ht="118.0500030517578" customHeight="1">
      <c r="A31" s="6" t="inlineStr">
        <is>
          <t>D06-F0-W6</t>
        </is>
      </c>
      <c r="B31" s="6" t="inlineStr">
        <is>
          <t>D06</t>
        </is>
      </c>
      <c r="C31" s="6" t="inlineStr">
        <is>
          <t>Int Decode</t>
        </is>
      </c>
      <c r="D31" s="6" t="inlineStr">
        <is>
          <t>位宽、shift/extend、setflags、signed/unsigned等控制位输出。</t>
        </is>
      </c>
      <c r="E31" s="6" t="inlineStr">
        <is>
          <t>状态</t>
        </is>
      </c>
      <c r="F31" s="6" t="inlineStr">
        <is>
          <t>把sf、S、shift type、extend type或条件码控制替换为另一合法组合，数据字段保持不变。清零、伪造、提前置位和延后清除分成独立子模型，每次运行只改变一种状态转移；记录前后状态机轨迹和关联动态指令。仅当错误状态参与仲裁/转移时计activated。触发：目标控制位被指令实际使用。</t>
        </is>
      </c>
      <c r="G31" s="6" t="inlineStr">
        <is>
          <t>F0</t>
        </is>
      </c>
      <c r="H31" s="6" t="inlineStr">
        <is>
          <t>每次运行只注入1次；warm-up后在 eligible event 中均匀抽样</t>
        </is>
      </c>
      <c r="I31" s="6" t="inlineStr">
        <is>
          <t>W6 CoreMark+Embench</t>
        </is>
      </c>
      <c r="J31" s="6" t="inlineStr">
        <is>
          <t>CoreMark+Embench（公开通用）
执行定义与oracle：CoreMark 与 Embench 全集；固定编译器/优化/输入；使用内置校验及输出 hash</t>
        </is>
      </c>
      <c r="K31" s="6" t="inlineStr">
        <is>
          <t>目标控制位被指令实际使用</t>
        </is>
      </c>
      <c r="L31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31" s="6" t="inlineStr">
        <is>
          <t>32/64位和符号语义错误通常仍可提交，预期是高价值SDC路径；setflags错误可能延迟到后续分支才显现</t>
        </is>
      </c>
      <c r="N31" s="6" t="inlineStr">
        <is>
          <t>控制位对数据/控制传播作用不同，必须独立监控</t>
        </is>
      </c>
      <c r="O31" s="6" t="inlineStr">
        <is>
          <t>本方案结构化模型</t>
        </is>
      </c>
      <c r="P31" s="9" t="n"/>
      <c r="Q31" s="9" t="n"/>
      <c r="R31" s="9" t="n"/>
      <c r="S31" s="9" t="n"/>
      <c r="T31" s="9" t="n"/>
      <c r="U31" s="9" t="n"/>
      <c r="V31" s="9" t="n"/>
      <c r="W31" s="9" t="n"/>
      <c r="X31" s="12">
        <f>IF(OR(R31="",R31-AP31&lt;=0),"",AB31/(R31-AP31))</f>
        <v/>
      </c>
      <c r="Y31" s="12">
        <f>IFERROR(R31/AR31,0)</f>
        <v/>
      </c>
      <c r="Z31" s="9" t="inlineStr">
        <is>
          <t>待执行</t>
        </is>
      </c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12">
        <f>IF(OR(R31="",R31-AP31&lt;=0),"",AO31/(R31-AP31))</f>
        <v/>
      </c>
      <c r="AM31" s="11">
        <f>IF(R31="","",SUM(AC31:AF31)-(R31-AP31))</f>
        <v/>
      </c>
      <c r="AN31" s="11">
        <f>IF(R31="","",SUM(S31:W31)+AP31-R31)</f>
        <v/>
      </c>
      <c r="AO31" s="9" t="n"/>
      <c r="AP31" s="9" t="n"/>
      <c r="AQ31" s="27" t="inlineStr">
        <is>
          <t>D06-a sf位换值；D06-b setflags/S位换值；D06-c shift类型换值；D06-d extend类型换值；D06-e signed/unsigned控制换值</t>
        </is>
      </c>
      <c r="AR31" s="39" t="n"/>
      <c r="AS31" s="39">
        <f>IFERROR(AR31/Q31,0)</f>
        <v/>
      </c>
      <c r="AT31" s="39" t="n">
        <v>30</v>
      </c>
      <c r="AU31" s="39" t="n">
        <v>385</v>
      </c>
      <c r="AV31" s="39" t="inlineStr">
        <is>
          <t>常规</t>
        </is>
      </c>
      <c r="AW31" s="39" t="inlineStr">
        <is>
          <t>累计至少385，不机械扩展到2401</t>
        </is>
      </c>
    </row>
    <row r="32" ht="118.0500030517578" customHeight="1">
      <c r="A32" s="6" t="inlineStr">
        <is>
          <t>D06-F2-W3</t>
        </is>
      </c>
      <c r="B32" s="6" t="inlineStr">
        <is>
          <t>D06</t>
        </is>
      </c>
      <c r="C32" s="6" t="inlineStr">
        <is>
          <t>Int Decode</t>
        </is>
      </c>
      <c r="D32" s="6" t="inlineStr">
        <is>
          <t>位宽、shift/extend、setflags、signed/unsigned等控制位输出。</t>
        </is>
      </c>
      <c r="E32" s="6" t="inlineStr">
        <is>
          <t>状态</t>
        </is>
      </c>
      <c r="F32" s="6" t="inlineStr">
        <is>
          <t>把sf、S、shift type、extend type或条件码控制替换为另一合法组合，数据字段保持不变。清零、伪造、提前置位和延后清除分成独立子模型，每次运行只改变一种状态转移；记录前后状态机轨迹和关联动态指令。仅当错误状态参与仲裁/转移时计activated。触发：目标控制位被指令实际使用。</t>
        </is>
      </c>
      <c r="G32" s="6" t="inlineStr">
        <is>
          <t>F2</t>
        </is>
      </c>
      <c r="H32" s="6" t="inlineStr">
        <is>
          <t>平均每100,000个 eligible events 注入1次，间隔加入±50%抖动</t>
        </is>
      </c>
      <c r="I32" s="6" t="inlineStr">
        <is>
          <t>W3 A64-DecodeProbe</t>
        </is>
      </c>
      <c r="J32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32" s="6" t="inlineStr">
        <is>
          <t>目标控制位被指令实际使用</t>
        </is>
      </c>
      <c r="L32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32" s="6" t="inlineStr">
        <is>
          <t>32/64位和符号语义错误通常仍可提交，预期是高价值SDC路径；setflags错误可能延迟到后续分支才显现</t>
        </is>
      </c>
      <c r="N32" s="6" t="inlineStr">
        <is>
          <t>控制位对数据/控制传播作用不同，必须独立监控</t>
        </is>
      </c>
      <c r="O32" s="6" t="inlineStr">
        <is>
          <t>本方案结构化模型</t>
        </is>
      </c>
      <c r="P32" s="9" t="n"/>
      <c r="Q32" s="9" t="n"/>
      <c r="R32" s="9" t="n"/>
      <c r="S32" s="9" t="n"/>
      <c r="T32" s="9" t="n"/>
      <c r="U32" s="9" t="n"/>
      <c r="V32" s="9" t="n"/>
      <c r="W32" s="9" t="n"/>
      <c r="X32" s="12">
        <f>IF(OR(R32="",R32-AP32&lt;=0),"",AB32/(R32-AP32))</f>
        <v/>
      </c>
      <c r="Y32" s="12">
        <f>IFERROR(R32/AR32,0)</f>
        <v/>
      </c>
      <c r="Z32" s="9" t="inlineStr">
        <is>
          <t>待执行</t>
        </is>
      </c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12">
        <f>IF(OR(R32="",R32-AP32&lt;=0),"",AO32/(R32-AP32))</f>
        <v/>
      </c>
      <c r="AM32" s="11">
        <f>IF(R32="","",SUM(AC32:AF32)-(R32-AP32))</f>
        <v/>
      </c>
      <c r="AN32" s="11">
        <f>IF(R32="","",SUM(S32:W32)+AP32-R32)</f>
        <v/>
      </c>
      <c r="AO32" s="9" t="n"/>
      <c r="AP32" s="9" t="n"/>
      <c r="AQ32" s="27" t="inlineStr">
        <is>
          <t>D06-a sf位换值；D06-b setflags/S位换值；D06-c shift类型换值；D06-d extend类型换值；D06-e signed/unsigned控制换值</t>
        </is>
      </c>
      <c r="AR32" s="39" t="n"/>
      <c r="AS32" s="39">
        <f>IFERROR(AR32/Q32,0)</f>
        <v/>
      </c>
      <c r="AT32" s="39" t="n">
        <v>30</v>
      </c>
      <c r="AU32" s="39" t="n">
        <v>385</v>
      </c>
      <c r="AV32" s="39" t="inlineStr">
        <is>
          <t>常规</t>
        </is>
      </c>
      <c r="AW32" s="39" t="inlineStr">
        <is>
          <t>累计至少385，不机械扩展到2401</t>
        </is>
      </c>
    </row>
    <row r="33" ht="118.0500030517578" customHeight="1">
      <c r="A33" s="6" t="inlineStr">
        <is>
          <t>D06-F2-W6</t>
        </is>
      </c>
      <c r="B33" s="6" t="inlineStr">
        <is>
          <t>D06</t>
        </is>
      </c>
      <c r="C33" s="6" t="inlineStr">
        <is>
          <t>Int Decode</t>
        </is>
      </c>
      <c r="D33" s="6" t="inlineStr">
        <is>
          <t>位宽、shift/extend、setflags、signed/unsigned等控制位输出。</t>
        </is>
      </c>
      <c r="E33" s="6" t="inlineStr">
        <is>
          <t>状态</t>
        </is>
      </c>
      <c r="F33" s="6" t="inlineStr">
        <is>
          <t>把sf、S、shift type、extend type或条件码控制替换为另一合法组合，数据字段保持不变。清零、伪造、提前置位和延后清除分成独立子模型，每次运行只改变一种状态转移；记录前后状态机轨迹和关联动态指令。仅当错误状态参与仲裁/转移时计activated。触发：目标控制位被指令实际使用。</t>
        </is>
      </c>
      <c r="G33" s="6" t="inlineStr">
        <is>
          <t>F2</t>
        </is>
      </c>
      <c r="H33" s="6" t="inlineStr">
        <is>
          <t>平均每100,000个 eligible events 注入1次，间隔加入±50%抖动</t>
        </is>
      </c>
      <c r="I33" s="6" t="inlineStr">
        <is>
          <t>W6 CoreMark+Embench</t>
        </is>
      </c>
      <c r="J33" s="6" t="inlineStr">
        <is>
          <t>CoreMark+Embench（公开通用）
执行定义与oracle：CoreMark 与 Embench 全集；固定编译器/优化/输入；使用内置校验及输出 hash</t>
        </is>
      </c>
      <c r="K33" s="6" t="inlineStr">
        <is>
          <t>目标控制位被指令实际使用</t>
        </is>
      </c>
      <c r="L33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33" s="6" t="inlineStr">
        <is>
          <t>32/64位和符号语义错误通常仍可提交，预期是高价值SDC路径；setflags错误可能延迟到后续分支才显现</t>
        </is>
      </c>
      <c r="N33" s="6" t="inlineStr">
        <is>
          <t>控制位对数据/控制传播作用不同，必须独立监控</t>
        </is>
      </c>
      <c r="O33" s="6" t="inlineStr">
        <is>
          <t>本方案结构化模型</t>
        </is>
      </c>
      <c r="P33" s="9" t="n"/>
      <c r="Q33" s="9" t="n"/>
      <c r="R33" s="9" t="n"/>
      <c r="S33" s="9" t="n"/>
      <c r="T33" s="9" t="n"/>
      <c r="U33" s="9" t="n"/>
      <c r="V33" s="9" t="n"/>
      <c r="W33" s="9" t="n"/>
      <c r="X33" s="12">
        <f>IF(OR(R33="",R33-AP33&lt;=0),"",AB33/(R33-AP33))</f>
        <v/>
      </c>
      <c r="Y33" s="12">
        <f>IFERROR(R33/AR33,0)</f>
        <v/>
      </c>
      <c r="Z33" s="9" t="inlineStr">
        <is>
          <t>待执行</t>
        </is>
      </c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12">
        <f>IF(OR(R33="",R33-AP33&lt;=0),"",AO33/(R33-AP33))</f>
        <v/>
      </c>
      <c r="AM33" s="11">
        <f>IF(R33="","",SUM(AC33:AF33)-(R33-AP33))</f>
        <v/>
      </c>
      <c r="AN33" s="11">
        <f>IF(R33="","",SUM(S33:W33)+AP33-R33)</f>
        <v/>
      </c>
      <c r="AO33" s="9" t="n"/>
      <c r="AP33" s="9" t="n"/>
      <c r="AQ33" s="27" t="inlineStr">
        <is>
          <t>D06-a sf位换值；D06-b setflags/S位换值；D06-c shift类型换值；D06-d extend类型换值；D06-e signed/unsigned控制换值</t>
        </is>
      </c>
      <c r="AR33" s="39" t="n"/>
      <c r="AS33" s="39">
        <f>IFERROR(AR33/Q33,0)</f>
        <v/>
      </c>
      <c r="AT33" s="39" t="n">
        <v>30</v>
      </c>
      <c r="AU33" s="39" t="n">
        <v>385</v>
      </c>
      <c r="AV33" s="39" t="inlineStr">
        <is>
          <t>常规</t>
        </is>
      </c>
      <c r="AW33" s="39" t="inlineStr">
        <is>
          <t>累计至少385，不机械扩展到2401</t>
        </is>
      </c>
    </row>
    <row r="34" ht="118.0500030517578" customHeight="1">
      <c r="A34" s="6" t="inlineStr">
        <is>
          <t>D06-F6-W3</t>
        </is>
      </c>
      <c r="B34" s="6" t="inlineStr">
        <is>
          <t>D06</t>
        </is>
      </c>
      <c r="C34" s="6" t="inlineStr">
        <is>
          <t>Int Decode</t>
        </is>
      </c>
      <c r="D34" s="6" t="inlineStr">
        <is>
          <t>位宽、shift/extend、setflags、signed/unsigned等控制位输出。</t>
        </is>
      </c>
      <c r="E34" s="6" t="inlineStr">
        <is>
          <t>状态</t>
        </is>
      </c>
      <c r="F34" s="6" t="inlineStr">
        <is>
          <t>把sf、S、shift type、extend type或条件码控制替换为另一合法组合，数据字段保持不变。清零、伪造、提前置位和延后清除分成独立子模型，每次运行只改变一种状态转移；记录前后状态机轨迹和关联动态指令。仅当错误状态参与仲裁/转移时计activated。触发：目标控制位被指令实际使用。</t>
        </is>
      </c>
      <c r="G34" s="6" t="inlineStr">
        <is>
          <t>F6</t>
        </is>
      </c>
      <c r="H34" s="6" t="inlineStr">
        <is>
          <t>首次出现指定稀有事件时注入1次，保证结构化模型被激活</t>
        </is>
      </c>
      <c r="I34" s="6" t="inlineStr">
        <is>
          <t>W3 A64-DecodeProbe</t>
        </is>
      </c>
      <c r="J34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34" s="6" t="inlineStr">
        <is>
          <t>目标控制位被指令实际使用</t>
        </is>
      </c>
      <c r="L34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34" s="6" t="inlineStr">
        <is>
          <t>32/64位和符号语义错误通常仍可提交，预期是高价值SDC路径；setflags错误可能延迟到后续分支才显现</t>
        </is>
      </c>
      <c r="N34" s="6" t="inlineStr">
        <is>
          <t>控制位对数据/控制传播作用不同，必须独立监控</t>
        </is>
      </c>
      <c r="O34" s="6" t="inlineStr">
        <is>
          <t>本方案结构化模型</t>
        </is>
      </c>
      <c r="P34" s="9" t="n"/>
      <c r="Q34" s="9" t="n"/>
      <c r="R34" s="9" t="n"/>
      <c r="S34" s="9" t="n"/>
      <c r="T34" s="9" t="n"/>
      <c r="U34" s="9" t="n"/>
      <c r="V34" s="9" t="n"/>
      <c r="W34" s="9" t="n"/>
      <c r="X34" s="12">
        <f>IF(OR(R34="",R34-AP34&lt;=0),"",AB34/(R34-AP34))</f>
        <v/>
      </c>
      <c r="Y34" s="12">
        <f>IFERROR(R34/AR34,0)</f>
        <v/>
      </c>
      <c r="Z34" s="9" t="inlineStr">
        <is>
          <t>待执行</t>
        </is>
      </c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12">
        <f>IF(OR(R34="",R34-AP34&lt;=0),"",AO34/(R34-AP34))</f>
        <v/>
      </c>
      <c r="AM34" s="11">
        <f>IF(R34="","",SUM(AC34:AF34)-(R34-AP34))</f>
        <v/>
      </c>
      <c r="AN34" s="11">
        <f>IF(R34="","",SUM(S34:W34)+AP34-R34)</f>
        <v/>
      </c>
      <c r="AO34" s="9" t="n"/>
      <c r="AP34" s="9" t="n"/>
      <c r="AQ34" s="27" t="inlineStr">
        <is>
          <t>D06-a sf位换值；D06-b setflags/S位换值；D06-c shift类型换值；D06-d extend类型换值；D06-e signed/unsigned控制换值</t>
        </is>
      </c>
      <c r="AR34" s="39" t="n"/>
      <c r="AS34" s="39">
        <f>IFERROR(AR34/Q34,0)</f>
        <v/>
      </c>
      <c r="AT34" s="39" t="n">
        <v>30</v>
      </c>
      <c r="AU34" s="39" t="n">
        <v>385</v>
      </c>
      <c r="AV34" s="39" t="inlineStr">
        <is>
          <t>常规</t>
        </is>
      </c>
      <c r="AW34" s="39" t="inlineStr">
        <is>
          <t>累计至少385，不机械扩展到2401</t>
        </is>
      </c>
    </row>
    <row r="35" ht="118.0500030517578" customHeight="1">
      <c r="A35" s="6" t="inlineStr">
        <is>
          <t>D06-F6-W6</t>
        </is>
      </c>
      <c r="B35" s="6" t="inlineStr">
        <is>
          <t>D06</t>
        </is>
      </c>
      <c r="C35" s="6" t="inlineStr">
        <is>
          <t>Int Decode</t>
        </is>
      </c>
      <c r="D35" s="6" t="inlineStr">
        <is>
          <t>位宽、shift/extend、setflags、signed/unsigned等控制位输出。</t>
        </is>
      </c>
      <c r="E35" s="6" t="inlineStr">
        <is>
          <t>状态</t>
        </is>
      </c>
      <c r="F35" s="6" t="inlineStr">
        <is>
          <t>把sf、S、shift type、extend type或条件码控制替换为另一合法组合，数据字段保持不变。清零、伪造、提前置位和延后清除分成独立子模型，每次运行只改变一种状态转移；记录前后状态机轨迹和关联动态指令。仅当错误状态参与仲裁/转移时计activated。触发：目标控制位被指令实际使用。</t>
        </is>
      </c>
      <c r="G35" s="6" t="inlineStr">
        <is>
          <t>F6</t>
        </is>
      </c>
      <c r="H35" s="6" t="inlineStr">
        <is>
          <t>首次出现指定稀有事件时注入1次，保证结构化模型被激活</t>
        </is>
      </c>
      <c r="I35" s="6" t="inlineStr">
        <is>
          <t>W6 CoreMark+Embench</t>
        </is>
      </c>
      <c r="J35" s="6" t="inlineStr">
        <is>
          <t>CoreMark+Embench（公开通用）
执行定义与oracle：CoreMark 与 Embench 全集；固定编译器/优化/输入；使用内置校验及输出 hash</t>
        </is>
      </c>
      <c r="K35" s="6" t="inlineStr">
        <is>
          <t>目标控制位被指令实际使用</t>
        </is>
      </c>
      <c r="L35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35" s="6" t="inlineStr">
        <is>
          <t>32/64位和符号语义错误通常仍可提交，预期是高价值SDC路径；setflags错误可能延迟到后续分支才显现</t>
        </is>
      </c>
      <c r="N35" s="6" t="inlineStr">
        <is>
          <t>控制位对数据/控制传播作用不同，必须独立监控</t>
        </is>
      </c>
      <c r="O35" s="6" t="inlineStr">
        <is>
          <t>本方案结构化模型</t>
        </is>
      </c>
      <c r="P35" s="9" t="n"/>
      <c r="Q35" s="9" t="n"/>
      <c r="R35" s="9" t="n"/>
      <c r="S35" s="9" t="n"/>
      <c r="T35" s="9" t="n"/>
      <c r="U35" s="9" t="n"/>
      <c r="V35" s="9" t="n"/>
      <c r="W35" s="9" t="n"/>
      <c r="X35" s="12">
        <f>IF(OR(R35="",R35-AP35&lt;=0),"",AB35/(R35-AP35))</f>
        <v/>
      </c>
      <c r="Y35" s="12">
        <f>IFERROR(R35/AR35,0)</f>
        <v/>
      </c>
      <c r="Z35" s="9" t="inlineStr">
        <is>
          <t>待执行</t>
        </is>
      </c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12">
        <f>IF(OR(R35="",R35-AP35&lt;=0),"",AO35/(R35-AP35))</f>
        <v/>
      </c>
      <c r="AM35" s="11">
        <f>IF(R35="","",SUM(AC35:AF35)-(R35-AP35))</f>
        <v/>
      </c>
      <c r="AN35" s="11">
        <f>IF(R35="","",SUM(S35:W35)+AP35-R35)</f>
        <v/>
      </c>
      <c r="AO35" s="9" t="n"/>
      <c r="AP35" s="9" t="n"/>
      <c r="AQ35" s="27" t="inlineStr">
        <is>
          <t>D06-a sf位换值；D06-b setflags/S位换值；D06-c shift类型换值；D06-d extend类型换值；D06-e signed/unsigned控制换值</t>
        </is>
      </c>
      <c r="AR35" s="39" t="n"/>
      <c r="AS35" s="39">
        <f>IFERROR(AR35/Q35,0)</f>
        <v/>
      </c>
      <c r="AT35" s="39" t="n">
        <v>30</v>
      </c>
      <c r="AU35" s="39" t="n">
        <v>385</v>
      </c>
      <c r="AV35" s="39" t="inlineStr">
        <is>
          <t>常规</t>
        </is>
      </c>
      <c r="AW35" s="39" t="inlineStr">
        <is>
          <t>累计至少385，不机械扩展到2401</t>
        </is>
      </c>
    </row>
    <row r="36" ht="118.0500030517578" customHeight="1">
      <c r="A36" s="6" t="inlineStr">
        <is>
          <t>D07-F0-W3</t>
        </is>
      </c>
      <c r="B36" s="6" t="inlineStr">
        <is>
          <t>D07</t>
        </is>
      </c>
      <c r="C36" s="6" t="inlineStr">
        <is>
          <t>Int Decode</t>
        </is>
      </c>
      <c r="D36" s="6" t="inlineStr">
        <is>
          <t>decode valid/ready握手与输出流水锁存器。</t>
        </is>
      </c>
      <c r="E36" s="6" t="inlineStr">
        <is>
          <t>时序</t>
        </is>
      </c>
      <c r="F36" s="6" t="inlineStr">
        <is>
          <t>让一条decode结果提前1拍读取旧tuple、延后1拍、丢失或重复一次。绑定一个动态指令/事件ID，提前、延后、丢失、重复分开执行；数据载荷保持正确。仅当下游因此读取旧值、漏发、重复或改变顺序时计activated。触发：连续两条有效整数指令且tuple不同。</t>
        </is>
      </c>
      <c r="G36" s="6" t="inlineStr">
        <is>
          <t>F0</t>
        </is>
      </c>
      <c r="H36" s="6" t="inlineStr">
        <is>
          <t>每次运行只注入1次；warm-up后在 eligible event 中均匀抽样</t>
        </is>
      </c>
      <c r="I36" s="6" t="inlineStr">
        <is>
          <t>W3 A64-DecodeProbe</t>
        </is>
      </c>
      <c r="J36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36" s="6" t="inlineStr">
        <is>
          <t>连续两条有效整数指令且tuple不同</t>
        </is>
      </c>
      <c r="L36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36" s="6" t="inlineStr">
        <is>
          <t>提前/重复可能造成旧指令或重复uop进入rename；延后多为性能损失，丢失可能错误提交或死锁</t>
        </is>
      </c>
      <c r="N36" s="6" t="inlineStr">
        <is>
          <t>覆盖小时延故障在周期级模拟器中的可实现映射</t>
        </is>
      </c>
      <c r="O36" s="6" t="inlineStr">
        <is>
          <t>MICRO24方法论类比</t>
        </is>
      </c>
      <c r="P36" s="9" t="n"/>
      <c r="Q36" s="9" t="n"/>
      <c r="R36" s="9" t="n"/>
      <c r="S36" s="9" t="n"/>
      <c r="T36" s="9" t="n"/>
      <c r="U36" s="9" t="n"/>
      <c r="V36" s="9" t="n"/>
      <c r="W36" s="9" t="n"/>
      <c r="X36" s="12">
        <f>IF(OR(R36="",R36-AP36&lt;=0),"",AB36/(R36-AP36))</f>
        <v/>
      </c>
      <c r="Y36" s="12">
        <f>IFERROR(R36/AR36,0)</f>
        <v/>
      </c>
      <c r="Z36" s="9" t="inlineStr">
        <is>
          <t>待执行</t>
        </is>
      </c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12">
        <f>IF(OR(R36="",R36-AP36&lt;=0),"",AO36/(R36-AP36))</f>
        <v/>
      </c>
      <c r="AM36" s="11">
        <f>IF(R36="","",SUM(AC36:AF36)-(R36-AP36))</f>
        <v/>
      </c>
      <c r="AN36" s="11">
        <f>IF(R36="","",SUM(S36:W36)+AP36-R36)</f>
        <v/>
      </c>
      <c r="AO36" s="9" t="n"/>
      <c r="AP36" s="9" t="n"/>
      <c r="AQ36" s="27" t="inlineStr">
        <is>
          <t>D07-a 提前1拍；D07-b 延后1拍；D07-c 丢失一次；D07-d 重复一次；按事件ID分开统计</t>
        </is>
      </c>
      <c r="AR36" s="39" t="n"/>
      <c r="AS36" s="39">
        <f>IFERROR(AR36/Q36,0)</f>
        <v/>
      </c>
      <c r="AT36" s="39" t="n">
        <v>30</v>
      </c>
      <c r="AU36" s="39" t="n">
        <v>385</v>
      </c>
      <c r="AV36" s="39" t="inlineStr">
        <is>
          <t>常规</t>
        </is>
      </c>
      <c r="AW36" s="39" t="inlineStr">
        <is>
          <t>累计至少385，不机械扩展到2401</t>
        </is>
      </c>
    </row>
    <row r="37" ht="118.0500030517578" customHeight="1">
      <c r="A37" s="6" t="inlineStr">
        <is>
          <t>D07-F0-W5</t>
        </is>
      </c>
      <c r="B37" s="6" t="inlineStr">
        <is>
          <t>D07</t>
        </is>
      </c>
      <c r="C37" s="6" t="inlineStr">
        <is>
          <t>Int Decode</t>
        </is>
      </c>
      <c r="D37" s="6" t="inlineStr">
        <is>
          <t>decode valid/ready握手与输出流水锁存器。</t>
        </is>
      </c>
      <c r="E37" s="6" t="inlineStr">
        <is>
          <t>时序</t>
        </is>
      </c>
      <c r="F37" s="6" t="inlineStr">
        <is>
          <t>让一条decode结果提前1拍读取旧tuple、延后1拍、丢失或重复一次。绑定一个动态指令/事件ID，提前、延后、丢失、重复分开执行；数据载荷保持正确。仅当下游因此读取旧值、漏发、重复或改变顺序时计activated。触发：连续两条有效整数指令且tuple不同。</t>
        </is>
      </c>
      <c r="G37" s="6" t="inlineStr">
        <is>
          <t>F0</t>
        </is>
      </c>
      <c r="H37" s="6" t="inlineStr">
        <is>
          <t>每次运行只注入1次；warm-up后在 eligible event 中均匀抽样</t>
        </is>
      </c>
      <c r="I37" s="6" t="inlineStr">
        <is>
          <t>W5 ROB-Recovery</t>
        </is>
      </c>
      <c r="J37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37" s="6" t="inlineStr">
        <is>
          <t>连续两条有效整数指令且tuple不同</t>
        </is>
      </c>
      <c r="L37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37" s="6" t="inlineStr">
        <is>
          <t>提前/重复可能造成旧指令或重复uop进入rename；延后多为性能损失，丢失可能错误提交或死锁</t>
        </is>
      </c>
      <c r="N37" s="6" t="inlineStr">
        <is>
          <t>覆盖小时延故障在周期级模拟器中的可实现映射</t>
        </is>
      </c>
      <c r="O37" s="6" t="inlineStr">
        <is>
          <t>MICRO24方法论类比</t>
        </is>
      </c>
      <c r="P37" s="9" t="n"/>
      <c r="Q37" s="9" t="n"/>
      <c r="R37" s="9" t="n"/>
      <c r="S37" s="9" t="n"/>
      <c r="T37" s="9" t="n"/>
      <c r="U37" s="9" t="n"/>
      <c r="V37" s="9" t="n"/>
      <c r="W37" s="9" t="n"/>
      <c r="X37" s="12">
        <f>IF(OR(R37="",R37-AP37&lt;=0),"",AB37/(R37-AP37))</f>
        <v/>
      </c>
      <c r="Y37" s="12">
        <f>IFERROR(R37/AR37,0)</f>
        <v/>
      </c>
      <c r="Z37" s="9" t="inlineStr">
        <is>
          <t>待执行</t>
        </is>
      </c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12">
        <f>IF(OR(R37="",R37-AP37&lt;=0),"",AO37/(R37-AP37))</f>
        <v/>
      </c>
      <c r="AM37" s="11">
        <f>IF(R37="","",SUM(AC37:AF37)-(R37-AP37))</f>
        <v/>
      </c>
      <c r="AN37" s="11">
        <f>IF(R37="","",SUM(S37:W37)+AP37-R37)</f>
        <v/>
      </c>
      <c r="AO37" s="9" t="n"/>
      <c r="AP37" s="9" t="n"/>
      <c r="AQ37" s="27" t="inlineStr">
        <is>
          <t>D07-a 提前1拍；D07-b 延后1拍；D07-c 丢失一次；D07-d 重复一次；按事件ID分开统计</t>
        </is>
      </c>
      <c r="AR37" s="39" t="n"/>
      <c r="AS37" s="39">
        <f>IFERROR(AR37/Q37,0)</f>
        <v/>
      </c>
      <c r="AT37" s="39" t="n">
        <v>30</v>
      </c>
      <c r="AU37" s="39" t="n">
        <v>385</v>
      </c>
      <c r="AV37" s="39" t="inlineStr">
        <is>
          <t>常规</t>
        </is>
      </c>
      <c r="AW37" s="39" t="inlineStr">
        <is>
          <t>累计至少385，不机械扩展到2401</t>
        </is>
      </c>
    </row>
    <row r="38" ht="118.0500030517578" customHeight="1">
      <c r="A38" s="6" t="inlineStr">
        <is>
          <t>D07-F4-W3</t>
        </is>
      </c>
      <c r="B38" s="6" t="inlineStr">
        <is>
          <t>D07</t>
        </is>
      </c>
      <c r="C38" s="6" t="inlineStr">
        <is>
          <t>Int Decode</t>
        </is>
      </c>
      <c r="D38" s="6" t="inlineStr">
        <is>
          <t>decode valid/ready握手与输出流水锁存器。</t>
        </is>
      </c>
      <c r="E38" s="6" t="inlineStr">
        <is>
          <t>时序</t>
        </is>
      </c>
      <c r="F38" s="6" t="inlineStr">
        <is>
          <t>让一条decode结果提前1拍读取旧tuple、延后1拍、丢失或重复一次。绑定一个动态指令/事件ID，提前、延后、丢失、重复分开执行；数据载荷保持正确。仅当下游因此读取旧值、漏发、重复或改变顺序时计activated。触发：连续两条有效整数指令且tuple不同。</t>
        </is>
      </c>
      <c r="G38" s="6" t="inlineStr">
        <is>
          <t>F4</t>
        </is>
      </c>
      <c r="H38" s="6" t="inlineStr">
        <is>
          <t>每100,000个 eligible events 触发一次，连续污染2-4个 eligible events</t>
        </is>
      </c>
      <c r="I38" s="6" t="inlineStr">
        <is>
          <t>W3 A64-DecodeProbe</t>
        </is>
      </c>
      <c r="J38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38" s="6" t="inlineStr">
        <is>
          <t>连续两条有效整数指令且tuple不同</t>
        </is>
      </c>
      <c r="L38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38" s="6" t="inlineStr">
        <is>
          <t>提前/重复可能造成旧指令或重复uop进入rename；延后多为性能损失，丢失可能错误提交或死锁</t>
        </is>
      </c>
      <c r="N38" s="6" t="inlineStr">
        <is>
          <t>覆盖小时延故障在周期级模拟器中的可实现映射</t>
        </is>
      </c>
      <c r="O38" s="6" t="inlineStr">
        <is>
          <t>MICRO24方法论类比</t>
        </is>
      </c>
      <c r="P38" s="9" t="n"/>
      <c r="Q38" s="9" t="n"/>
      <c r="R38" s="9" t="n"/>
      <c r="S38" s="9" t="n"/>
      <c r="T38" s="9" t="n"/>
      <c r="U38" s="9" t="n"/>
      <c r="V38" s="9" t="n"/>
      <c r="W38" s="9" t="n"/>
      <c r="X38" s="12">
        <f>IF(OR(R38="",R38-AP38&lt;=0),"",AB38/(R38-AP38))</f>
        <v/>
      </c>
      <c r="Y38" s="12">
        <f>IFERROR(R38/AR38,0)</f>
        <v/>
      </c>
      <c r="Z38" s="9" t="inlineStr">
        <is>
          <t>待执行</t>
        </is>
      </c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12">
        <f>IF(OR(R38="",R38-AP38&lt;=0),"",AO38/(R38-AP38))</f>
        <v/>
      </c>
      <c r="AM38" s="11">
        <f>IF(R38="","",SUM(AC38:AF38)-(R38-AP38))</f>
        <v/>
      </c>
      <c r="AN38" s="11">
        <f>IF(R38="","",SUM(S38:W38)+AP38-R38)</f>
        <v/>
      </c>
      <c r="AO38" s="9" t="n"/>
      <c r="AP38" s="9" t="n"/>
      <c r="AQ38" s="27" t="inlineStr">
        <is>
          <t>D07-a 提前1拍；D07-b 延后1拍；D07-c 丢失一次；D07-d 重复一次；按事件ID分开统计</t>
        </is>
      </c>
      <c r="AR38" s="39" t="n"/>
      <c r="AS38" s="39">
        <f>IFERROR(AR38/Q38,0)</f>
        <v/>
      </c>
      <c r="AT38" s="39" t="n">
        <v>30</v>
      </c>
      <c r="AU38" s="39" t="n">
        <v>385</v>
      </c>
      <c r="AV38" s="39" t="inlineStr">
        <is>
          <t>常规</t>
        </is>
      </c>
      <c r="AW38" s="39" t="inlineStr">
        <is>
          <t>累计至少385，不机械扩展到2401</t>
        </is>
      </c>
    </row>
    <row r="39" ht="118.0500030517578" customHeight="1">
      <c r="A39" s="6" t="inlineStr">
        <is>
          <t>D07-F4-W5</t>
        </is>
      </c>
      <c r="B39" s="6" t="inlineStr">
        <is>
          <t>D07</t>
        </is>
      </c>
      <c r="C39" s="6" t="inlineStr">
        <is>
          <t>Int Decode</t>
        </is>
      </c>
      <c r="D39" s="6" t="inlineStr">
        <is>
          <t>decode valid/ready握手与输出流水锁存器。</t>
        </is>
      </c>
      <c r="E39" s="6" t="inlineStr">
        <is>
          <t>时序</t>
        </is>
      </c>
      <c r="F39" s="6" t="inlineStr">
        <is>
          <t>让一条decode结果提前1拍读取旧tuple、延后1拍、丢失或重复一次。绑定一个动态指令/事件ID，提前、延后、丢失、重复分开执行；数据载荷保持正确。仅当下游因此读取旧值、漏发、重复或改变顺序时计activated。触发：连续两条有效整数指令且tuple不同。</t>
        </is>
      </c>
      <c r="G39" s="6" t="inlineStr">
        <is>
          <t>F4</t>
        </is>
      </c>
      <c r="H39" s="6" t="inlineStr">
        <is>
          <t>每100,000个 eligible events 触发一次，连续污染2-4个 eligible events</t>
        </is>
      </c>
      <c r="I39" s="6" t="inlineStr">
        <is>
          <t>W5 ROB-Recovery</t>
        </is>
      </c>
      <c r="J39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39" s="6" t="inlineStr">
        <is>
          <t>连续两条有效整数指令且tuple不同</t>
        </is>
      </c>
      <c r="L39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39" s="6" t="inlineStr">
        <is>
          <t>提前/重复可能造成旧指令或重复uop进入rename；延后多为性能损失，丢失可能错误提交或死锁</t>
        </is>
      </c>
      <c r="N39" s="6" t="inlineStr">
        <is>
          <t>覆盖小时延故障在周期级模拟器中的可实现映射</t>
        </is>
      </c>
      <c r="O39" s="6" t="inlineStr">
        <is>
          <t>MICRO24方法论类比</t>
        </is>
      </c>
      <c r="P39" s="9" t="n"/>
      <c r="Q39" s="9" t="n"/>
      <c r="R39" s="9" t="n"/>
      <c r="S39" s="9" t="n"/>
      <c r="T39" s="9" t="n"/>
      <c r="U39" s="9" t="n"/>
      <c r="V39" s="9" t="n"/>
      <c r="W39" s="9" t="n"/>
      <c r="X39" s="12">
        <f>IF(OR(R39="",R39-AP39&lt;=0),"",AB39/(R39-AP39))</f>
        <v/>
      </c>
      <c r="Y39" s="12">
        <f>IFERROR(R39/AR39,0)</f>
        <v/>
      </c>
      <c r="Z39" s="9" t="inlineStr">
        <is>
          <t>待执行</t>
        </is>
      </c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12">
        <f>IF(OR(R39="",R39-AP39&lt;=0),"",AO39/(R39-AP39))</f>
        <v/>
      </c>
      <c r="AM39" s="11">
        <f>IF(R39="","",SUM(AC39:AF39)-(R39-AP39))</f>
        <v/>
      </c>
      <c r="AN39" s="11">
        <f>IF(R39="","",SUM(S39:W39)+AP39-R39)</f>
        <v/>
      </c>
      <c r="AO39" s="9" t="n"/>
      <c r="AP39" s="9" t="n"/>
      <c r="AQ39" s="27" t="inlineStr">
        <is>
          <t>D07-a 提前1拍；D07-b 延后1拍；D07-c 丢失一次；D07-d 重复一次；按事件ID分开统计</t>
        </is>
      </c>
      <c r="AR39" s="39" t="n"/>
      <c r="AS39" s="39">
        <f>IFERROR(AR39/Q39,0)</f>
        <v/>
      </c>
      <c r="AT39" s="39" t="n">
        <v>30</v>
      </c>
      <c r="AU39" s="39" t="n">
        <v>385</v>
      </c>
      <c r="AV39" s="39" t="inlineStr">
        <is>
          <t>常规</t>
        </is>
      </c>
      <c r="AW39" s="39" t="inlineStr">
        <is>
          <t>累计至少385，不机械扩展到2401</t>
        </is>
      </c>
    </row>
    <row r="40" ht="118.0500030517578" customHeight="1">
      <c r="A40" s="6" t="inlineStr">
        <is>
          <t>D07-F6-W3</t>
        </is>
      </c>
      <c r="B40" s="6" t="inlineStr">
        <is>
          <t>D07</t>
        </is>
      </c>
      <c r="C40" s="6" t="inlineStr">
        <is>
          <t>Int Decode</t>
        </is>
      </c>
      <c r="D40" s="6" t="inlineStr">
        <is>
          <t>decode valid/ready握手与输出流水锁存器。</t>
        </is>
      </c>
      <c r="E40" s="6" t="inlineStr">
        <is>
          <t>时序</t>
        </is>
      </c>
      <c r="F40" s="6" t="inlineStr">
        <is>
          <t>让一条decode结果提前1拍读取旧tuple、延后1拍、丢失或重复一次。绑定一个动态指令/事件ID，提前、延后、丢失、重复分开执行；数据载荷保持正确。仅当下游因此读取旧值、漏发、重复或改变顺序时计activated。触发：连续两条有效整数指令且tuple不同。</t>
        </is>
      </c>
      <c r="G40" s="6" t="inlineStr">
        <is>
          <t>F6</t>
        </is>
      </c>
      <c r="H40" s="6" t="inlineStr">
        <is>
          <t>首次出现指定稀有事件时注入1次，保证结构化模型被激活</t>
        </is>
      </c>
      <c r="I40" s="6" t="inlineStr">
        <is>
          <t>W3 A64-DecodeProbe</t>
        </is>
      </c>
      <c r="J40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40" s="6" t="inlineStr">
        <is>
          <t>连续两条有效整数指令且tuple不同</t>
        </is>
      </c>
      <c r="L40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40" s="6" t="inlineStr">
        <is>
          <t>提前/重复可能造成旧指令或重复uop进入rename；延后多为性能损失，丢失可能错误提交或死锁</t>
        </is>
      </c>
      <c r="N40" s="6" t="inlineStr">
        <is>
          <t>覆盖小时延故障在周期级模拟器中的可实现映射</t>
        </is>
      </c>
      <c r="O40" s="6" t="inlineStr">
        <is>
          <t>MICRO24方法论类比</t>
        </is>
      </c>
      <c r="P40" s="9" t="n"/>
      <c r="Q40" s="9" t="n"/>
      <c r="R40" s="9" t="n"/>
      <c r="S40" s="9" t="n"/>
      <c r="T40" s="9" t="n"/>
      <c r="U40" s="9" t="n"/>
      <c r="V40" s="9" t="n"/>
      <c r="W40" s="9" t="n"/>
      <c r="X40" s="12">
        <f>IF(OR(R40="",R40-AP40&lt;=0),"",AB40/(R40-AP40))</f>
        <v/>
      </c>
      <c r="Y40" s="12">
        <f>IFERROR(R40/AR40,0)</f>
        <v/>
      </c>
      <c r="Z40" s="9" t="inlineStr">
        <is>
          <t>待执行</t>
        </is>
      </c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12">
        <f>IF(OR(R40="",R40-AP40&lt;=0),"",AO40/(R40-AP40))</f>
        <v/>
      </c>
      <c r="AM40" s="11">
        <f>IF(R40="","",SUM(AC40:AF40)-(R40-AP40))</f>
        <v/>
      </c>
      <c r="AN40" s="11">
        <f>IF(R40="","",SUM(S40:W40)+AP40-R40)</f>
        <v/>
      </c>
      <c r="AO40" s="9" t="n"/>
      <c r="AP40" s="9" t="n"/>
      <c r="AQ40" s="27" t="inlineStr">
        <is>
          <t>D07-a 提前1拍；D07-b 延后1拍；D07-c 丢失一次；D07-d 重复一次；按事件ID分开统计</t>
        </is>
      </c>
      <c r="AR40" s="39" t="n"/>
      <c r="AS40" s="39">
        <f>IFERROR(AR40/Q40,0)</f>
        <v/>
      </c>
      <c r="AT40" s="39" t="n">
        <v>30</v>
      </c>
      <c r="AU40" s="39" t="n">
        <v>385</v>
      </c>
      <c r="AV40" s="39" t="inlineStr">
        <is>
          <t>常规</t>
        </is>
      </c>
      <c r="AW40" s="39" t="inlineStr">
        <is>
          <t>累计至少385，不机械扩展到2401</t>
        </is>
      </c>
    </row>
    <row r="41" ht="118.0500030517578" customHeight="1">
      <c r="A41" s="6" t="inlineStr">
        <is>
          <t>D07-F6-W5</t>
        </is>
      </c>
      <c r="B41" s="6" t="inlineStr">
        <is>
          <t>D07</t>
        </is>
      </c>
      <c r="C41" s="6" t="inlineStr">
        <is>
          <t>Int Decode</t>
        </is>
      </c>
      <c r="D41" s="6" t="inlineStr">
        <is>
          <t>decode valid/ready握手与输出流水锁存器。</t>
        </is>
      </c>
      <c r="E41" s="6" t="inlineStr">
        <is>
          <t>时序</t>
        </is>
      </c>
      <c r="F41" s="6" t="inlineStr">
        <is>
          <t>让一条decode结果提前1拍读取旧tuple、延后1拍、丢失或重复一次。绑定一个动态指令/事件ID，提前、延后、丢失、重复分开执行；数据载荷保持正确。仅当下游因此读取旧值、漏发、重复或改变顺序时计activated。触发：连续两条有效整数指令且tuple不同。</t>
        </is>
      </c>
      <c r="G41" s="6" t="inlineStr">
        <is>
          <t>F6</t>
        </is>
      </c>
      <c r="H41" s="6" t="inlineStr">
        <is>
          <t>首次出现指定稀有事件时注入1次，保证结构化模型被激活</t>
        </is>
      </c>
      <c r="I41" s="6" t="inlineStr">
        <is>
          <t>W5 ROB-Recovery</t>
        </is>
      </c>
      <c r="J41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41" s="6" t="inlineStr">
        <is>
          <t>连续两条有效整数指令且tuple不同</t>
        </is>
      </c>
      <c r="L41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41" s="6" t="inlineStr">
        <is>
          <t>提前/重复可能造成旧指令或重复uop进入rename；延后多为性能损失，丢失可能错误提交或死锁</t>
        </is>
      </c>
      <c r="N41" s="6" t="inlineStr">
        <is>
          <t>覆盖小时延故障在周期级模拟器中的可实现映射</t>
        </is>
      </c>
      <c r="O41" s="6" t="inlineStr">
        <is>
          <t>MICRO24方法论类比</t>
        </is>
      </c>
      <c r="P41" s="9" t="n"/>
      <c r="Q41" s="9" t="n"/>
      <c r="R41" s="9" t="n"/>
      <c r="S41" s="9" t="n"/>
      <c r="T41" s="9" t="n"/>
      <c r="U41" s="9" t="n"/>
      <c r="V41" s="9" t="n"/>
      <c r="W41" s="9" t="n"/>
      <c r="X41" s="12">
        <f>IF(OR(R41="",R41-AP41&lt;=0),"",AB41/(R41-AP41))</f>
        <v/>
      </c>
      <c r="Y41" s="12">
        <f>IFERROR(R41/AR41,0)</f>
        <v/>
      </c>
      <c r="Z41" s="9" t="inlineStr">
        <is>
          <t>待执行</t>
        </is>
      </c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12">
        <f>IF(OR(R41="",R41-AP41&lt;=0),"",AO41/(R41-AP41))</f>
        <v/>
      </c>
      <c r="AM41" s="11">
        <f>IF(R41="","",SUM(AC41:AF41)-(R41-AP41))</f>
        <v/>
      </c>
      <c r="AN41" s="11">
        <f>IF(R41="","",SUM(S41:W41)+AP41-R41)</f>
        <v/>
      </c>
      <c r="AO41" s="9" t="n"/>
      <c r="AP41" s="9" t="n"/>
      <c r="AQ41" s="27" t="inlineStr">
        <is>
          <t>D07-a 提前1拍；D07-b 延后1拍；D07-c 丢失一次；D07-d 重复一次；按事件ID分开统计</t>
        </is>
      </c>
      <c r="AR41" s="39" t="n"/>
      <c r="AS41" s="39">
        <f>IFERROR(AR41/Q41,0)</f>
        <v/>
      </c>
      <c r="AT41" s="39" t="n">
        <v>30</v>
      </c>
      <c r="AU41" s="39" t="n">
        <v>385</v>
      </c>
      <c r="AV41" s="39" t="inlineStr">
        <is>
          <t>常规</t>
        </is>
      </c>
      <c r="AW41" s="39" t="inlineStr">
        <is>
          <t>累计至少385，不机械扩展到2401</t>
        </is>
      </c>
    </row>
    <row r="42" ht="118.0500030517578" customHeight="1">
      <c r="A42" s="6" t="inlineStr">
        <is>
          <t>D08-F0-W3</t>
        </is>
      </c>
      <c r="B42" s="6" t="inlineStr">
        <is>
          <t>D08</t>
        </is>
      </c>
      <c r="C42" s="6" t="inlineStr">
        <is>
          <t>Int Decode</t>
        </is>
      </c>
      <c r="D42" s="6" t="inlineStr">
        <is>
          <t>复杂指令拆分后的uop序列、uop index和last-uop标记。</t>
        </is>
      </c>
      <c r="E42" s="6" t="inlineStr">
        <is>
          <t>状态/时序</t>
        </is>
      </c>
      <c r="F42" s="6" t="inlineStr">
        <is>
          <t>对多uop指令丢失、重复、互换一个uop，或提前伪造last-uop。绑定一个动态指令/事件ID，提前、延后、丢失、重复分开执行；数据载荷保持正确。仅当下游因此读取旧值、漏发、重复或改变顺序时计activated。触发：decode产生至少2个uop。</t>
        </is>
      </c>
      <c r="G42" s="6" t="inlineStr">
        <is>
          <t>F0</t>
        </is>
      </c>
      <c r="H42" s="6" t="inlineStr">
        <is>
          <t>每次运行只注入1次；warm-up后在 eligible event 中均匀抽样</t>
        </is>
      </c>
      <c r="I42" s="6" t="inlineStr">
        <is>
          <t>W3 A64-DecodeProbe</t>
        </is>
      </c>
      <c r="J42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42" s="6" t="inlineStr">
        <is>
          <t>decode产生至少2个uop</t>
        </is>
      </c>
      <c r="L42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42" s="6" t="inlineStr">
        <is>
          <t>漏/重复微操作可能绕过单条opcode比较并造成部分副作用；ROB计数不一致时易Crash</t>
        </is>
      </c>
      <c r="N42" s="6" t="inlineStr">
        <is>
          <t>适配decode真正的序列生成功能</t>
        </is>
      </c>
      <c r="O42" s="6" t="inlineStr">
        <is>
          <t>本方案结构化模型</t>
        </is>
      </c>
      <c r="P42" s="9" t="n"/>
      <c r="Q42" s="9" t="n"/>
      <c r="R42" s="9" t="n"/>
      <c r="S42" s="9" t="n"/>
      <c r="T42" s="9" t="n"/>
      <c r="U42" s="9" t="n"/>
      <c r="V42" s="9" t="n"/>
      <c r="W42" s="9" t="n"/>
      <c r="X42" s="12">
        <f>IF(OR(R42="",R42-AP42&lt;=0),"",AB42/(R42-AP42))</f>
        <v/>
      </c>
      <c r="Y42" s="12">
        <f>IFERROR(R42/AR42,0)</f>
        <v/>
      </c>
      <c r="Z42" s="9" t="inlineStr">
        <is>
          <t>待执行</t>
        </is>
      </c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12">
        <f>IF(OR(R42="",R42-AP42&lt;=0),"",AO42/(R42-AP42))</f>
        <v/>
      </c>
      <c r="AM42" s="11">
        <f>IF(R42="","",SUM(AC42:AF42)-(R42-AP42))</f>
        <v/>
      </c>
      <c r="AN42" s="11">
        <f>IF(R42="","",SUM(S42:W42)+AP42-R42)</f>
        <v/>
      </c>
      <c r="AO42" s="9" t="n"/>
      <c r="AP42" s="9" t="n"/>
      <c r="AQ42" s="27" t="inlineStr">
        <is>
          <t>D08-a 丢失一个uop；D08-b 重复一个uop；D08-c 互换uop顺序；D08-d 提前伪造last-uop</t>
        </is>
      </c>
      <c r="AR42" s="39" t="n"/>
      <c r="AS42" s="39">
        <f>IFERROR(AR42/Q42,0)</f>
        <v/>
      </c>
      <c r="AT42" s="39" t="n">
        <v>30</v>
      </c>
      <c r="AU42" s="39" t="n">
        <v>385</v>
      </c>
      <c r="AV42" s="39" t="inlineStr">
        <is>
          <t>常规</t>
        </is>
      </c>
      <c r="AW42" s="39" t="inlineStr">
        <is>
          <t>累计至少385，不机械扩展到2401</t>
        </is>
      </c>
    </row>
    <row r="43" ht="118.0500030517578" customHeight="1">
      <c r="A43" s="6" t="inlineStr">
        <is>
          <t>D08-F0-W5</t>
        </is>
      </c>
      <c r="B43" s="6" t="inlineStr">
        <is>
          <t>D08</t>
        </is>
      </c>
      <c r="C43" s="6" t="inlineStr">
        <is>
          <t>Int Decode</t>
        </is>
      </c>
      <c r="D43" s="6" t="inlineStr">
        <is>
          <t>复杂指令拆分后的uop序列、uop index和last-uop标记。</t>
        </is>
      </c>
      <c r="E43" s="6" t="inlineStr">
        <is>
          <t>状态/时序</t>
        </is>
      </c>
      <c r="F43" s="6" t="inlineStr">
        <is>
          <t>对多uop指令丢失、重复、互换一个uop，或提前伪造last-uop。绑定一个动态指令/事件ID，提前、延后、丢失、重复分开执行；数据载荷保持正确。仅当下游因此读取旧值、漏发、重复或改变顺序时计activated。触发：decode产生至少2个uop。</t>
        </is>
      </c>
      <c r="G43" s="6" t="inlineStr">
        <is>
          <t>F0</t>
        </is>
      </c>
      <c r="H43" s="6" t="inlineStr">
        <is>
          <t>每次运行只注入1次；warm-up后在 eligible event 中均匀抽样</t>
        </is>
      </c>
      <c r="I43" s="6" t="inlineStr">
        <is>
          <t>W5 ROB-Recovery</t>
        </is>
      </c>
      <c r="J43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43" s="6" t="inlineStr">
        <is>
          <t>decode产生至少2个uop</t>
        </is>
      </c>
      <c r="L43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43" s="6" t="inlineStr">
        <is>
          <t>漏/重复微操作可能绕过单条opcode比较并造成部分副作用；ROB计数不一致时易Crash</t>
        </is>
      </c>
      <c r="N43" s="6" t="inlineStr">
        <is>
          <t>适配decode真正的序列生成功能</t>
        </is>
      </c>
      <c r="O43" s="6" t="inlineStr">
        <is>
          <t>本方案结构化模型</t>
        </is>
      </c>
      <c r="P43" s="9" t="n"/>
      <c r="Q43" s="9" t="n"/>
      <c r="R43" s="9" t="n"/>
      <c r="S43" s="9" t="n"/>
      <c r="T43" s="9" t="n"/>
      <c r="U43" s="9" t="n"/>
      <c r="V43" s="9" t="n"/>
      <c r="W43" s="9" t="n"/>
      <c r="X43" s="12">
        <f>IF(OR(R43="",R43-AP43&lt;=0),"",AB43/(R43-AP43))</f>
        <v/>
      </c>
      <c r="Y43" s="12">
        <f>IFERROR(R43/AR43,0)</f>
        <v/>
      </c>
      <c r="Z43" s="9" t="inlineStr">
        <is>
          <t>待执行</t>
        </is>
      </c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12">
        <f>IF(OR(R43="",R43-AP43&lt;=0),"",AO43/(R43-AP43))</f>
        <v/>
      </c>
      <c r="AM43" s="11">
        <f>IF(R43="","",SUM(AC43:AF43)-(R43-AP43))</f>
        <v/>
      </c>
      <c r="AN43" s="11">
        <f>IF(R43="","",SUM(S43:W43)+AP43-R43)</f>
        <v/>
      </c>
      <c r="AO43" s="9" t="n"/>
      <c r="AP43" s="9" t="n"/>
      <c r="AQ43" s="27" t="inlineStr">
        <is>
          <t>D08-a 丢失一个uop；D08-b 重复一个uop；D08-c 互换uop顺序；D08-d 提前伪造last-uop</t>
        </is>
      </c>
      <c r="AR43" s="39" t="n"/>
      <c r="AS43" s="39">
        <f>IFERROR(AR43/Q43,0)</f>
        <v/>
      </c>
      <c r="AT43" s="39" t="n">
        <v>30</v>
      </c>
      <c r="AU43" s="39" t="n">
        <v>385</v>
      </c>
      <c r="AV43" s="39" t="inlineStr">
        <is>
          <t>常规</t>
        </is>
      </c>
      <c r="AW43" s="39" t="inlineStr">
        <is>
          <t>累计至少385，不机械扩展到2401</t>
        </is>
      </c>
    </row>
    <row r="44" ht="118.0500030517578" customHeight="1">
      <c r="A44" s="6" t="inlineStr">
        <is>
          <t>D08-F4-W3</t>
        </is>
      </c>
      <c r="B44" s="6" t="inlineStr">
        <is>
          <t>D08</t>
        </is>
      </c>
      <c r="C44" s="6" t="inlineStr">
        <is>
          <t>Int Decode</t>
        </is>
      </c>
      <c r="D44" s="6" t="inlineStr">
        <is>
          <t>复杂指令拆分后的uop序列、uop index和last-uop标记。</t>
        </is>
      </c>
      <c r="E44" s="6" t="inlineStr">
        <is>
          <t>状态/时序</t>
        </is>
      </c>
      <c r="F44" s="6" t="inlineStr">
        <is>
          <t>对多uop指令丢失、重复、互换一个uop，或提前伪造last-uop。绑定一个动态指令/事件ID，提前、延后、丢失、重复分开执行；数据载荷保持正确。仅当下游因此读取旧值、漏发、重复或改变顺序时计activated。触发：decode产生至少2个uop。</t>
        </is>
      </c>
      <c r="G44" s="6" t="inlineStr">
        <is>
          <t>F4</t>
        </is>
      </c>
      <c r="H44" s="6" t="inlineStr">
        <is>
          <t>每100,000个 eligible events 触发一次，连续污染2-4个 eligible events</t>
        </is>
      </c>
      <c r="I44" s="6" t="inlineStr">
        <is>
          <t>W3 A64-DecodeProbe</t>
        </is>
      </c>
      <c r="J44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44" s="6" t="inlineStr">
        <is>
          <t>decode产生至少2个uop</t>
        </is>
      </c>
      <c r="L44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44" s="6" t="inlineStr">
        <is>
          <t>漏/重复微操作可能绕过单条opcode比较并造成部分副作用；ROB计数不一致时易Crash</t>
        </is>
      </c>
      <c r="N44" s="6" t="inlineStr">
        <is>
          <t>适配decode真正的序列生成功能</t>
        </is>
      </c>
      <c r="O44" s="6" t="inlineStr">
        <is>
          <t>本方案结构化模型</t>
        </is>
      </c>
      <c r="P44" s="9" t="n"/>
      <c r="Q44" s="9" t="n"/>
      <c r="R44" s="9" t="n"/>
      <c r="S44" s="9" t="n"/>
      <c r="T44" s="9" t="n"/>
      <c r="U44" s="9" t="n"/>
      <c r="V44" s="9" t="n"/>
      <c r="W44" s="9" t="n"/>
      <c r="X44" s="12">
        <f>IF(OR(R44="",R44-AP44&lt;=0),"",AB44/(R44-AP44))</f>
        <v/>
      </c>
      <c r="Y44" s="12">
        <f>IFERROR(R44/AR44,0)</f>
        <v/>
      </c>
      <c r="Z44" s="9" t="inlineStr">
        <is>
          <t>待执行</t>
        </is>
      </c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12">
        <f>IF(OR(R44="",R44-AP44&lt;=0),"",AO44/(R44-AP44))</f>
        <v/>
      </c>
      <c r="AM44" s="11">
        <f>IF(R44="","",SUM(AC44:AF44)-(R44-AP44))</f>
        <v/>
      </c>
      <c r="AN44" s="11">
        <f>IF(R44="","",SUM(S44:W44)+AP44-R44)</f>
        <v/>
      </c>
      <c r="AO44" s="9" t="n"/>
      <c r="AP44" s="9" t="n"/>
      <c r="AQ44" s="27" t="inlineStr">
        <is>
          <t>D08-a 丢失一个uop；D08-b 重复一个uop；D08-c 互换uop顺序；D08-d 提前伪造last-uop</t>
        </is>
      </c>
      <c r="AR44" s="39" t="n"/>
      <c r="AS44" s="39">
        <f>IFERROR(AR44/Q44,0)</f>
        <v/>
      </c>
      <c r="AT44" s="39" t="n">
        <v>30</v>
      </c>
      <c r="AU44" s="39" t="n">
        <v>385</v>
      </c>
      <c r="AV44" s="39" t="inlineStr">
        <is>
          <t>常规</t>
        </is>
      </c>
      <c r="AW44" s="39" t="inlineStr">
        <is>
          <t>累计至少385，不机械扩展到2401</t>
        </is>
      </c>
    </row>
    <row r="45" ht="118.0500030517578" customHeight="1">
      <c r="A45" s="6" t="inlineStr">
        <is>
          <t>D08-F4-W5</t>
        </is>
      </c>
      <c r="B45" s="6" t="inlineStr">
        <is>
          <t>D08</t>
        </is>
      </c>
      <c r="C45" s="6" t="inlineStr">
        <is>
          <t>Int Decode</t>
        </is>
      </c>
      <c r="D45" s="6" t="inlineStr">
        <is>
          <t>复杂指令拆分后的uop序列、uop index和last-uop标记。</t>
        </is>
      </c>
      <c r="E45" s="6" t="inlineStr">
        <is>
          <t>状态/时序</t>
        </is>
      </c>
      <c r="F45" s="6" t="inlineStr">
        <is>
          <t>对多uop指令丢失、重复、互换一个uop，或提前伪造last-uop。绑定一个动态指令/事件ID，提前、延后、丢失、重复分开执行；数据载荷保持正确。仅当下游因此读取旧值、漏发、重复或改变顺序时计activated。触发：decode产生至少2个uop。</t>
        </is>
      </c>
      <c r="G45" s="6" t="inlineStr">
        <is>
          <t>F4</t>
        </is>
      </c>
      <c r="H45" s="6" t="inlineStr">
        <is>
          <t>每100,000个 eligible events 触发一次，连续污染2-4个 eligible events</t>
        </is>
      </c>
      <c r="I45" s="6" t="inlineStr">
        <is>
          <t>W5 ROB-Recovery</t>
        </is>
      </c>
      <c r="J45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45" s="6" t="inlineStr">
        <is>
          <t>decode产生至少2个uop</t>
        </is>
      </c>
      <c r="L45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45" s="6" t="inlineStr">
        <is>
          <t>漏/重复微操作可能绕过单条opcode比较并造成部分副作用；ROB计数不一致时易Crash</t>
        </is>
      </c>
      <c r="N45" s="6" t="inlineStr">
        <is>
          <t>适配decode真正的序列生成功能</t>
        </is>
      </c>
      <c r="O45" s="6" t="inlineStr">
        <is>
          <t>本方案结构化模型</t>
        </is>
      </c>
      <c r="P45" s="9" t="n"/>
      <c r="Q45" s="9" t="n"/>
      <c r="R45" s="9" t="n"/>
      <c r="S45" s="9" t="n"/>
      <c r="T45" s="9" t="n"/>
      <c r="U45" s="9" t="n"/>
      <c r="V45" s="9" t="n"/>
      <c r="W45" s="9" t="n"/>
      <c r="X45" s="12">
        <f>IF(OR(R45="",R45-AP45&lt;=0),"",AB45/(R45-AP45))</f>
        <v/>
      </c>
      <c r="Y45" s="12">
        <f>IFERROR(R45/AR45,0)</f>
        <v/>
      </c>
      <c r="Z45" s="9" t="inlineStr">
        <is>
          <t>待执行</t>
        </is>
      </c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12">
        <f>IF(OR(R45="",R45-AP45&lt;=0),"",AO45/(R45-AP45))</f>
        <v/>
      </c>
      <c r="AM45" s="11">
        <f>IF(R45="","",SUM(AC45:AF45)-(R45-AP45))</f>
        <v/>
      </c>
      <c r="AN45" s="11">
        <f>IF(R45="","",SUM(S45:W45)+AP45-R45)</f>
        <v/>
      </c>
      <c r="AO45" s="9" t="n"/>
      <c r="AP45" s="9" t="n"/>
      <c r="AQ45" s="27" t="inlineStr">
        <is>
          <t>D08-a 丢失一个uop；D08-b 重复一个uop；D08-c 互换uop顺序；D08-d 提前伪造last-uop</t>
        </is>
      </c>
      <c r="AR45" s="39" t="n"/>
      <c r="AS45" s="39">
        <f>IFERROR(AR45/Q45,0)</f>
        <v/>
      </c>
      <c r="AT45" s="39" t="n">
        <v>30</v>
      </c>
      <c r="AU45" s="39" t="n">
        <v>2401</v>
      </c>
      <c r="AV45" s="39" t="inlineStr">
        <is>
          <t>预登记重点</t>
        </is>
      </c>
      <c r="AW45" s="39" t="inlineStr">
        <is>
          <t>累计2401（含pilot与前385），不得序贯停止</t>
        </is>
      </c>
    </row>
    <row r="46" ht="118.0500030517578" customHeight="1">
      <c r="A46" s="6" t="inlineStr">
        <is>
          <t>D08-F6-W3</t>
        </is>
      </c>
      <c r="B46" s="6" t="inlineStr">
        <is>
          <t>D08</t>
        </is>
      </c>
      <c r="C46" s="6" t="inlineStr">
        <is>
          <t>Int Decode</t>
        </is>
      </c>
      <c r="D46" s="6" t="inlineStr">
        <is>
          <t>复杂指令拆分后的uop序列、uop index和last-uop标记。</t>
        </is>
      </c>
      <c r="E46" s="6" t="inlineStr">
        <is>
          <t>状态/时序</t>
        </is>
      </c>
      <c r="F46" s="6" t="inlineStr">
        <is>
          <t>对多uop指令丢失、重复、互换一个uop，或提前伪造last-uop。绑定一个动态指令/事件ID，提前、延后、丢失、重复分开执行；数据载荷保持正确。仅当下游因此读取旧值、漏发、重复或改变顺序时计activated。触发：decode产生至少2个uop。</t>
        </is>
      </c>
      <c r="G46" s="6" t="inlineStr">
        <is>
          <t>F6</t>
        </is>
      </c>
      <c r="H46" s="6" t="inlineStr">
        <is>
          <t>首次出现指定稀有事件时注入1次，保证结构化模型被激活</t>
        </is>
      </c>
      <c r="I46" s="6" t="inlineStr">
        <is>
          <t>W3 A64-DecodeProbe</t>
        </is>
      </c>
      <c r="J46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46" s="6" t="inlineStr">
        <is>
          <t>decode产生至少2个uop</t>
        </is>
      </c>
      <c r="L46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46" s="6" t="inlineStr">
        <is>
          <t>漏/重复微操作可能绕过单条opcode比较并造成部分副作用；ROB计数不一致时易Crash</t>
        </is>
      </c>
      <c r="N46" s="6" t="inlineStr">
        <is>
          <t>适配decode真正的序列生成功能</t>
        </is>
      </c>
      <c r="O46" s="6" t="inlineStr">
        <is>
          <t>本方案结构化模型</t>
        </is>
      </c>
      <c r="P46" s="9" t="n"/>
      <c r="Q46" s="9" t="n"/>
      <c r="R46" s="9" t="n"/>
      <c r="S46" s="9" t="n"/>
      <c r="T46" s="9" t="n"/>
      <c r="U46" s="9" t="n"/>
      <c r="V46" s="9" t="n"/>
      <c r="W46" s="9" t="n"/>
      <c r="X46" s="12">
        <f>IF(OR(R46="",R46-AP46&lt;=0),"",AB46/(R46-AP46))</f>
        <v/>
      </c>
      <c r="Y46" s="12">
        <f>IFERROR(R46/AR46,0)</f>
        <v/>
      </c>
      <c r="Z46" s="9" t="inlineStr">
        <is>
          <t>待执行</t>
        </is>
      </c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12">
        <f>IF(OR(R46="",R46-AP46&lt;=0),"",AO46/(R46-AP46))</f>
        <v/>
      </c>
      <c r="AM46" s="11">
        <f>IF(R46="","",SUM(AC46:AF46)-(R46-AP46))</f>
        <v/>
      </c>
      <c r="AN46" s="11">
        <f>IF(R46="","",SUM(S46:W46)+AP46-R46)</f>
        <v/>
      </c>
      <c r="AO46" s="9" t="n"/>
      <c r="AP46" s="9" t="n"/>
      <c r="AQ46" s="27" t="inlineStr">
        <is>
          <t>D08-a 丢失一个uop；D08-b 重复一个uop；D08-c 互换uop顺序；D08-d 提前伪造last-uop</t>
        </is>
      </c>
      <c r="AR46" s="39" t="n"/>
      <c r="AS46" s="39">
        <f>IFERROR(AR46/Q46,0)</f>
        <v/>
      </c>
      <c r="AT46" s="39" t="n">
        <v>30</v>
      </c>
      <c r="AU46" s="39" t="n">
        <v>385</v>
      </c>
      <c r="AV46" s="39" t="inlineStr">
        <is>
          <t>常规</t>
        </is>
      </c>
      <c r="AW46" s="39" t="inlineStr">
        <is>
          <t>累计至少385，不机械扩展到2401</t>
        </is>
      </c>
    </row>
    <row r="47" ht="118.0500030517578" customHeight="1">
      <c r="A47" s="6" t="inlineStr">
        <is>
          <t>D08-F6-W5</t>
        </is>
      </c>
      <c r="B47" s="6" t="inlineStr">
        <is>
          <t>D08</t>
        </is>
      </c>
      <c r="C47" s="6" t="inlineStr">
        <is>
          <t>Int Decode</t>
        </is>
      </c>
      <c r="D47" s="6" t="inlineStr">
        <is>
          <t>复杂指令拆分后的uop序列、uop index和last-uop标记。</t>
        </is>
      </c>
      <c r="E47" s="6" t="inlineStr">
        <is>
          <t>状态/时序</t>
        </is>
      </c>
      <c r="F47" s="6" t="inlineStr">
        <is>
          <t>对多uop指令丢失、重复、互换一个uop，或提前伪造last-uop。绑定一个动态指令/事件ID，提前、延后、丢失、重复分开执行；数据载荷保持正确。仅当下游因此读取旧值、漏发、重复或改变顺序时计activated。触发：decode产生至少2个uop。</t>
        </is>
      </c>
      <c r="G47" s="6" t="inlineStr">
        <is>
          <t>F6</t>
        </is>
      </c>
      <c r="H47" s="6" t="inlineStr">
        <is>
          <t>首次出现指定稀有事件时注入1次，保证结构化模型被激活</t>
        </is>
      </c>
      <c r="I47" s="6" t="inlineStr">
        <is>
          <t>W5 ROB-Recovery</t>
        </is>
      </c>
      <c r="J47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47" s="6" t="inlineStr">
        <is>
          <t>decode产生至少2个uop</t>
        </is>
      </c>
      <c r="L47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47" s="6" t="inlineStr">
        <is>
          <t>漏/重复微操作可能绕过单条opcode比较并造成部分副作用；ROB计数不一致时易Crash</t>
        </is>
      </c>
      <c r="N47" s="6" t="inlineStr">
        <is>
          <t>适配decode真正的序列生成功能</t>
        </is>
      </c>
      <c r="O47" s="6" t="inlineStr">
        <is>
          <t>本方案结构化模型</t>
        </is>
      </c>
      <c r="P47" s="9" t="n"/>
      <c r="Q47" s="9" t="n"/>
      <c r="R47" s="9" t="n"/>
      <c r="S47" s="9" t="n"/>
      <c r="T47" s="9" t="n"/>
      <c r="U47" s="9" t="n"/>
      <c r="V47" s="9" t="n"/>
      <c r="W47" s="9" t="n"/>
      <c r="X47" s="12">
        <f>IF(OR(R47="",R47-AP47&lt;=0),"",AB47/(R47-AP47))</f>
        <v/>
      </c>
      <c r="Y47" s="12">
        <f>IFERROR(R47/AR47,0)</f>
        <v/>
      </c>
      <c r="Z47" s="9" t="inlineStr">
        <is>
          <t>待执行</t>
        </is>
      </c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12">
        <f>IF(OR(R47="",R47-AP47&lt;=0),"",AO47/(R47-AP47))</f>
        <v/>
      </c>
      <c r="AM47" s="11">
        <f>IF(R47="","",SUM(AC47:AF47)-(R47-AP47))</f>
        <v/>
      </c>
      <c r="AN47" s="11">
        <f>IF(R47="","",SUM(S47:W47)+AP47-R47)</f>
        <v/>
      </c>
      <c r="AO47" s="9" t="n"/>
      <c r="AP47" s="9" t="n"/>
      <c r="AQ47" s="27" t="inlineStr">
        <is>
          <t>D08-a 丢失一个uop；D08-b 重复一个uop；D08-c 互换uop顺序；D08-d 提前伪造last-uop</t>
        </is>
      </c>
      <c r="AR47" s="39" t="n"/>
      <c r="AS47" s="39">
        <f>IFERROR(AR47/Q47,0)</f>
        <v/>
      </c>
      <c r="AT47" s="39" t="n">
        <v>30</v>
      </c>
      <c r="AU47" s="39" t="n">
        <v>385</v>
      </c>
      <c r="AV47" s="39" t="inlineStr">
        <is>
          <t>常规</t>
        </is>
      </c>
      <c r="AW47" s="39" t="inlineStr">
        <is>
          <t>累计至少385，不机械扩展到2401</t>
        </is>
      </c>
    </row>
    <row r="48" ht="118.0500030517578" customHeight="1">
      <c r="A48" s="6" t="inlineStr">
        <is>
          <t>D09-F5-W3</t>
        </is>
      </c>
      <c r="B48" s="6" t="inlineStr">
        <is>
          <t>D09</t>
        </is>
      </c>
      <c r="C48" s="6" t="inlineStr">
        <is>
          <t>Int Decode</t>
        </is>
      </c>
      <c r="D48" s="6" t="inlineStr">
        <is>
          <t>固定一根opcode/寄存器/控制输出位，影响后续所有命中该位的译码事件。</t>
        </is>
      </c>
      <c r="E48" s="6" t="inlineStr">
        <is>
          <t>卡死</t>
        </is>
      </c>
      <c r="F48" s="6" t="inlineStr">
        <is>
          <t>选择一个decode输出bit实施stuck-at-0/1，按字段分层。warm-up后固定一个bit/控制位，分别做stuck-at-0和stuck-at-1，每次经过均施加到结束；正确值本来等于卡死值时不增加activated。触发：warm-up后每条整数decode。</t>
        </is>
      </c>
      <c r="G48" s="6" t="inlineStr">
        <is>
          <t>F5</t>
        </is>
      </c>
      <c r="H48" s="6" t="inlineStr">
        <is>
          <t>warm-up后第一个 eligible event 起持续至运行结束；每次运行只选1 bit/字段</t>
        </is>
      </c>
      <c r="I48" s="6" t="inlineStr">
        <is>
          <t>W3 A64-DecodeProbe</t>
        </is>
      </c>
      <c r="J48" s="6" t="inlineStr">
        <is>
          <t>A64-DecodeProbe（自设定向负载）
执行定义与oracle：系统覆盖 data-processing immediate/register、shift/extend、conditional select、branch、load/store 解码边界；每条指令有软件参考值和 expected decode tuple</t>
        </is>
      </c>
      <c r="K48" s="6" t="inlineStr">
        <is>
          <t>warm-up后每条整数decode</t>
        </is>
      </c>
      <c r="L48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48" s="6" t="inlineStr">
        <is>
          <t>高使用率控制位卡死多为快速Crash；低使用率字段可能形成输入相关、重复出现的SDC</t>
        </is>
      </c>
      <c r="N48" s="6" t="inlineStr">
        <is>
          <t>覆盖永久边际缺陷和数据相关激活</t>
        </is>
      </c>
      <c r="O48" s="6" t="inlineStr">
        <is>
          <t>CHAOS26 stuck-at方法；无直接decode结果</t>
        </is>
      </c>
      <c r="P48" s="9" t="n"/>
      <c r="Q48" s="9" t="n"/>
      <c r="R48" s="9" t="n"/>
      <c r="S48" s="9" t="n"/>
      <c r="T48" s="9" t="n"/>
      <c r="U48" s="9" t="n"/>
      <c r="V48" s="9" t="n"/>
      <c r="W48" s="9" t="n"/>
      <c r="X48" s="12">
        <f>IF(OR(R48="",R48-AP48&lt;=0),"",AB48/(R48-AP48))</f>
        <v/>
      </c>
      <c r="Y48" s="12">
        <f>IFERROR(R48/AR48,0)</f>
        <v/>
      </c>
      <c r="Z48" s="9" t="inlineStr">
        <is>
          <t>待执行</t>
        </is>
      </c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12">
        <f>IF(OR(R48="",R48-AP48&lt;=0),"",AO48/(R48-AP48))</f>
        <v/>
      </c>
      <c r="AM48" s="11">
        <f>IF(R48="","",SUM(AC48:AF48)-(R48-AP48))</f>
        <v/>
      </c>
      <c r="AN48" s="11">
        <f>IF(R48="","",SUM(S48:W48)+AP48-R48)</f>
        <v/>
      </c>
      <c r="AO48" s="9" t="n"/>
      <c r="AP48" s="9" t="n"/>
      <c r="AQ48" s="27" t="inlineStr">
        <is>
          <t>D09-a opcode输出bit stuck-at-0；D09-b opcode输出bit stuck-at-1；D09-c 寄存器字段bit卡死；D09-d 控制字段bit卡死</t>
        </is>
      </c>
      <c r="AR48" s="39" t="n"/>
      <c r="AS48" s="39">
        <f>IFERROR(AR48/Q48,0)</f>
        <v/>
      </c>
      <c r="AT48" s="39" t="n">
        <v>30</v>
      </c>
      <c r="AU48" s="39" t="n">
        <v>385</v>
      </c>
      <c r="AV48" s="39" t="inlineStr">
        <is>
          <t>常规</t>
        </is>
      </c>
      <c r="AW48" s="39" t="inlineStr">
        <is>
          <t>累计至少385，不机械扩展到2401</t>
        </is>
      </c>
    </row>
    <row r="49" ht="118.0500030517578" customHeight="1">
      <c r="A49" s="6" t="inlineStr">
        <is>
          <t>D09-F5-W6</t>
        </is>
      </c>
      <c r="B49" s="6" t="inlineStr">
        <is>
          <t>D09</t>
        </is>
      </c>
      <c r="C49" s="6" t="inlineStr">
        <is>
          <t>Int Decode</t>
        </is>
      </c>
      <c r="D49" s="6" t="inlineStr">
        <is>
          <t>固定一根opcode/寄存器/控制输出位，影响后续所有命中该位的译码事件。</t>
        </is>
      </c>
      <c r="E49" s="6" t="inlineStr">
        <is>
          <t>卡死</t>
        </is>
      </c>
      <c r="F49" s="6" t="inlineStr">
        <is>
          <t>选择一个decode输出bit实施stuck-at-0/1，按字段分层。warm-up后固定一个bit/控制位，分别做stuck-at-0和stuck-at-1，每次经过均施加到结束；正确值本来等于卡死值时不增加activated。触发：warm-up后每条整数decode。</t>
        </is>
      </c>
      <c r="G49" s="6" t="inlineStr">
        <is>
          <t>F5</t>
        </is>
      </c>
      <c r="H49" s="6" t="inlineStr">
        <is>
          <t>warm-up后第一个 eligible event 起持续至运行结束；每次运行只选1 bit/字段</t>
        </is>
      </c>
      <c r="I49" s="6" t="inlineStr">
        <is>
          <t>W6 CoreMark+Embench</t>
        </is>
      </c>
      <c r="J49" s="6" t="inlineStr">
        <is>
          <t>CoreMark+Embench（公开通用）
执行定义与oracle：CoreMark 与 Embench 全集；固定编译器/优化/输入；使用内置校验及输出 hash</t>
        </is>
      </c>
      <c r="K49" s="6" t="inlineStr">
        <is>
          <t>warm-up后每条整数decode</t>
        </is>
      </c>
      <c r="L49" s="6" t="inlineStr">
        <is>
          <t>L0 eligible/activated；L1 指令字与decode tuple(opClass/src/dst/imm/width/flags/uop数)；L2 rename输入与合法性；L3执行FU/结果；L4首个错误commit PC/opcode/寄存器；L5检测层级与最终结局；另记illegal decode、uop增删和控制流偏离</t>
        </is>
      </c>
      <c r="M49" s="6" t="inlineStr">
        <is>
          <t>高使用率控制位卡死多为快速Crash；低使用率字段可能形成输入相关、重复出现的SDC</t>
        </is>
      </c>
      <c r="N49" s="6" t="inlineStr">
        <is>
          <t>覆盖永久边际缺陷和数据相关激活</t>
        </is>
      </c>
      <c r="O49" s="6" t="inlineStr">
        <is>
          <t>CHAOS26 stuck-at方法；无直接decode结果</t>
        </is>
      </c>
      <c r="P49" s="9" t="n"/>
      <c r="Q49" s="9" t="n"/>
      <c r="R49" s="9" t="n"/>
      <c r="S49" s="9" t="n"/>
      <c r="T49" s="9" t="n"/>
      <c r="U49" s="9" t="n"/>
      <c r="V49" s="9" t="n"/>
      <c r="W49" s="9" t="n"/>
      <c r="X49" s="12">
        <f>IF(OR(R49="",R49-AP49&lt;=0),"",AB49/(R49-AP49))</f>
        <v/>
      </c>
      <c r="Y49" s="12">
        <f>IFERROR(R49/AR49,0)</f>
        <v/>
      </c>
      <c r="Z49" s="9" t="inlineStr">
        <is>
          <t>待执行</t>
        </is>
      </c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12">
        <f>IF(OR(R49="",R49-AP49&lt;=0),"",AO49/(R49-AP49))</f>
        <v/>
      </c>
      <c r="AM49" s="11">
        <f>IF(R49="","",SUM(AC49:AF49)-(R49-AP49))</f>
        <v/>
      </c>
      <c r="AN49" s="11">
        <f>IF(R49="","",SUM(S49:W49)+AP49-R49)</f>
        <v/>
      </c>
      <c r="AO49" s="9" t="n"/>
      <c r="AP49" s="9" t="n"/>
      <c r="AQ49" s="27" t="inlineStr">
        <is>
          <t>D09-a opcode输出bit stuck-at-0；D09-b opcode输出bit stuck-at-1；D09-c 寄存器字段bit卡死；D09-d 控制字段bit卡死</t>
        </is>
      </c>
      <c r="AR49" s="39" t="n"/>
      <c r="AS49" s="39">
        <f>IFERROR(AR49/Q49,0)</f>
        <v/>
      </c>
      <c r="AT49" s="39" t="n">
        <v>30</v>
      </c>
      <c r="AU49" s="39" t="n">
        <v>385</v>
      </c>
      <c r="AV49" s="39" t="inlineStr">
        <is>
          <t>常规</t>
        </is>
      </c>
      <c r="AW49" s="39" t="inlineStr">
        <is>
          <t>累计至少385，不机械扩展到2401</t>
        </is>
      </c>
    </row>
    <row r="50" ht="118.0500030517578" customHeight="1">
      <c r="A50" s="6" t="inlineStr">
        <is>
          <t>R01-F0-W4</t>
        </is>
      </c>
      <c r="B50" s="6" t="inlineStr">
        <is>
          <t>R01</t>
        </is>
      </c>
      <c r="C50" s="6" t="inlineStr">
        <is>
          <t>Int Rename</t>
        </is>
      </c>
      <c r="D50" s="6" t="inlineStr">
        <is>
          <t>speculative RAT中的架构寄存器→物理寄存器映射项。</t>
        </is>
      </c>
      <c r="E50" s="6" t="inlineStr">
        <is>
          <t>单比特翻转</t>
        </is>
      </c>
      <c r="F50" s="6" t="inlineStr">
        <is>
          <t>在源查表或目的重命名前翻转一个当前映射tag bit。每次运行只选一个当前有效字段，在字段内均匀抽1 bit做XOR；保存动态指令ID、原值、故障值和bit编号。仅当故障字段被下游读取/选择/用于状态转移时计activated。触发：目标架构寄存器当前有有效映射。</t>
        </is>
      </c>
      <c r="G50" s="6" t="inlineStr">
        <is>
          <t>F0</t>
        </is>
      </c>
      <c r="H50" s="6" t="inlineStr">
        <is>
          <t>每次运行只注入1次；warm-up后在 eligible event 中均匀抽样</t>
        </is>
      </c>
      <c r="I50" s="6" t="inlineStr">
        <is>
          <t>W4 Rename-Dependency</t>
        </is>
      </c>
      <c r="J50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50" s="6" t="inlineStr">
        <is>
          <t>目标架构寄存器当前有有效映射</t>
        </is>
      </c>
      <c r="L50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50" s="6" t="inlineStr">
        <is>
          <t>翻到空闲/越界tag多为依赖失败或Crash；翻到活跃合法tag可读取错误旧值并SDC</t>
        </is>
      </c>
      <c r="N50" s="6" t="inlineStr">
        <is>
          <t>RAT最基本瞬态基线，需按候选tag状态分层</t>
        </is>
      </c>
      <c r="O50" s="6" t="inlineStr">
        <is>
          <t>无直接结果；TC23的ROB物理tag案例提供机制类比</t>
        </is>
      </c>
      <c r="P50" s="9" t="n"/>
      <c r="Q50" s="9" t="n"/>
      <c r="R50" s="9" t="n"/>
      <c r="S50" s="9" t="n"/>
      <c r="T50" s="9" t="n"/>
      <c r="U50" s="9" t="n"/>
      <c r="V50" s="9" t="n"/>
      <c r="W50" s="9" t="n"/>
      <c r="X50" s="12">
        <f>IF(OR(R50="",R50-AP50&lt;=0),"",AB50/(R50-AP50))</f>
        <v/>
      </c>
      <c r="Y50" s="12">
        <f>IFERROR(R50/AR50,0)</f>
        <v/>
      </c>
      <c r="Z50" s="9" t="inlineStr">
        <is>
          <t>待执行</t>
        </is>
      </c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12">
        <f>IF(OR(R50="",R50-AP50&lt;=0),"",AO50/(R50-AP50))</f>
        <v/>
      </c>
      <c r="AM50" s="11">
        <f>IF(R50="","",SUM(AC50:AF50)-(R50-AP50))</f>
        <v/>
      </c>
      <c r="AN50" s="11">
        <f>IF(R50="","",SUM(S50:W50)+AP50-R50)</f>
        <v/>
      </c>
      <c r="AO50" s="9" t="n"/>
      <c r="AP50" s="9" t="n"/>
      <c r="AQ50" s="27" t="inlineStr">
        <is>
          <t>R01-a RAT源映射tag bit；R01-b RAT目的映射tag bit；按tag字段和bit分层</t>
        </is>
      </c>
      <c r="AR50" s="39" t="n"/>
      <c r="AS50" s="39">
        <f>IFERROR(AR50/Q50,0)</f>
        <v/>
      </c>
      <c r="AT50" s="39" t="n">
        <v>30</v>
      </c>
      <c r="AU50" s="39" t="n">
        <v>385</v>
      </c>
      <c r="AV50" s="39" t="inlineStr">
        <is>
          <t>常规</t>
        </is>
      </c>
      <c r="AW50" s="39" t="inlineStr">
        <is>
          <t>累计至少385，不机械扩展到2401</t>
        </is>
      </c>
    </row>
    <row r="51" ht="118.0500030517578" customHeight="1">
      <c r="A51" s="6" t="inlineStr">
        <is>
          <t>R01-F0-W6</t>
        </is>
      </c>
      <c r="B51" s="6" t="inlineStr">
        <is>
          <t>R01</t>
        </is>
      </c>
      <c r="C51" s="6" t="inlineStr">
        <is>
          <t>Int Rename</t>
        </is>
      </c>
      <c r="D51" s="6" t="inlineStr">
        <is>
          <t>speculative RAT中的架构寄存器→物理寄存器映射项。</t>
        </is>
      </c>
      <c r="E51" s="6" t="inlineStr">
        <is>
          <t>单比特翻转</t>
        </is>
      </c>
      <c r="F51" s="6" t="inlineStr">
        <is>
          <t>在源查表或目的重命名前翻转一个当前映射tag bit。每次运行只选一个当前有效字段，在字段内均匀抽1 bit做XOR；保存动态指令ID、原值、故障值和bit编号。仅当故障字段被下游读取/选择/用于状态转移时计activated。触发：目标架构寄存器当前有有效映射。</t>
        </is>
      </c>
      <c r="G51" s="6" t="inlineStr">
        <is>
          <t>F0</t>
        </is>
      </c>
      <c r="H51" s="6" t="inlineStr">
        <is>
          <t>每次运行只注入1次；warm-up后在 eligible event 中均匀抽样</t>
        </is>
      </c>
      <c r="I51" s="6" t="inlineStr">
        <is>
          <t>W6 CoreMark+Embench</t>
        </is>
      </c>
      <c r="J51" s="6" t="inlineStr">
        <is>
          <t>CoreMark+Embench（公开通用）
执行定义与oracle：CoreMark 与 Embench 全集；固定编译器/优化/输入；使用内置校验及输出 hash</t>
        </is>
      </c>
      <c r="K51" s="6" t="inlineStr">
        <is>
          <t>目标架构寄存器当前有有效映射</t>
        </is>
      </c>
      <c r="L51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51" s="6" t="inlineStr">
        <is>
          <t>翻到空闲/越界tag多为依赖失败或Crash；翻到活跃合法tag可读取错误旧值并SDC</t>
        </is>
      </c>
      <c r="N51" s="6" t="inlineStr">
        <is>
          <t>RAT最基本瞬态基线，需按候选tag状态分层</t>
        </is>
      </c>
      <c r="O51" s="6" t="inlineStr">
        <is>
          <t>无直接结果；TC23的ROB物理tag案例提供机制类比</t>
        </is>
      </c>
      <c r="P51" s="9" t="n"/>
      <c r="Q51" s="9" t="n"/>
      <c r="R51" s="9" t="n"/>
      <c r="S51" s="9" t="n"/>
      <c r="T51" s="9" t="n"/>
      <c r="U51" s="9" t="n"/>
      <c r="V51" s="9" t="n"/>
      <c r="W51" s="9" t="n"/>
      <c r="X51" s="12">
        <f>IF(OR(R51="",R51-AP51&lt;=0),"",AB51/(R51-AP51))</f>
        <v/>
      </c>
      <c r="Y51" s="12">
        <f>IFERROR(R51/AR51,0)</f>
        <v/>
      </c>
      <c r="Z51" s="9" t="inlineStr">
        <is>
          <t>待执行</t>
        </is>
      </c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12">
        <f>IF(OR(R51="",R51-AP51&lt;=0),"",AO51/(R51-AP51))</f>
        <v/>
      </c>
      <c r="AM51" s="11">
        <f>IF(R51="","",SUM(AC51:AF51)-(R51-AP51))</f>
        <v/>
      </c>
      <c r="AN51" s="11">
        <f>IF(R51="","",SUM(S51:W51)+AP51-R51)</f>
        <v/>
      </c>
      <c r="AO51" s="9" t="n"/>
      <c r="AP51" s="9" t="n"/>
      <c r="AQ51" s="27" t="inlineStr">
        <is>
          <t>R01-a RAT源映射tag bit；R01-b RAT目的映射tag bit；按tag字段和bit分层</t>
        </is>
      </c>
      <c r="AR51" s="39" t="n"/>
      <c r="AS51" s="39">
        <f>IFERROR(AR51/Q51,0)</f>
        <v/>
      </c>
      <c r="AT51" s="39" t="n">
        <v>30</v>
      </c>
      <c r="AU51" s="39" t="n">
        <v>2401</v>
      </c>
      <c r="AV51" s="39" t="inlineStr">
        <is>
          <t>预登记重点</t>
        </is>
      </c>
      <c r="AW51" s="39" t="inlineStr">
        <is>
          <t>累计2401（含pilot与前385），不得序贯停止</t>
        </is>
      </c>
    </row>
    <row r="52" ht="118.0500030517578" customHeight="1">
      <c r="A52" s="6" t="inlineStr">
        <is>
          <t>R01-F1-W4</t>
        </is>
      </c>
      <c r="B52" s="6" t="inlineStr">
        <is>
          <t>R01</t>
        </is>
      </c>
      <c r="C52" s="6" t="inlineStr">
        <is>
          <t>Int Rename</t>
        </is>
      </c>
      <c r="D52" s="6" t="inlineStr">
        <is>
          <t>speculative RAT中的架构寄存器→物理寄存器映射项。</t>
        </is>
      </c>
      <c r="E52" s="6" t="inlineStr">
        <is>
          <t>单比特翻转</t>
        </is>
      </c>
      <c r="F52" s="6" t="inlineStr">
        <is>
          <t>在源查表或目的重命名前翻转一个当前映射tag bit。每次运行只选一个当前有效字段，在字段内均匀抽1 bit做XOR；保存动态指令ID、原值、故障值和bit编号。仅当故障字段被下游读取/选择/用于状态转移时计activated。触发：目标架构寄存器当前有有效映射。</t>
        </is>
      </c>
      <c r="G52" s="6" t="inlineStr">
        <is>
          <t>F1</t>
        </is>
      </c>
      <c r="H52" s="6" t="inlineStr">
        <is>
          <t>平均每1,000,000个 eligible events 注入1次，间隔加入±50%抖动</t>
        </is>
      </c>
      <c r="I52" s="6" t="inlineStr">
        <is>
          <t>W4 Rename-Dependency</t>
        </is>
      </c>
      <c r="J52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52" s="6" t="inlineStr">
        <is>
          <t>目标架构寄存器当前有有效映射</t>
        </is>
      </c>
      <c r="L52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52" s="6" t="inlineStr">
        <is>
          <t>翻到空闲/越界tag多为依赖失败或Crash；翻到活跃合法tag可读取错误旧值并SDC</t>
        </is>
      </c>
      <c r="N52" s="6" t="inlineStr">
        <is>
          <t>RAT最基本瞬态基线，需按候选tag状态分层</t>
        </is>
      </c>
      <c r="O52" s="6" t="inlineStr">
        <is>
          <t>无直接结果；TC23的ROB物理tag案例提供机制类比</t>
        </is>
      </c>
      <c r="P52" s="9" t="n"/>
      <c r="Q52" s="9" t="n"/>
      <c r="R52" s="9" t="n"/>
      <c r="S52" s="9" t="n"/>
      <c r="T52" s="9" t="n"/>
      <c r="U52" s="9" t="n"/>
      <c r="V52" s="9" t="n"/>
      <c r="W52" s="9" t="n"/>
      <c r="X52" s="12">
        <f>IF(OR(R52="",R52-AP52&lt;=0),"",AB52/(R52-AP52))</f>
        <v/>
      </c>
      <c r="Y52" s="12">
        <f>IFERROR(R52/AR52,0)</f>
        <v/>
      </c>
      <c r="Z52" s="9" t="inlineStr">
        <is>
          <t>待执行</t>
        </is>
      </c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12">
        <f>IF(OR(R52="",R52-AP52&lt;=0),"",AO52/(R52-AP52))</f>
        <v/>
      </c>
      <c r="AM52" s="11">
        <f>IF(R52="","",SUM(AC52:AF52)-(R52-AP52))</f>
        <v/>
      </c>
      <c r="AN52" s="11">
        <f>IF(R52="","",SUM(S52:W52)+AP52-R52)</f>
        <v/>
      </c>
      <c r="AO52" s="9" t="n"/>
      <c r="AP52" s="9" t="n"/>
      <c r="AQ52" s="27" t="inlineStr">
        <is>
          <t>R01-a RAT源映射tag bit；R01-b RAT目的映射tag bit；按tag字段和bit分层</t>
        </is>
      </c>
      <c r="AR52" s="39" t="n"/>
      <c r="AS52" s="39">
        <f>IFERROR(AR52/Q52,0)</f>
        <v/>
      </c>
      <c r="AT52" s="39" t="n">
        <v>30</v>
      </c>
      <c r="AU52" s="39" t="n">
        <v>385</v>
      </c>
      <c r="AV52" s="39" t="inlineStr">
        <is>
          <t>常规</t>
        </is>
      </c>
      <c r="AW52" s="39" t="inlineStr">
        <is>
          <t>累计至少385，不机械扩展到2401</t>
        </is>
      </c>
    </row>
    <row r="53" ht="118.0500030517578" customHeight="1">
      <c r="A53" s="6" t="inlineStr">
        <is>
          <t>R01-F1-W6</t>
        </is>
      </c>
      <c r="B53" s="6" t="inlineStr">
        <is>
          <t>R01</t>
        </is>
      </c>
      <c r="C53" s="6" t="inlineStr">
        <is>
          <t>Int Rename</t>
        </is>
      </c>
      <c r="D53" s="6" t="inlineStr">
        <is>
          <t>speculative RAT中的架构寄存器→物理寄存器映射项。</t>
        </is>
      </c>
      <c r="E53" s="6" t="inlineStr">
        <is>
          <t>单比特翻转</t>
        </is>
      </c>
      <c r="F53" s="6" t="inlineStr">
        <is>
          <t>在源查表或目的重命名前翻转一个当前映射tag bit。每次运行只选一个当前有效字段，在字段内均匀抽1 bit做XOR；保存动态指令ID、原值、故障值和bit编号。仅当故障字段被下游读取/选择/用于状态转移时计activated。触发：目标架构寄存器当前有有效映射。</t>
        </is>
      </c>
      <c r="G53" s="6" t="inlineStr">
        <is>
          <t>F1</t>
        </is>
      </c>
      <c r="H53" s="6" t="inlineStr">
        <is>
          <t>平均每1,000,000个 eligible events 注入1次，间隔加入±50%抖动</t>
        </is>
      </c>
      <c r="I53" s="6" t="inlineStr">
        <is>
          <t>W6 CoreMark+Embench</t>
        </is>
      </c>
      <c r="J53" s="6" t="inlineStr">
        <is>
          <t>CoreMark+Embench（公开通用）
执行定义与oracle：CoreMark 与 Embench 全集；固定编译器/优化/输入；使用内置校验及输出 hash</t>
        </is>
      </c>
      <c r="K53" s="6" t="inlineStr">
        <is>
          <t>目标架构寄存器当前有有效映射</t>
        </is>
      </c>
      <c r="L53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53" s="6" t="inlineStr">
        <is>
          <t>翻到空闲/越界tag多为依赖失败或Crash；翻到活跃合法tag可读取错误旧值并SDC</t>
        </is>
      </c>
      <c r="N53" s="6" t="inlineStr">
        <is>
          <t>RAT最基本瞬态基线，需按候选tag状态分层</t>
        </is>
      </c>
      <c r="O53" s="6" t="inlineStr">
        <is>
          <t>无直接结果；TC23的ROB物理tag案例提供机制类比</t>
        </is>
      </c>
      <c r="P53" s="9" t="n"/>
      <c r="Q53" s="9" t="n"/>
      <c r="R53" s="9" t="n"/>
      <c r="S53" s="9" t="n"/>
      <c r="T53" s="9" t="n"/>
      <c r="U53" s="9" t="n"/>
      <c r="V53" s="9" t="n"/>
      <c r="W53" s="9" t="n"/>
      <c r="X53" s="12">
        <f>IF(OR(R53="",R53-AP53&lt;=0),"",AB53/(R53-AP53))</f>
        <v/>
      </c>
      <c r="Y53" s="12">
        <f>IFERROR(R53/AR53,0)</f>
        <v/>
      </c>
      <c r="Z53" s="9" t="inlineStr">
        <is>
          <t>待执行</t>
        </is>
      </c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12">
        <f>IF(OR(R53="",R53-AP53&lt;=0),"",AO53/(R53-AP53))</f>
        <v/>
      </c>
      <c r="AM53" s="11">
        <f>IF(R53="","",SUM(AC53:AF53)-(R53-AP53))</f>
        <v/>
      </c>
      <c r="AN53" s="11">
        <f>IF(R53="","",SUM(S53:W53)+AP53-R53)</f>
        <v/>
      </c>
      <c r="AO53" s="9" t="n"/>
      <c r="AP53" s="9" t="n"/>
      <c r="AQ53" s="27" t="inlineStr">
        <is>
          <t>R01-a RAT源映射tag bit；R01-b RAT目的映射tag bit；按tag字段和bit分层</t>
        </is>
      </c>
      <c r="AR53" s="39" t="n"/>
      <c r="AS53" s="39">
        <f>IFERROR(AR53/Q53,0)</f>
        <v/>
      </c>
      <c r="AT53" s="39" t="n">
        <v>30</v>
      </c>
      <c r="AU53" s="39" t="n">
        <v>385</v>
      </c>
      <c r="AV53" s="39" t="inlineStr">
        <is>
          <t>常规</t>
        </is>
      </c>
      <c r="AW53" s="39" t="inlineStr">
        <is>
          <t>累计至少385，不机械扩展到2401</t>
        </is>
      </c>
    </row>
    <row r="54" ht="118.0500030517578" customHeight="1">
      <c r="A54" s="6" t="inlineStr">
        <is>
          <t>R01-F2-W4</t>
        </is>
      </c>
      <c r="B54" s="6" t="inlineStr">
        <is>
          <t>R01</t>
        </is>
      </c>
      <c r="C54" s="6" t="inlineStr">
        <is>
          <t>Int Rename</t>
        </is>
      </c>
      <c r="D54" s="6" t="inlineStr">
        <is>
          <t>speculative RAT中的架构寄存器→物理寄存器映射项。</t>
        </is>
      </c>
      <c r="E54" s="6" t="inlineStr">
        <is>
          <t>单比特翻转</t>
        </is>
      </c>
      <c r="F54" s="6" t="inlineStr">
        <is>
          <t>在源查表或目的重命名前翻转一个当前映射tag bit。每次运行只选一个当前有效字段，在字段内均匀抽1 bit做XOR；保存动态指令ID、原值、故障值和bit编号。仅当故障字段被下游读取/选择/用于状态转移时计activated。触发：目标架构寄存器当前有有效映射。</t>
        </is>
      </c>
      <c r="G54" s="6" t="inlineStr">
        <is>
          <t>F2</t>
        </is>
      </c>
      <c r="H54" s="6" t="inlineStr">
        <is>
          <t>平均每100,000个 eligible events 注入1次，间隔加入±50%抖动</t>
        </is>
      </c>
      <c r="I54" s="6" t="inlineStr">
        <is>
          <t>W4 Rename-Dependency</t>
        </is>
      </c>
      <c r="J54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54" s="6" t="inlineStr">
        <is>
          <t>目标架构寄存器当前有有效映射</t>
        </is>
      </c>
      <c r="L54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54" s="6" t="inlineStr">
        <is>
          <t>翻到空闲/越界tag多为依赖失败或Crash；翻到活跃合法tag可读取错误旧值并SDC</t>
        </is>
      </c>
      <c r="N54" s="6" t="inlineStr">
        <is>
          <t>RAT最基本瞬态基线，需按候选tag状态分层</t>
        </is>
      </c>
      <c r="O54" s="6" t="inlineStr">
        <is>
          <t>无直接结果；TC23的ROB物理tag案例提供机制类比</t>
        </is>
      </c>
      <c r="P54" s="9" t="n"/>
      <c r="Q54" s="9" t="n"/>
      <c r="R54" s="9" t="n"/>
      <c r="S54" s="9" t="n"/>
      <c r="T54" s="9" t="n"/>
      <c r="U54" s="9" t="n"/>
      <c r="V54" s="9" t="n"/>
      <c r="W54" s="9" t="n"/>
      <c r="X54" s="12">
        <f>IF(OR(R54="",R54-AP54&lt;=0),"",AB54/(R54-AP54))</f>
        <v/>
      </c>
      <c r="Y54" s="12">
        <f>IFERROR(R54/AR54,0)</f>
        <v/>
      </c>
      <c r="Z54" s="9" t="inlineStr">
        <is>
          <t>待执行</t>
        </is>
      </c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12">
        <f>IF(OR(R54="",R54-AP54&lt;=0),"",AO54/(R54-AP54))</f>
        <v/>
      </c>
      <c r="AM54" s="11">
        <f>IF(R54="","",SUM(AC54:AF54)-(R54-AP54))</f>
        <v/>
      </c>
      <c r="AN54" s="11">
        <f>IF(R54="","",SUM(S54:W54)+AP54-R54)</f>
        <v/>
      </c>
      <c r="AO54" s="9" t="n"/>
      <c r="AP54" s="9" t="n"/>
      <c r="AQ54" s="27" t="inlineStr">
        <is>
          <t>R01-a RAT源映射tag bit；R01-b RAT目的映射tag bit；按tag字段和bit分层</t>
        </is>
      </c>
      <c r="AR54" s="39" t="n"/>
      <c r="AS54" s="39">
        <f>IFERROR(AR54/Q54,0)</f>
        <v/>
      </c>
      <c r="AT54" s="39" t="n">
        <v>30</v>
      </c>
      <c r="AU54" s="39" t="n">
        <v>385</v>
      </c>
      <c r="AV54" s="39" t="inlineStr">
        <is>
          <t>常规</t>
        </is>
      </c>
      <c r="AW54" s="39" t="inlineStr">
        <is>
          <t>累计至少385，不机械扩展到2401</t>
        </is>
      </c>
    </row>
    <row r="55" ht="118.0500030517578" customHeight="1">
      <c r="A55" s="6" t="inlineStr">
        <is>
          <t>R01-F2-W6</t>
        </is>
      </c>
      <c r="B55" s="6" t="inlineStr">
        <is>
          <t>R01</t>
        </is>
      </c>
      <c r="C55" s="6" t="inlineStr">
        <is>
          <t>Int Rename</t>
        </is>
      </c>
      <c r="D55" s="6" t="inlineStr">
        <is>
          <t>speculative RAT中的架构寄存器→物理寄存器映射项。</t>
        </is>
      </c>
      <c r="E55" s="6" t="inlineStr">
        <is>
          <t>单比特翻转</t>
        </is>
      </c>
      <c r="F55" s="6" t="inlineStr">
        <is>
          <t>在源查表或目的重命名前翻转一个当前映射tag bit。每次运行只选一个当前有效字段，在字段内均匀抽1 bit做XOR；保存动态指令ID、原值、故障值和bit编号。仅当故障字段被下游读取/选择/用于状态转移时计activated。触发：目标架构寄存器当前有有效映射。</t>
        </is>
      </c>
      <c r="G55" s="6" t="inlineStr">
        <is>
          <t>F2</t>
        </is>
      </c>
      <c r="H55" s="6" t="inlineStr">
        <is>
          <t>平均每100,000个 eligible events 注入1次，间隔加入±50%抖动</t>
        </is>
      </c>
      <c r="I55" s="6" t="inlineStr">
        <is>
          <t>W6 CoreMark+Embench</t>
        </is>
      </c>
      <c r="J55" s="6" t="inlineStr">
        <is>
          <t>CoreMark+Embench（公开通用）
执行定义与oracle：CoreMark 与 Embench 全集；固定编译器/优化/输入；使用内置校验及输出 hash</t>
        </is>
      </c>
      <c r="K55" s="6" t="inlineStr">
        <is>
          <t>目标架构寄存器当前有有效映射</t>
        </is>
      </c>
      <c r="L55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55" s="6" t="inlineStr">
        <is>
          <t>翻到空闲/越界tag多为依赖失败或Crash；翻到活跃合法tag可读取错误旧值并SDC</t>
        </is>
      </c>
      <c r="N55" s="6" t="inlineStr">
        <is>
          <t>RAT最基本瞬态基线，需按候选tag状态分层</t>
        </is>
      </c>
      <c r="O55" s="6" t="inlineStr">
        <is>
          <t>无直接结果；TC23的ROB物理tag案例提供机制类比</t>
        </is>
      </c>
      <c r="P55" s="9" t="n"/>
      <c r="Q55" s="9" t="n"/>
      <c r="R55" s="9" t="n"/>
      <c r="S55" s="9" t="n"/>
      <c r="T55" s="9" t="n"/>
      <c r="U55" s="9" t="n"/>
      <c r="V55" s="9" t="n"/>
      <c r="W55" s="9" t="n"/>
      <c r="X55" s="12">
        <f>IF(OR(R55="",R55-AP55&lt;=0),"",AB55/(R55-AP55))</f>
        <v/>
      </c>
      <c r="Y55" s="12">
        <f>IFERROR(R55/AR55,0)</f>
        <v/>
      </c>
      <c r="Z55" s="9" t="inlineStr">
        <is>
          <t>待执行</t>
        </is>
      </c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12">
        <f>IF(OR(R55="",R55-AP55&lt;=0),"",AO55/(R55-AP55))</f>
        <v/>
      </c>
      <c r="AM55" s="11">
        <f>IF(R55="","",SUM(AC55:AF55)-(R55-AP55))</f>
        <v/>
      </c>
      <c r="AN55" s="11">
        <f>IF(R55="","",SUM(S55:W55)+AP55-R55)</f>
        <v/>
      </c>
      <c r="AO55" s="9" t="n"/>
      <c r="AP55" s="9" t="n"/>
      <c r="AQ55" s="27" t="inlineStr">
        <is>
          <t>R01-a RAT源映射tag bit；R01-b RAT目的映射tag bit；按tag字段和bit分层</t>
        </is>
      </c>
      <c r="AR55" s="39" t="n"/>
      <c r="AS55" s="39">
        <f>IFERROR(AR55/Q55,0)</f>
        <v/>
      </c>
      <c r="AT55" s="39" t="n">
        <v>30</v>
      </c>
      <c r="AU55" s="39" t="n">
        <v>385</v>
      </c>
      <c r="AV55" s="39" t="inlineStr">
        <is>
          <t>常规</t>
        </is>
      </c>
      <c r="AW55" s="39" t="inlineStr">
        <is>
          <t>累计至少385，不机械扩展到2401</t>
        </is>
      </c>
    </row>
    <row r="56" ht="118.0500030517578" customHeight="1">
      <c r="A56" s="6" t="inlineStr">
        <is>
          <t>R02-F0-W4</t>
        </is>
      </c>
      <c r="B56" s="6" t="inlineStr">
        <is>
          <t>R02</t>
        </is>
      </c>
      <c r="C56" s="6" t="inlineStr">
        <is>
          <t>Int Rename</t>
        </is>
      </c>
      <c r="D56" s="6" t="inlineStr">
        <is>
          <t>同一speculative RAT映射项。</t>
        </is>
      </c>
      <c r="E56" s="6" t="inlineStr">
        <is>
          <t>双比特翻转</t>
        </is>
      </c>
      <c r="F56" s="6" t="inlineStr">
        <is>
          <t>同时翻转同一物理tag的2 bit。同一字段同时翻转2个不同bit，50%相邻、50%非相邻；两bit在同一事件生效，不与其他字段叠加。保存bit距离和原/故障值。仅当字段被消费时计activated。触发：目标映射将被当前指令读取。</t>
        </is>
      </c>
      <c r="G56" s="6" t="inlineStr">
        <is>
          <t>F0</t>
        </is>
      </c>
      <c r="H56" s="6" t="inlineStr">
        <is>
          <t>每次运行只注入1次；warm-up后在 eligible event 中均匀抽样</t>
        </is>
      </c>
      <c r="I56" s="6" t="inlineStr">
        <is>
          <t>W4 Rename-Dependency</t>
        </is>
      </c>
      <c r="J56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56" s="6" t="inlineStr">
        <is>
          <t>目标映射将被当前指令读取</t>
        </is>
      </c>
      <c r="L56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56" s="6" t="inlineStr">
        <is>
          <t>落入另一个合法活跃tag的概率变化决定SDC/Crash极化</t>
        </is>
      </c>
      <c r="N56" s="6" t="inlineStr">
        <is>
          <t>覆盖多bit和tag编码距离</t>
        </is>
      </c>
      <c r="O56" s="6" t="inlineStr">
        <is>
          <t>CHAOS26多bit规律类比</t>
        </is>
      </c>
      <c r="P56" s="9" t="n"/>
      <c r="Q56" s="9" t="n">
        <v>385</v>
      </c>
      <c r="R56" s="9" t="n">
        <v>382</v>
      </c>
      <c r="S56" s="9" t="n">
        <v>162</v>
      </c>
      <c r="T56" s="9" t="n">
        <v>0</v>
      </c>
      <c r="U56" s="9" t="n">
        <v>4</v>
      </c>
      <c r="V56" s="9" t="n">
        <v>215</v>
      </c>
      <c r="W56" s="9" t="n">
        <v>3</v>
      </c>
      <c r="X56" s="41" t="n">
        <v>0.5826771653543307</v>
      </c>
      <c r="Y56" s="12">
        <f>IFERROR(R56/AR56,0)</f>
        <v/>
      </c>
      <c r="Z56" s="9" t="inlineStr">
        <is>
          <t>部分证据/待核对</t>
        </is>
      </c>
      <c r="AA56" s="9" t="inlineStr">
        <is>
          <t>[2026-10-12 过渡回填|0201(huawei0201,172.168.178.81)|HEAD bf3d284|binary 1a618953|触发=F0等价(cycle1000 warm-up,max_faults1,首个eligible)] 已覆盖子模型:R02-a(同tag相邻双bit,map_bitflip2_adj,rat/dep_chain):attempted 385/activated 382/Masked 162/SDC 222（Data Corruption 4+RAS-silent Crash 215+RAS-silent Timeout 3）/Crash 215/Hang 3/SimErr 1。守恒注:3 个 Hang 为 f=null(timeout,注入状态不可判定),不激活但计入结局→AN 差额=3 属如实记录;1 个 SimErr(activated 但模拟器断,不入 n_valid)。未运行子模型:R02-b。证据:runs/formal_R02a_depchain/c0000/results.jsonl;artifacts/formal_R02a_depchain/summary.md；[2026-10-12 SDC口径修正] SDC=222（Data Corruption 4+RAS-silent Crash 215+RAS-silent Timeout 3），原始结局计数不变</t>
        </is>
      </c>
      <c r="AB56" s="9" t="n">
        <v>222</v>
      </c>
      <c r="AC56" s="9" t="n">
        <v>0</v>
      </c>
      <c r="AD56" s="9" t="n">
        <v>215</v>
      </c>
      <c r="AE56" s="9" t="n">
        <v>0</v>
      </c>
      <c r="AF56" s="9" t="n">
        <v>166</v>
      </c>
      <c r="AG56" s="9" t="n"/>
      <c r="AH56" s="9" t="n"/>
      <c r="AI56" s="9" t="n">
        <v>215</v>
      </c>
      <c r="AJ56" s="9" t="n">
        <v>3</v>
      </c>
      <c r="AK56" s="9" t="inlineStr">
        <is>
          <t>SE口径首检：Masked及仅由离线oracle发现的Data Corruption→None；架构Crash/已归因Timeout→OS；Hardware RAS任意时点=0（B0无ECC/parity）。OS/Application检出不排除SDC。</t>
        </is>
      </c>
      <c r="AL56" s="41" t="n">
        <v>0</v>
      </c>
      <c r="AM56" s="11" t="n">
        <v>0</v>
      </c>
      <c r="AN56" s="11">
        <f>IF(R56="","",SUM(S56:W56)+AP56-R56)</f>
        <v/>
      </c>
      <c r="AO56" s="9" t="n">
        <v>0</v>
      </c>
      <c r="AP56" s="9" t="n">
        <v>1</v>
      </c>
      <c r="AQ56" s="27" t="inlineStr">
        <is>
          <t>R02-a 同tag相邻双bit；R02-b 同tag非相邻双bit</t>
        </is>
      </c>
      <c r="AR56" s="39" t="n"/>
      <c r="AS56" s="39">
        <f>IFERROR(AR56/Q56,0)</f>
        <v/>
      </c>
      <c r="AT56" s="39" t="n">
        <v>30</v>
      </c>
      <c r="AU56" s="39" t="n">
        <v>385</v>
      </c>
      <c r="AV56" s="39" t="inlineStr">
        <is>
          <t>常规</t>
        </is>
      </c>
      <c r="AW56" s="39" t="inlineStr">
        <is>
          <t>累计至少385，不机械扩展到2401</t>
        </is>
      </c>
    </row>
    <row r="57" ht="118.0500030517578" customHeight="1">
      <c r="A57" s="6" t="inlineStr">
        <is>
          <t>R02-F0-W7</t>
        </is>
      </c>
      <c r="B57" s="6" t="inlineStr">
        <is>
          <t>R02</t>
        </is>
      </c>
      <c r="C57" s="6" t="inlineStr">
        <is>
          <t>Int Rename</t>
        </is>
      </c>
      <c r="D57" s="6" t="inlineStr">
        <is>
          <t>同一speculative RAT映射项。</t>
        </is>
      </c>
      <c r="E57" s="6" t="inlineStr">
        <is>
          <t>双比特翻转</t>
        </is>
      </c>
      <c r="F57" s="6" t="inlineStr">
        <is>
          <t>同时翻转同一物理tag的2 bit。同一字段同时翻转2个不同bit，50%相邻、50%非相邻；两bit在同一事件生效，不与其他字段叠加。保存bit距离和原/故障值。仅当字段被消费时计activated。触发：目标映射将被当前指令读取。</t>
        </is>
      </c>
      <c r="G57" s="6" t="inlineStr">
        <is>
          <t>F0</t>
        </is>
      </c>
      <c r="H57" s="6" t="inlineStr">
        <is>
          <t>每次运行只注入1次；warm-up后在 eligible event 中均匀抽样</t>
        </is>
      </c>
      <c r="I57" s="6" t="inlineStr">
        <is>
          <t>W7 GAP-Selected</t>
        </is>
      </c>
      <c r="J57" s="6" t="inlineStr">
        <is>
          <t>GAP-Selected（公开通用）
执行定义与oracle：BFS、SSSP、PageRank；固定图和结果 hash；制造不规则依赖、长延迟和 ROB 压力</t>
        </is>
      </c>
      <c r="K57" s="6" t="inlineStr">
        <is>
          <t>目标映射将被当前指令读取</t>
        </is>
      </c>
      <c r="L57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57" s="6" t="inlineStr">
        <is>
          <t>落入另一个合法活跃tag的概率变化决定SDC/Crash极化</t>
        </is>
      </c>
      <c r="N57" s="6" t="inlineStr">
        <is>
          <t>覆盖多bit和tag编码距离</t>
        </is>
      </c>
      <c r="O57" s="6" t="inlineStr">
        <is>
          <t>CHAOS26多bit规律类比</t>
        </is>
      </c>
      <c r="P57" s="9" t="n"/>
      <c r="Q57" s="9" t="n"/>
      <c r="R57" s="9" t="n"/>
      <c r="S57" s="9" t="n"/>
      <c r="T57" s="9" t="n"/>
      <c r="U57" s="9" t="n"/>
      <c r="V57" s="9" t="n"/>
      <c r="W57" s="9" t="n"/>
      <c r="X57" s="12">
        <f>IF(OR(R57="",R57-AP57&lt;=0),"",AB57/(R57-AP57))</f>
        <v/>
      </c>
      <c r="Y57" s="12">
        <f>IFERROR(R57/AR57,0)</f>
        <v/>
      </c>
      <c r="Z57" s="9" t="inlineStr">
        <is>
          <t>待执行</t>
        </is>
      </c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12">
        <f>IF(OR(R57="",R57-AP57&lt;=0),"",AO57/(R57-AP57))</f>
        <v/>
      </c>
      <c r="AM57" s="11">
        <f>IF(R57="","",SUM(AC57:AF57)-(R57-AP57))</f>
        <v/>
      </c>
      <c r="AN57" s="11">
        <f>IF(R57="","",SUM(S57:W57)+AP57-R57)</f>
        <v/>
      </c>
      <c r="AO57" s="9" t="n"/>
      <c r="AP57" s="9" t="n"/>
      <c r="AQ57" s="27" t="inlineStr">
        <is>
          <t>R02-a 同tag相邻双bit；R02-b 同tag非相邻双bit</t>
        </is>
      </c>
      <c r="AR57" s="39" t="n"/>
      <c r="AS57" s="39">
        <f>IFERROR(AR57/Q57,0)</f>
        <v/>
      </c>
      <c r="AT57" s="39" t="n">
        <v>30</v>
      </c>
      <c r="AU57" s="39" t="n">
        <v>385</v>
      </c>
      <c r="AV57" s="39" t="inlineStr">
        <is>
          <t>常规</t>
        </is>
      </c>
      <c r="AW57" s="39" t="inlineStr">
        <is>
          <t>累计至少385，不机械扩展到2401</t>
        </is>
      </c>
    </row>
    <row r="58" ht="118.0500030517578" customHeight="1">
      <c r="A58" s="6" t="inlineStr">
        <is>
          <t>R02-F2-W4</t>
        </is>
      </c>
      <c r="B58" s="6" t="inlineStr">
        <is>
          <t>R02</t>
        </is>
      </c>
      <c r="C58" s="6" t="inlineStr">
        <is>
          <t>Int Rename</t>
        </is>
      </c>
      <c r="D58" s="6" t="inlineStr">
        <is>
          <t>同一speculative RAT映射项。</t>
        </is>
      </c>
      <c r="E58" s="6" t="inlineStr">
        <is>
          <t>双比特翻转</t>
        </is>
      </c>
      <c r="F58" s="6" t="inlineStr">
        <is>
          <t>同时翻转同一物理tag的2 bit。同一字段同时翻转2个不同bit，50%相邻、50%非相邻；两bit在同一事件生效，不与其他字段叠加。保存bit距离和原/故障值。仅当字段被消费时计activated。触发：目标映射将被当前指令读取。</t>
        </is>
      </c>
      <c r="G58" s="6" t="inlineStr">
        <is>
          <t>F2</t>
        </is>
      </c>
      <c r="H58" s="6" t="inlineStr">
        <is>
          <t>平均每100,000个 eligible events 注入1次，间隔加入±50%抖动</t>
        </is>
      </c>
      <c r="I58" s="6" t="inlineStr">
        <is>
          <t>W4 Rename-Dependency</t>
        </is>
      </c>
      <c r="J58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58" s="6" t="inlineStr">
        <is>
          <t>目标映射将被当前指令读取</t>
        </is>
      </c>
      <c r="L58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58" s="6" t="inlineStr">
        <is>
          <t>落入另一个合法活跃tag的概率变化决定SDC/Crash极化</t>
        </is>
      </c>
      <c r="N58" s="6" t="inlineStr">
        <is>
          <t>覆盖多bit和tag编码距离</t>
        </is>
      </c>
      <c r="O58" s="6" t="inlineStr">
        <is>
          <t>CHAOS26多bit规律类比</t>
        </is>
      </c>
      <c r="P58" s="9" t="n"/>
      <c r="Q58" s="9" t="n"/>
      <c r="R58" s="9" t="n"/>
      <c r="S58" s="9" t="n"/>
      <c r="T58" s="9" t="n"/>
      <c r="U58" s="9" t="n"/>
      <c r="V58" s="9" t="n"/>
      <c r="W58" s="9" t="n"/>
      <c r="X58" s="12">
        <f>IF(OR(R58="",R58-AP58&lt;=0),"",AB58/(R58-AP58))</f>
        <v/>
      </c>
      <c r="Y58" s="12">
        <f>IFERROR(R58/AR58,0)</f>
        <v/>
      </c>
      <c r="Z58" s="9" t="inlineStr">
        <is>
          <t>待执行</t>
        </is>
      </c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12">
        <f>IF(OR(R58="",R58-AP58&lt;=0),"",AO58/(R58-AP58))</f>
        <v/>
      </c>
      <c r="AM58" s="11">
        <f>IF(R58="","",SUM(AC58:AF58)-(R58-AP58))</f>
        <v/>
      </c>
      <c r="AN58" s="11">
        <f>IF(R58="","",SUM(S58:W58)+AP58-R58)</f>
        <v/>
      </c>
      <c r="AO58" s="9" t="n"/>
      <c r="AP58" s="9" t="n"/>
      <c r="AQ58" s="27" t="inlineStr">
        <is>
          <t>R02-a 同tag相邻双bit；R02-b 同tag非相邻双bit</t>
        </is>
      </c>
      <c r="AR58" s="39" t="n"/>
      <c r="AS58" s="39">
        <f>IFERROR(AR58/Q58,0)</f>
        <v/>
      </c>
      <c r="AT58" s="39" t="n">
        <v>30</v>
      </c>
      <c r="AU58" s="39" t="n">
        <v>385</v>
      </c>
      <c r="AV58" s="39" t="inlineStr">
        <is>
          <t>常规</t>
        </is>
      </c>
      <c r="AW58" s="39" t="inlineStr">
        <is>
          <t>累计至少385，不机械扩展到2401</t>
        </is>
      </c>
    </row>
    <row r="59" ht="118.0500030517578" customHeight="1">
      <c r="A59" s="6" t="inlineStr">
        <is>
          <t>R02-F2-W7</t>
        </is>
      </c>
      <c r="B59" s="6" t="inlineStr">
        <is>
          <t>R02</t>
        </is>
      </c>
      <c r="C59" s="6" t="inlineStr">
        <is>
          <t>Int Rename</t>
        </is>
      </c>
      <c r="D59" s="6" t="inlineStr">
        <is>
          <t>同一speculative RAT映射项。</t>
        </is>
      </c>
      <c r="E59" s="6" t="inlineStr">
        <is>
          <t>双比特翻转</t>
        </is>
      </c>
      <c r="F59" s="6" t="inlineStr">
        <is>
          <t>同时翻转同一物理tag的2 bit。同一字段同时翻转2个不同bit，50%相邻、50%非相邻；两bit在同一事件生效，不与其他字段叠加。保存bit距离和原/故障值。仅当字段被消费时计activated。触发：目标映射将被当前指令读取。</t>
        </is>
      </c>
      <c r="G59" s="6" t="inlineStr">
        <is>
          <t>F2</t>
        </is>
      </c>
      <c r="H59" s="6" t="inlineStr">
        <is>
          <t>平均每100,000个 eligible events 注入1次，间隔加入±50%抖动</t>
        </is>
      </c>
      <c r="I59" s="6" t="inlineStr">
        <is>
          <t>W7 GAP-Selected</t>
        </is>
      </c>
      <c r="J59" s="6" t="inlineStr">
        <is>
          <t>GAP-Selected（公开通用）
执行定义与oracle：BFS、SSSP、PageRank；固定图和结果 hash；制造不规则依赖、长延迟和 ROB 压力</t>
        </is>
      </c>
      <c r="K59" s="6" t="inlineStr">
        <is>
          <t>目标映射将被当前指令读取</t>
        </is>
      </c>
      <c r="L59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59" s="6" t="inlineStr">
        <is>
          <t>落入另一个合法活跃tag的概率变化决定SDC/Crash极化</t>
        </is>
      </c>
      <c r="N59" s="6" t="inlineStr">
        <is>
          <t>覆盖多bit和tag编码距离</t>
        </is>
      </c>
      <c r="O59" s="6" t="inlineStr">
        <is>
          <t>CHAOS26多bit规律类比</t>
        </is>
      </c>
      <c r="P59" s="9" t="n"/>
      <c r="Q59" s="9" t="n"/>
      <c r="R59" s="9" t="n"/>
      <c r="S59" s="9" t="n"/>
      <c r="T59" s="9" t="n"/>
      <c r="U59" s="9" t="n"/>
      <c r="V59" s="9" t="n"/>
      <c r="W59" s="9" t="n"/>
      <c r="X59" s="12">
        <f>IF(OR(R59="",R59-AP59&lt;=0),"",AB59/(R59-AP59))</f>
        <v/>
      </c>
      <c r="Y59" s="12">
        <f>IFERROR(R59/AR59,0)</f>
        <v/>
      </c>
      <c r="Z59" s="9" t="inlineStr">
        <is>
          <t>待执行</t>
        </is>
      </c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12">
        <f>IF(OR(R59="",R59-AP59&lt;=0),"",AO59/(R59-AP59))</f>
        <v/>
      </c>
      <c r="AM59" s="11">
        <f>IF(R59="","",SUM(AC59:AF59)-(R59-AP59))</f>
        <v/>
      </c>
      <c r="AN59" s="11">
        <f>IF(R59="","",SUM(S59:W59)+AP59-R59)</f>
        <v/>
      </c>
      <c r="AO59" s="9" t="n"/>
      <c r="AP59" s="9" t="n"/>
      <c r="AQ59" s="27" t="inlineStr">
        <is>
          <t>R02-a 同tag相邻双bit；R02-b 同tag非相邻双bit</t>
        </is>
      </c>
      <c r="AR59" s="39" t="n"/>
      <c r="AS59" s="39">
        <f>IFERROR(AR59/Q59,0)</f>
        <v/>
      </c>
      <c r="AT59" s="39" t="n">
        <v>30</v>
      </c>
      <c r="AU59" s="39" t="n">
        <v>385</v>
      </c>
      <c r="AV59" s="39" t="inlineStr">
        <is>
          <t>常规</t>
        </is>
      </c>
      <c r="AW59" s="39" t="inlineStr">
        <is>
          <t>累计至少385，不机械扩展到2401</t>
        </is>
      </c>
    </row>
    <row r="60" ht="118.0500030517578" customHeight="1">
      <c r="A60" s="6" t="inlineStr">
        <is>
          <t>R03-F0-W4</t>
        </is>
      </c>
      <c r="B60" s="6" t="inlineStr">
        <is>
          <t>R03</t>
        </is>
      </c>
      <c r="C60" s="6" t="inlineStr">
        <is>
          <t>Int Rename</t>
        </is>
      </c>
      <c r="D60" s="6" t="inlineStr">
        <is>
          <t>speculative RAT读出的源物理tag。</t>
        </is>
      </c>
      <c r="E60" s="6" t="inlineStr">
        <is>
          <t>换值</t>
        </is>
      </c>
      <c r="F60" s="6" t="inlineStr">
        <is>
          <t>把源tag替换为另一活跃且ready的物理寄存器tag；src0/src1互换单列。从当前有效且生命周期合法的候选集合中选择另一个合法值；禁止空闲、越界或编码非法候选。保存source/target和候选集大小。仅当替换值被消费时计activated。触发：至少两个活跃ready候选tag。</t>
        </is>
      </c>
      <c r="G60" s="6" t="inlineStr">
        <is>
          <t>F0</t>
        </is>
      </c>
      <c r="H60" s="6" t="inlineStr">
        <is>
          <t>每次运行只注入1次；warm-up后在 eligible event 中均匀抽样</t>
        </is>
      </c>
      <c r="I60" s="6" t="inlineStr">
        <is>
          <t>W4 Rename-Dependency</t>
        </is>
      </c>
      <c r="J60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60" s="6" t="inlineStr">
        <is>
          <t>至少两个活跃ready候选tag</t>
        </is>
      </c>
      <c r="L60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60" s="6" t="inlineStr">
        <is>
          <t>合法tag替换绕开空闲检查，预期比随机翻转更易SDC</t>
        </is>
      </c>
      <c r="N60" s="6" t="inlineStr">
        <is>
          <t>直接检验合法但错误依赖边</t>
        </is>
      </c>
      <c r="O60" s="6" t="inlineStr">
        <is>
          <t>本方案结构化模型；Zenbleed类use-after-free机制仅作案例背景</t>
        </is>
      </c>
      <c r="P60" s="9" t="n"/>
      <c r="Q60" s="9" t="n">
        <v>385</v>
      </c>
      <c r="R60" s="9" t="n">
        <v>385</v>
      </c>
      <c r="S60" s="9" t="n">
        <v>304</v>
      </c>
      <c r="T60" s="9" t="n">
        <v>0</v>
      </c>
      <c r="U60" s="9" t="n">
        <v>0</v>
      </c>
      <c r="V60" s="9" t="n">
        <v>81</v>
      </c>
      <c r="W60" s="9" t="n">
        <v>0</v>
      </c>
      <c r="X60" s="41" t="n">
        <v>0.2103896103896104</v>
      </c>
      <c r="Y60" s="12">
        <f>IFERROR(R60/AR60,0)</f>
        <v/>
      </c>
      <c r="Z60" s="9" t="inlineStr">
        <is>
          <t>部分证据/待核对</t>
        </is>
      </c>
      <c r="AA60" s="9" t="inlineStr">
        <is>
          <t>[2026-10-12 过渡回填|0201(huawei0201,172.168.178.81)|HEAD bf3d284|binary 1a618953|触发=F0等价(cycle1000 warm-up,max_faults1,首个eligible)] 已覆盖子模型:R03-c(src0/src1 tag互换,src_tag_swap,rat/dep_chain):attempted 385/activated 385/Masked 304/Crash 81/SDC 81（RAS-silent Crash 81）/Hang 0。未运行子模型:R03-a/b。证据:runs/formal_R03c_depchain/c0000/results.jsonl;artifacts/formal_R03c_depchain/summary.md;双通道审计(subagent A)PASS；[2026-10-12 SDC口径修正] SDC=81（Data Corruption 0+RAS-silent Crash 81+RAS-silent Timeout 0），原始结局计数不变</t>
        </is>
      </c>
      <c r="AB60" s="9" t="n">
        <v>81</v>
      </c>
      <c r="AC60" s="9" t="n">
        <v>0</v>
      </c>
      <c r="AD60" s="9" t="n">
        <v>81</v>
      </c>
      <c r="AE60" s="9" t="n">
        <v>0</v>
      </c>
      <c r="AF60" s="9" t="n">
        <v>304</v>
      </c>
      <c r="AG60" s="9" t="n"/>
      <c r="AH60" s="9" t="n"/>
      <c r="AI60" s="9" t="n">
        <v>81</v>
      </c>
      <c r="AJ60" s="9" t="n">
        <v>0</v>
      </c>
      <c r="AK60" s="9" t="inlineStr">
        <is>
          <t>SE口径首检：Masked及仅由离线oracle发现的Data Corruption→None；架构Crash/已归因Timeout→OS；Hardware RAS任意时点=0（B0无ECC/parity）。OS/Application检出不排除SDC。</t>
        </is>
      </c>
      <c r="AL60" s="41" t="n">
        <v>0</v>
      </c>
      <c r="AM60" s="11" t="n">
        <v>0</v>
      </c>
      <c r="AN60" s="11">
        <f>IF(R60="","",SUM(S60:W60)+AP60-R60)</f>
        <v/>
      </c>
      <c r="AO60" s="9" t="n">
        <v>0</v>
      </c>
      <c r="AP60" s="9" t="n">
        <v>0</v>
      </c>
      <c r="AQ60" s="27" t="inlineStr">
        <is>
          <t>R03-a src0替换为另一活跃ready tag；R03-b src1替换为另一活跃ready tag；R03-c src0/src1互换；子模型分开统计</t>
        </is>
      </c>
      <c r="AR60" s="39" t="n"/>
      <c r="AS60" s="39">
        <f>IFERROR(AR60/Q60,0)</f>
        <v/>
      </c>
      <c r="AT60" s="39" t="n">
        <v>30</v>
      </c>
      <c r="AU60" s="39" t="n">
        <v>385</v>
      </c>
      <c r="AV60" s="39" t="inlineStr">
        <is>
          <t>常规</t>
        </is>
      </c>
      <c r="AW60" s="39" t="inlineStr">
        <is>
          <t>累计至少385，不机械扩展到2401</t>
        </is>
      </c>
    </row>
    <row r="61" ht="118.0500030517578" customHeight="1">
      <c r="A61" s="6" t="inlineStr">
        <is>
          <t>R03-F0-W6</t>
        </is>
      </c>
      <c r="B61" s="6" t="inlineStr">
        <is>
          <t>R03</t>
        </is>
      </c>
      <c r="C61" s="6" t="inlineStr">
        <is>
          <t>Int Rename</t>
        </is>
      </c>
      <c r="D61" s="6" t="inlineStr">
        <is>
          <t>speculative RAT读出的源物理tag。</t>
        </is>
      </c>
      <c r="E61" s="6" t="inlineStr">
        <is>
          <t>换值</t>
        </is>
      </c>
      <c r="F61" s="6" t="inlineStr">
        <is>
          <t>把源tag替换为另一活跃且ready的物理寄存器tag；src0/src1互换单列。从当前有效且生命周期合法的候选集合中选择另一个合法值；禁止空闲、越界或编码非法候选。保存source/target和候选集大小。仅当替换值被消费时计activated。触发：至少两个活跃ready候选tag。</t>
        </is>
      </c>
      <c r="G61" s="6" t="inlineStr">
        <is>
          <t>F0</t>
        </is>
      </c>
      <c r="H61" s="6" t="inlineStr">
        <is>
          <t>每次运行只注入1次；warm-up后在 eligible event 中均匀抽样</t>
        </is>
      </c>
      <c r="I61" s="6" t="inlineStr">
        <is>
          <t>W6 CoreMark+Embench</t>
        </is>
      </c>
      <c r="J61" s="6" t="inlineStr">
        <is>
          <t>CoreMark+Embench（公开通用）
执行定义与oracle：CoreMark 与 Embench 全集；固定编译器/优化/输入；使用内置校验及输出 hash</t>
        </is>
      </c>
      <c r="K61" s="6" t="inlineStr">
        <is>
          <t>至少两个活跃ready候选tag</t>
        </is>
      </c>
      <c r="L61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61" s="6" t="inlineStr">
        <is>
          <t>合法tag替换绕开空闲检查，预期比随机翻转更易SDC</t>
        </is>
      </c>
      <c r="N61" s="6" t="inlineStr">
        <is>
          <t>直接检验合法但错误依赖边</t>
        </is>
      </c>
      <c r="O61" s="6" t="inlineStr">
        <is>
          <t>本方案结构化模型；Zenbleed类use-after-free机制仅作案例背景</t>
        </is>
      </c>
      <c r="P61" s="9" t="n"/>
      <c r="Q61" s="9" t="n"/>
      <c r="R61" s="9" t="n"/>
      <c r="S61" s="9" t="n"/>
      <c r="T61" s="9" t="n"/>
      <c r="U61" s="9" t="n"/>
      <c r="V61" s="9" t="n"/>
      <c r="W61" s="9" t="n"/>
      <c r="X61" s="12">
        <f>IF(OR(R61="",R61-AP61&lt;=0),"",AB61/(R61-AP61))</f>
        <v/>
      </c>
      <c r="Y61" s="12">
        <f>IFERROR(R61/AR61,0)</f>
        <v/>
      </c>
      <c r="Z61" s="9" t="inlineStr">
        <is>
          <t>待执行</t>
        </is>
      </c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12">
        <f>IF(OR(R61="",R61-AP61&lt;=0),"",AO61/(R61-AP61))</f>
        <v/>
      </c>
      <c r="AM61" s="11">
        <f>IF(R61="","",SUM(AC61:AF61)-(R61-AP61))</f>
        <v/>
      </c>
      <c r="AN61" s="11">
        <f>IF(R61="","",SUM(S61:W61)+AP61-R61)</f>
        <v/>
      </c>
      <c r="AO61" s="9" t="n"/>
      <c r="AP61" s="9" t="n"/>
      <c r="AQ61" s="27" t="inlineStr">
        <is>
          <t>R03-a src0替换为另一活跃ready tag；R03-b src1替换为另一活跃ready tag；R03-c src0/src1互换；子模型分开统计</t>
        </is>
      </c>
      <c r="AR61" s="39" t="n"/>
      <c r="AS61" s="39">
        <f>IFERROR(AR61/Q61,0)</f>
        <v/>
      </c>
      <c r="AT61" s="39" t="n">
        <v>30</v>
      </c>
      <c r="AU61" s="39" t="n">
        <v>385</v>
      </c>
      <c r="AV61" s="39" t="inlineStr">
        <is>
          <t>常规</t>
        </is>
      </c>
      <c r="AW61" s="39" t="inlineStr">
        <is>
          <t>累计至少385，不机械扩展到2401</t>
        </is>
      </c>
    </row>
    <row r="62" ht="118.0500030517578" customHeight="1">
      <c r="A62" s="6" t="inlineStr">
        <is>
          <t>R03-F2-W4</t>
        </is>
      </c>
      <c r="B62" s="6" t="inlineStr">
        <is>
          <t>R03</t>
        </is>
      </c>
      <c r="C62" s="6" t="inlineStr">
        <is>
          <t>Int Rename</t>
        </is>
      </c>
      <c r="D62" s="6" t="inlineStr">
        <is>
          <t>speculative RAT读出的源物理tag。</t>
        </is>
      </c>
      <c r="E62" s="6" t="inlineStr">
        <is>
          <t>换值</t>
        </is>
      </c>
      <c r="F62" s="6" t="inlineStr">
        <is>
          <t>把源tag替换为另一活跃且ready的物理寄存器tag；src0/src1互换单列。从当前有效且生命周期合法的候选集合中选择另一个合法值；禁止空闲、越界或编码非法候选。保存source/target和候选集大小。仅当替换值被消费时计activated。触发：至少两个活跃ready候选tag。</t>
        </is>
      </c>
      <c r="G62" s="6" t="inlineStr">
        <is>
          <t>F2</t>
        </is>
      </c>
      <c r="H62" s="6" t="inlineStr">
        <is>
          <t>平均每100,000个 eligible events 注入1次，间隔加入±50%抖动</t>
        </is>
      </c>
      <c r="I62" s="6" t="inlineStr">
        <is>
          <t>W4 Rename-Dependency</t>
        </is>
      </c>
      <c r="J62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62" s="6" t="inlineStr">
        <is>
          <t>至少两个活跃ready候选tag</t>
        </is>
      </c>
      <c r="L62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62" s="6" t="inlineStr">
        <is>
          <t>合法tag替换绕开空闲检查，预期比随机翻转更易SDC</t>
        </is>
      </c>
      <c r="N62" s="6" t="inlineStr">
        <is>
          <t>直接检验合法但错误依赖边</t>
        </is>
      </c>
      <c r="O62" s="6" t="inlineStr">
        <is>
          <t>本方案结构化模型；Zenbleed类use-after-free机制仅作案例背景</t>
        </is>
      </c>
      <c r="P62" s="9" t="n"/>
      <c r="Q62" s="9" t="n"/>
      <c r="R62" s="9" t="n"/>
      <c r="S62" s="9" t="n"/>
      <c r="T62" s="9" t="n"/>
      <c r="U62" s="9" t="n"/>
      <c r="V62" s="9" t="n"/>
      <c r="W62" s="9" t="n"/>
      <c r="X62" s="12">
        <f>IF(OR(R62="",R62-AP62&lt;=0),"",AB62/(R62-AP62))</f>
        <v/>
      </c>
      <c r="Y62" s="12">
        <f>IFERROR(R62/AR62,0)</f>
        <v/>
      </c>
      <c r="Z62" s="9" t="inlineStr">
        <is>
          <t>待执行</t>
        </is>
      </c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12">
        <f>IF(OR(R62="",R62-AP62&lt;=0),"",AO62/(R62-AP62))</f>
        <v/>
      </c>
      <c r="AM62" s="11">
        <f>IF(R62="","",SUM(AC62:AF62)-(R62-AP62))</f>
        <v/>
      </c>
      <c r="AN62" s="11">
        <f>IF(R62="","",SUM(S62:W62)+AP62-R62)</f>
        <v/>
      </c>
      <c r="AO62" s="9" t="n"/>
      <c r="AP62" s="9" t="n"/>
      <c r="AQ62" s="27" t="inlineStr">
        <is>
          <t>R03-a src0替换为另一活跃ready tag；R03-b src1替换为另一活跃ready tag；R03-c src0/src1互换；子模型分开统计</t>
        </is>
      </c>
      <c r="AR62" s="39" t="n"/>
      <c r="AS62" s="39">
        <f>IFERROR(AR62/Q62,0)</f>
        <v/>
      </c>
      <c r="AT62" s="39" t="n">
        <v>30</v>
      </c>
      <c r="AU62" s="39" t="n">
        <v>385</v>
      </c>
      <c r="AV62" s="39" t="inlineStr">
        <is>
          <t>常规</t>
        </is>
      </c>
      <c r="AW62" s="39" t="inlineStr">
        <is>
          <t>累计至少385，不机械扩展到2401</t>
        </is>
      </c>
    </row>
    <row r="63" ht="118.0500030517578" customHeight="1">
      <c r="A63" s="6" t="inlineStr">
        <is>
          <t>R03-F2-W6</t>
        </is>
      </c>
      <c r="B63" s="6" t="inlineStr">
        <is>
          <t>R03</t>
        </is>
      </c>
      <c r="C63" s="6" t="inlineStr">
        <is>
          <t>Int Rename</t>
        </is>
      </c>
      <c r="D63" s="6" t="inlineStr">
        <is>
          <t>speculative RAT读出的源物理tag。</t>
        </is>
      </c>
      <c r="E63" s="6" t="inlineStr">
        <is>
          <t>换值</t>
        </is>
      </c>
      <c r="F63" s="6" t="inlineStr">
        <is>
          <t>把源tag替换为另一活跃且ready的物理寄存器tag；src0/src1互换单列。从当前有效且生命周期合法的候选集合中选择另一个合法值；禁止空闲、越界或编码非法候选。保存source/target和候选集大小。仅当替换值被消费时计activated。触发：至少两个活跃ready候选tag。</t>
        </is>
      </c>
      <c r="G63" s="6" t="inlineStr">
        <is>
          <t>F2</t>
        </is>
      </c>
      <c r="H63" s="6" t="inlineStr">
        <is>
          <t>平均每100,000个 eligible events 注入1次，间隔加入±50%抖动</t>
        </is>
      </c>
      <c r="I63" s="6" t="inlineStr">
        <is>
          <t>W6 CoreMark+Embench</t>
        </is>
      </c>
      <c r="J63" s="6" t="inlineStr">
        <is>
          <t>CoreMark+Embench（公开通用）
执行定义与oracle：CoreMark 与 Embench 全集；固定编译器/优化/输入；使用内置校验及输出 hash</t>
        </is>
      </c>
      <c r="K63" s="6" t="inlineStr">
        <is>
          <t>至少两个活跃ready候选tag</t>
        </is>
      </c>
      <c r="L63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63" s="6" t="inlineStr">
        <is>
          <t>合法tag替换绕开空闲检查，预期比随机翻转更易SDC</t>
        </is>
      </c>
      <c r="N63" s="6" t="inlineStr">
        <is>
          <t>直接检验合法但错误依赖边</t>
        </is>
      </c>
      <c r="O63" s="6" t="inlineStr">
        <is>
          <t>本方案结构化模型；Zenbleed类use-after-free机制仅作案例背景</t>
        </is>
      </c>
      <c r="P63" s="9" t="n"/>
      <c r="Q63" s="9" t="n"/>
      <c r="R63" s="9" t="n"/>
      <c r="S63" s="9" t="n"/>
      <c r="T63" s="9" t="n"/>
      <c r="U63" s="9" t="n"/>
      <c r="V63" s="9" t="n"/>
      <c r="W63" s="9" t="n"/>
      <c r="X63" s="12">
        <f>IF(OR(R63="",R63-AP63&lt;=0),"",AB63/(R63-AP63))</f>
        <v/>
      </c>
      <c r="Y63" s="12">
        <f>IFERROR(R63/AR63,0)</f>
        <v/>
      </c>
      <c r="Z63" s="9" t="inlineStr">
        <is>
          <t>待执行</t>
        </is>
      </c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12">
        <f>IF(OR(R63="",R63-AP63&lt;=0),"",AO63/(R63-AP63))</f>
        <v/>
      </c>
      <c r="AM63" s="11">
        <f>IF(R63="","",SUM(AC63:AF63)-(R63-AP63))</f>
        <v/>
      </c>
      <c r="AN63" s="11">
        <f>IF(R63="","",SUM(S63:W63)+AP63-R63)</f>
        <v/>
      </c>
      <c r="AO63" s="9" t="n"/>
      <c r="AP63" s="9" t="n"/>
      <c r="AQ63" s="27" t="inlineStr">
        <is>
          <t>R03-a src0替换为另一活跃ready tag；R03-b src1替换为另一活跃ready tag；R03-c src0/src1互换；子模型分开统计</t>
        </is>
      </c>
      <c r="AR63" s="39" t="n"/>
      <c r="AS63" s="39">
        <f>IFERROR(AR63/Q63,0)</f>
        <v/>
      </c>
      <c r="AT63" s="39" t="n">
        <v>30</v>
      </c>
      <c r="AU63" s="39" t="n">
        <v>385</v>
      </c>
      <c r="AV63" s="39" t="inlineStr">
        <is>
          <t>常规</t>
        </is>
      </c>
      <c r="AW63" s="39" t="inlineStr">
        <is>
          <t>累计至少385，不机械扩展到2401</t>
        </is>
      </c>
    </row>
    <row r="64" ht="118.0500030517578" customHeight="1">
      <c r="A64" s="6" t="inlineStr">
        <is>
          <t>R03-F6-W4</t>
        </is>
      </c>
      <c r="B64" s="6" t="inlineStr">
        <is>
          <t>R03</t>
        </is>
      </c>
      <c r="C64" s="6" t="inlineStr">
        <is>
          <t>Int Rename</t>
        </is>
      </c>
      <c r="D64" s="6" t="inlineStr">
        <is>
          <t>speculative RAT读出的源物理tag。</t>
        </is>
      </c>
      <c r="E64" s="6" t="inlineStr">
        <is>
          <t>换值</t>
        </is>
      </c>
      <c r="F64" s="6" t="inlineStr">
        <is>
          <t>把源tag替换为另一活跃且ready的物理寄存器tag；src0/src1互换单列。从当前有效且生命周期合法的候选集合中选择另一个合法值；禁止空闲、越界或编码非法候选。保存source/target和候选集大小。仅当替换值被消费时计activated。触发：至少两个活跃ready候选tag。</t>
        </is>
      </c>
      <c r="G64" s="6" t="inlineStr">
        <is>
          <t>F6</t>
        </is>
      </c>
      <c r="H64" s="6" t="inlineStr">
        <is>
          <t>首次出现指定稀有事件时注入1次，保证结构化模型被激活</t>
        </is>
      </c>
      <c r="I64" s="6" t="inlineStr">
        <is>
          <t>W4 Rename-Dependency</t>
        </is>
      </c>
      <c r="J64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64" s="6" t="inlineStr">
        <is>
          <t>至少两个活跃ready候选tag</t>
        </is>
      </c>
      <c r="L64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64" s="6" t="inlineStr">
        <is>
          <t>合法tag替换绕开空闲检查，预期比随机翻转更易SDC</t>
        </is>
      </c>
      <c r="N64" s="6" t="inlineStr">
        <is>
          <t>直接检验合法但错误依赖边</t>
        </is>
      </c>
      <c r="O64" s="6" t="inlineStr">
        <is>
          <t>本方案结构化模型；Zenbleed类use-after-free机制仅作案例背景</t>
        </is>
      </c>
      <c r="P64" s="9" t="n"/>
      <c r="Q64" s="9" t="n"/>
      <c r="R64" s="9" t="n"/>
      <c r="S64" s="9" t="n"/>
      <c r="T64" s="9" t="n"/>
      <c r="U64" s="9" t="n"/>
      <c r="V64" s="9" t="n"/>
      <c r="W64" s="9" t="n"/>
      <c r="X64" s="12">
        <f>IF(OR(R64="",R64-AP64&lt;=0),"",AB64/(R64-AP64))</f>
        <v/>
      </c>
      <c r="Y64" s="12">
        <f>IFERROR(R64/AR64,0)</f>
        <v/>
      </c>
      <c r="Z64" s="9" t="inlineStr">
        <is>
          <t>待执行</t>
        </is>
      </c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12">
        <f>IF(OR(R64="",R64-AP64&lt;=0),"",AO64/(R64-AP64))</f>
        <v/>
      </c>
      <c r="AM64" s="11">
        <f>IF(R64="","",SUM(AC64:AF64)-(R64-AP64))</f>
        <v/>
      </c>
      <c r="AN64" s="11">
        <f>IF(R64="","",SUM(S64:W64)+AP64-R64)</f>
        <v/>
      </c>
      <c r="AO64" s="9" t="n"/>
      <c r="AP64" s="9" t="n"/>
      <c r="AQ64" s="27" t="inlineStr">
        <is>
          <t>R03-a src0替换为另一活跃ready tag；R03-b src1替换为另一活跃ready tag；R03-c src0/src1互换；子模型分开统计</t>
        </is>
      </c>
      <c r="AR64" s="39" t="n"/>
      <c r="AS64" s="39">
        <f>IFERROR(AR64/Q64,0)</f>
        <v/>
      </c>
      <c r="AT64" s="39" t="n">
        <v>30</v>
      </c>
      <c r="AU64" s="39" t="n">
        <v>2401</v>
      </c>
      <c r="AV64" s="39" t="inlineStr">
        <is>
          <t>预登记重点</t>
        </is>
      </c>
      <c r="AW64" s="39" t="inlineStr">
        <is>
          <t>累计2401（含pilot与前385），不得序贯停止</t>
        </is>
      </c>
    </row>
    <row r="65" ht="118.0500030517578" customHeight="1">
      <c r="A65" s="6" t="inlineStr">
        <is>
          <t>R03-F6-W6</t>
        </is>
      </c>
      <c r="B65" s="6" t="inlineStr">
        <is>
          <t>R03</t>
        </is>
      </c>
      <c r="C65" s="6" t="inlineStr">
        <is>
          <t>Int Rename</t>
        </is>
      </c>
      <c r="D65" s="6" t="inlineStr">
        <is>
          <t>speculative RAT读出的源物理tag。</t>
        </is>
      </c>
      <c r="E65" s="6" t="inlineStr">
        <is>
          <t>换值</t>
        </is>
      </c>
      <c r="F65" s="6" t="inlineStr">
        <is>
          <t>把源tag替换为另一活跃且ready的物理寄存器tag；src0/src1互换单列。从当前有效且生命周期合法的候选集合中选择另一个合法值；禁止空闲、越界或编码非法候选。保存source/target和候选集大小。仅当替换值被消费时计activated。触发：至少两个活跃ready候选tag。</t>
        </is>
      </c>
      <c r="G65" s="6" t="inlineStr">
        <is>
          <t>F6</t>
        </is>
      </c>
      <c r="H65" s="6" t="inlineStr">
        <is>
          <t>首次出现指定稀有事件时注入1次，保证结构化模型被激活</t>
        </is>
      </c>
      <c r="I65" s="6" t="inlineStr">
        <is>
          <t>W6 CoreMark+Embench</t>
        </is>
      </c>
      <c r="J65" s="6" t="inlineStr">
        <is>
          <t>CoreMark+Embench（公开通用）
执行定义与oracle：CoreMark 与 Embench 全集；固定编译器/优化/输入；使用内置校验及输出 hash</t>
        </is>
      </c>
      <c r="K65" s="6" t="inlineStr">
        <is>
          <t>至少两个活跃ready候选tag</t>
        </is>
      </c>
      <c r="L65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65" s="6" t="inlineStr">
        <is>
          <t>合法tag替换绕开空闲检查，预期比随机翻转更易SDC</t>
        </is>
      </c>
      <c r="N65" s="6" t="inlineStr">
        <is>
          <t>直接检验合法但错误依赖边</t>
        </is>
      </c>
      <c r="O65" s="6" t="inlineStr">
        <is>
          <t>本方案结构化模型；Zenbleed类use-after-free机制仅作案例背景</t>
        </is>
      </c>
      <c r="P65" s="9" t="n"/>
      <c r="Q65" s="9" t="n"/>
      <c r="R65" s="9" t="n"/>
      <c r="S65" s="9" t="n"/>
      <c r="T65" s="9" t="n"/>
      <c r="U65" s="9" t="n"/>
      <c r="V65" s="9" t="n"/>
      <c r="W65" s="9" t="n"/>
      <c r="X65" s="12">
        <f>IF(OR(R65="",R65-AP65&lt;=0),"",AB65/(R65-AP65))</f>
        <v/>
      </c>
      <c r="Y65" s="12">
        <f>IFERROR(R65/AR65,0)</f>
        <v/>
      </c>
      <c r="Z65" s="9" t="inlineStr">
        <is>
          <t>待执行</t>
        </is>
      </c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12">
        <f>IF(OR(R65="",R65-AP65&lt;=0),"",AO65/(R65-AP65))</f>
        <v/>
      </c>
      <c r="AM65" s="11">
        <f>IF(R65="","",SUM(AC65:AF65)-(R65-AP65))</f>
        <v/>
      </c>
      <c r="AN65" s="11">
        <f>IF(R65="","",SUM(S65:W65)+AP65-R65)</f>
        <v/>
      </c>
      <c r="AO65" s="9" t="n"/>
      <c r="AP65" s="9" t="n"/>
      <c r="AQ65" s="27" t="inlineStr">
        <is>
          <t>R03-a src0替换为另一活跃ready tag；R03-b src1替换为另一活跃ready tag；R03-c src0/src1互换；子模型分开统计</t>
        </is>
      </c>
      <c r="AR65" s="39" t="n"/>
      <c r="AS65" s="39">
        <f>IFERROR(AR65/Q65,0)</f>
        <v/>
      </c>
      <c r="AT65" s="39" t="n">
        <v>30</v>
      </c>
      <c r="AU65" s="39" t="n">
        <v>385</v>
      </c>
      <c r="AV65" s="39" t="inlineStr">
        <is>
          <t>常规</t>
        </is>
      </c>
      <c r="AW65" s="39" t="inlineStr">
        <is>
          <t>累计至少385，不机械扩展到2401</t>
        </is>
      </c>
    </row>
    <row r="66" ht="118.0500030517578" customHeight="1">
      <c r="A66" s="6" t="inlineStr">
        <is>
          <t>R04-F0-W4</t>
        </is>
      </c>
      <c r="B66" s="6" t="inlineStr">
        <is>
          <t>R04</t>
        </is>
      </c>
      <c r="C66" s="6" t="inlineStr">
        <is>
          <t>Int Rename</t>
        </is>
      </c>
      <c r="D66" s="6" t="inlineStr">
        <is>
          <t>目的寄存器新物理tag分配结果与old-dest tag。</t>
        </is>
      </c>
      <c r="E66" s="6" t="inlineStr">
        <is>
          <t>换值</t>
        </is>
      </c>
      <c r="F66" s="6" t="inlineStr">
        <is>
          <t>把new-dest替换为另一空闲tag，或把old-dest替换为另一活跃tag；两个子模型分开。从当前有效且生命周期合法的候选集合中选择另一个合法值；禁止空闲、越界或编码非法候选。保存source/target和候选集大小。仅当替换值被消费时计activated。触发：目的寄存器需要分配且候选集合非空。</t>
        </is>
      </c>
      <c r="G66" s="6" t="inlineStr">
        <is>
          <t>F0</t>
        </is>
      </c>
      <c r="H66" s="6" t="inlineStr">
        <is>
          <t>每次运行只注入1次；warm-up后在 eligible event 中均匀抽样</t>
        </is>
      </c>
      <c r="I66" s="6" t="inlineStr">
        <is>
          <t>W4 Rename-Dependency</t>
        </is>
      </c>
      <c r="J66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66" s="6" t="inlineStr">
        <is>
          <t>目的寄存器需要分配且候选集合非空</t>
        </is>
      </c>
      <c r="L66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66" s="6" t="inlineStr">
        <is>
          <t>错误new-dest可能与后续写回/ROB仍自洽而潜伏；错误old-dest会导致错误释放和延迟use-after-free</t>
        </is>
      </c>
      <c r="N66" s="6" t="inlineStr">
        <is>
          <t>区分即时映射错误与延迟资源生命周期错误</t>
        </is>
      </c>
      <c r="O66" s="6" t="inlineStr">
        <is>
          <t>本方案结构化模型</t>
        </is>
      </c>
      <c r="P66" s="9" t="n"/>
      <c r="Q66" s="9" t="n"/>
      <c r="R66" s="9" t="n"/>
      <c r="S66" s="9" t="n"/>
      <c r="T66" s="9" t="n"/>
      <c r="U66" s="9" t="n"/>
      <c r="V66" s="9" t="n"/>
      <c r="W66" s="9" t="n"/>
      <c r="X66" s="12">
        <f>IF(OR(R66="",R66-AP66&lt;=0),"",AB66/(R66-AP66))</f>
        <v/>
      </c>
      <c r="Y66" s="12">
        <f>IFERROR(R66/AR66,0)</f>
        <v/>
      </c>
      <c r="Z66" s="9" t="inlineStr">
        <is>
          <t>待执行</t>
        </is>
      </c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12">
        <f>IF(OR(R66="",R66-AP66&lt;=0),"",AO66/(R66-AP66))</f>
        <v/>
      </c>
      <c r="AM66" s="11">
        <f>IF(R66="","",SUM(AC66:AF66)-(R66-AP66))</f>
        <v/>
      </c>
      <c r="AN66" s="11">
        <f>IF(R66="","",SUM(S66:W66)+AP66-R66)</f>
        <v/>
      </c>
      <c r="AO66" s="9" t="n"/>
      <c r="AP66" s="9" t="n"/>
      <c r="AQ66" s="27" t="inlineStr">
        <is>
          <t>R04-a new-dest替换为空闲tag；R04-b old-dest替换为另一活跃tag；子模型分开统计</t>
        </is>
      </c>
      <c r="AR66" s="39" t="n"/>
      <c r="AS66" s="39">
        <f>IFERROR(AR66/Q66,0)</f>
        <v/>
      </c>
      <c r="AT66" s="39" t="n">
        <v>30</v>
      </c>
      <c r="AU66" s="39" t="n">
        <v>385</v>
      </c>
      <c r="AV66" s="39" t="inlineStr">
        <is>
          <t>常规</t>
        </is>
      </c>
      <c r="AW66" s="39" t="inlineStr">
        <is>
          <t>累计至少385，不机械扩展到2401</t>
        </is>
      </c>
    </row>
    <row r="67" ht="118.0500030517578" customHeight="1">
      <c r="A67" s="6" t="inlineStr">
        <is>
          <t>R04-F0-W7</t>
        </is>
      </c>
      <c r="B67" s="6" t="inlineStr">
        <is>
          <t>R04</t>
        </is>
      </c>
      <c r="C67" s="6" t="inlineStr">
        <is>
          <t>Int Rename</t>
        </is>
      </c>
      <c r="D67" s="6" t="inlineStr">
        <is>
          <t>目的寄存器新物理tag分配结果与old-dest tag。</t>
        </is>
      </c>
      <c r="E67" s="6" t="inlineStr">
        <is>
          <t>换值</t>
        </is>
      </c>
      <c r="F67" s="6" t="inlineStr">
        <is>
          <t>把new-dest替换为另一空闲tag，或把old-dest替换为另一活跃tag；两个子模型分开。从当前有效且生命周期合法的候选集合中选择另一个合法值；禁止空闲、越界或编码非法候选。保存source/target和候选集大小。仅当替换值被消费时计activated。触发：目的寄存器需要分配且候选集合非空。</t>
        </is>
      </c>
      <c r="G67" s="6" t="inlineStr">
        <is>
          <t>F0</t>
        </is>
      </c>
      <c r="H67" s="6" t="inlineStr">
        <is>
          <t>每次运行只注入1次；warm-up后在 eligible event 中均匀抽样</t>
        </is>
      </c>
      <c r="I67" s="6" t="inlineStr">
        <is>
          <t>W7 GAP-Selected</t>
        </is>
      </c>
      <c r="J67" s="6" t="inlineStr">
        <is>
          <t>GAP-Selected（公开通用）
执行定义与oracle：BFS、SSSP、PageRank；固定图和结果 hash；制造不规则依赖、长延迟和 ROB 压力</t>
        </is>
      </c>
      <c r="K67" s="6" t="inlineStr">
        <is>
          <t>目的寄存器需要分配且候选集合非空</t>
        </is>
      </c>
      <c r="L67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67" s="6" t="inlineStr">
        <is>
          <t>错误new-dest可能与后续写回/ROB仍自洽而潜伏；错误old-dest会导致错误释放和延迟use-after-free</t>
        </is>
      </c>
      <c r="N67" s="6" t="inlineStr">
        <is>
          <t>区分即时映射错误与延迟资源生命周期错误</t>
        </is>
      </c>
      <c r="O67" s="6" t="inlineStr">
        <is>
          <t>本方案结构化模型</t>
        </is>
      </c>
      <c r="P67" s="9" t="n"/>
      <c r="Q67" s="9" t="n"/>
      <c r="R67" s="9" t="n"/>
      <c r="S67" s="9" t="n"/>
      <c r="T67" s="9" t="n"/>
      <c r="U67" s="9" t="n"/>
      <c r="V67" s="9" t="n"/>
      <c r="W67" s="9" t="n"/>
      <c r="X67" s="12">
        <f>IF(OR(R67="",R67-AP67&lt;=0),"",AB67/(R67-AP67))</f>
        <v/>
      </c>
      <c r="Y67" s="12">
        <f>IFERROR(R67/AR67,0)</f>
        <v/>
      </c>
      <c r="Z67" s="9" t="inlineStr">
        <is>
          <t>待执行</t>
        </is>
      </c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12">
        <f>IF(OR(R67="",R67-AP67&lt;=0),"",AO67/(R67-AP67))</f>
        <v/>
      </c>
      <c r="AM67" s="11">
        <f>IF(R67="","",SUM(AC67:AF67)-(R67-AP67))</f>
        <v/>
      </c>
      <c r="AN67" s="11">
        <f>IF(R67="","",SUM(S67:W67)+AP67-R67)</f>
        <v/>
      </c>
      <c r="AO67" s="9" t="n"/>
      <c r="AP67" s="9" t="n"/>
      <c r="AQ67" s="27" t="inlineStr">
        <is>
          <t>R04-a new-dest替换为空闲tag；R04-b old-dest替换为另一活跃tag；子模型分开统计</t>
        </is>
      </c>
      <c r="AR67" s="39" t="n"/>
      <c r="AS67" s="39">
        <f>IFERROR(AR67/Q67,0)</f>
        <v/>
      </c>
      <c r="AT67" s="39" t="n">
        <v>30</v>
      </c>
      <c r="AU67" s="39" t="n">
        <v>385</v>
      </c>
      <c r="AV67" s="39" t="inlineStr">
        <is>
          <t>常规</t>
        </is>
      </c>
      <c r="AW67" s="39" t="inlineStr">
        <is>
          <t>累计至少385，不机械扩展到2401</t>
        </is>
      </c>
    </row>
    <row r="68" ht="118.0500030517578" customHeight="1">
      <c r="A68" s="6" t="inlineStr">
        <is>
          <t>R04-F2-W4</t>
        </is>
      </c>
      <c r="B68" s="6" t="inlineStr">
        <is>
          <t>R04</t>
        </is>
      </c>
      <c r="C68" s="6" t="inlineStr">
        <is>
          <t>Int Rename</t>
        </is>
      </c>
      <c r="D68" s="6" t="inlineStr">
        <is>
          <t>目的寄存器新物理tag分配结果与old-dest tag。</t>
        </is>
      </c>
      <c r="E68" s="6" t="inlineStr">
        <is>
          <t>换值</t>
        </is>
      </c>
      <c r="F68" s="6" t="inlineStr">
        <is>
          <t>把new-dest替换为另一空闲tag，或把old-dest替换为另一活跃tag；两个子模型分开。从当前有效且生命周期合法的候选集合中选择另一个合法值；禁止空闲、越界或编码非法候选。保存source/target和候选集大小。仅当替换值被消费时计activated。触发：目的寄存器需要分配且候选集合非空。</t>
        </is>
      </c>
      <c r="G68" s="6" t="inlineStr">
        <is>
          <t>F2</t>
        </is>
      </c>
      <c r="H68" s="6" t="inlineStr">
        <is>
          <t>平均每100,000个 eligible events 注入1次，间隔加入±50%抖动</t>
        </is>
      </c>
      <c r="I68" s="6" t="inlineStr">
        <is>
          <t>W4 Rename-Dependency</t>
        </is>
      </c>
      <c r="J68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68" s="6" t="inlineStr">
        <is>
          <t>目的寄存器需要分配且候选集合非空</t>
        </is>
      </c>
      <c r="L68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68" s="6" t="inlineStr">
        <is>
          <t>错误new-dest可能与后续写回/ROB仍自洽而潜伏；错误old-dest会导致错误释放和延迟use-after-free</t>
        </is>
      </c>
      <c r="N68" s="6" t="inlineStr">
        <is>
          <t>区分即时映射错误与延迟资源生命周期错误</t>
        </is>
      </c>
      <c r="O68" s="6" t="inlineStr">
        <is>
          <t>本方案结构化模型</t>
        </is>
      </c>
      <c r="P68" s="9" t="n"/>
      <c r="Q68" s="9" t="n"/>
      <c r="R68" s="9" t="n"/>
      <c r="S68" s="9" t="n"/>
      <c r="T68" s="9" t="n"/>
      <c r="U68" s="9" t="n"/>
      <c r="V68" s="9" t="n"/>
      <c r="W68" s="9" t="n"/>
      <c r="X68" s="12">
        <f>IF(OR(R68="",R68-AP68&lt;=0),"",AB68/(R68-AP68))</f>
        <v/>
      </c>
      <c r="Y68" s="12">
        <f>IFERROR(R68/AR68,0)</f>
        <v/>
      </c>
      <c r="Z68" s="9" t="inlineStr">
        <is>
          <t>待执行</t>
        </is>
      </c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12">
        <f>IF(OR(R68="",R68-AP68&lt;=0),"",AO68/(R68-AP68))</f>
        <v/>
      </c>
      <c r="AM68" s="11">
        <f>IF(R68="","",SUM(AC68:AF68)-(R68-AP68))</f>
        <v/>
      </c>
      <c r="AN68" s="11">
        <f>IF(R68="","",SUM(S68:W68)+AP68-R68)</f>
        <v/>
      </c>
      <c r="AO68" s="9" t="n"/>
      <c r="AP68" s="9" t="n"/>
      <c r="AQ68" s="27" t="inlineStr">
        <is>
          <t>R04-a new-dest替换为空闲tag；R04-b old-dest替换为另一活跃tag；子模型分开统计</t>
        </is>
      </c>
      <c r="AR68" s="39" t="n"/>
      <c r="AS68" s="39">
        <f>IFERROR(AR68/Q68,0)</f>
        <v/>
      </c>
      <c r="AT68" s="39" t="n">
        <v>30</v>
      </c>
      <c r="AU68" s="39" t="n">
        <v>385</v>
      </c>
      <c r="AV68" s="39" t="inlineStr">
        <is>
          <t>常规</t>
        </is>
      </c>
      <c r="AW68" s="39" t="inlineStr">
        <is>
          <t>累计至少385，不机械扩展到2401</t>
        </is>
      </c>
    </row>
    <row r="69" ht="118.0500030517578" customHeight="1">
      <c r="A69" s="6" t="inlineStr">
        <is>
          <t>R04-F2-W7</t>
        </is>
      </c>
      <c r="B69" s="6" t="inlineStr">
        <is>
          <t>R04</t>
        </is>
      </c>
      <c r="C69" s="6" t="inlineStr">
        <is>
          <t>Int Rename</t>
        </is>
      </c>
      <c r="D69" s="6" t="inlineStr">
        <is>
          <t>目的寄存器新物理tag分配结果与old-dest tag。</t>
        </is>
      </c>
      <c r="E69" s="6" t="inlineStr">
        <is>
          <t>换值</t>
        </is>
      </c>
      <c r="F69" s="6" t="inlineStr">
        <is>
          <t>把new-dest替换为另一空闲tag，或把old-dest替换为另一活跃tag；两个子模型分开。从当前有效且生命周期合法的候选集合中选择另一个合法值；禁止空闲、越界或编码非法候选。保存source/target和候选集大小。仅当替换值被消费时计activated。触发：目的寄存器需要分配且候选集合非空。</t>
        </is>
      </c>
      <c r="G69" s="6" t="inlineStr">
        <is>
          <t>F2</t>
        </is>
      </c>
      <c r="H69" s="6" t="inlineStr">
        <is>
          <t>平均每100,000个 eligible events 注入1次，间隔加入±50%抖动</t>
        </is>
      </c>
      <c r="I69" s="6" t="inlineStr">
        <is>
          <t>W7 GAP-Selected</t>
        </is>
      </c>
      <c r="J69" s="6" t="inlineStr">
        <is>
          <t>GAP-Selected（公开通用）
执行定义与oracle：BFS、SSSP、PageRank；固定图和结果 hash；制造不规则依赖、长延迟和 ROB 压力</t>
        </is>
      </c>
      <c r="K69" s="6" t="inlineStr">
        <is>
          <t>目的寄存器需要分配且候选集合非空</t>
        </is>
      </c>
      <c r="L69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69" s="6" t="inlineStr">
        <is>
          <t>错误new-dest可能与后续写回/ROB仍自洽而潜伏；错误old-dest会导致错误释放和延迟use-after-free</t>
        </is>
      </c>
      <c r="N69" s="6" t="inlineStr">
        <is>
          <t>区分即时映射错误与延迟资源生命周期错误</t>
        </is>
      </c>
      <c r="O69" s="6" t="inlineStr">
        <is>
          <t>本方案结构化模型</t>
        </is>
      </c>
      <c r="P69" s="9" t="n"/>
      <c r="Q69" s="9" t="n"/>
      <c r="R69" s="9" t="n"/>
      <c r="S69" s="9" t="n"/>
      <c r="T69" s="9" t="n"/>
      <c r="U69" s="9" t="n"/>
      <c r="V69" s="9" t="n"/>
      <c r="W69" s="9" t="n"/>
      <c r="X69" s="12">
        <f>IF(OR(R69="",R69-AP69&lt;=0),"",AB69/(R69-AP69))</f>
        <v/>
      </c>
      <c r="Y69" s="12">
        <f>IFERROR(R69/AR69,0)</f>
        <v/>
      </c>
      <c r="Z69" s="9" t="inlineStr">
        <is>
          <t>待执行</t>
        </is>
      </c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12">
        <f>IF(OR(R69="",R69-AP69&lt;=0),"",AO69/(R69-AP69))</f>
        <v/>
      </c>
      <c r="AM69" s="11">
        <f>IF(R69="","",SUM(AC69:AF69)-(R69-AP69))</f>
        <v/>
      </c>
      <c r="AN69" s="11">
        <f>IF(R69="","",SUM(S69:W69)+AP69-R69)</f>
        <v/>
      </c>
      <c r="AO69" s="9" t="n"/>
      <c r="AP69" s="9" t="n"/>
      <c r="AQ69" s="27" t="inlineStr">
        <is>
          <t>R04-a new-dest替换为空闲tag；R04-b old-dest替换为另一活跃tag；子模型分开统计</t>
        </is>
      </c>
      <c r="AR69" s="39" t="n"/>
      <c r="AS69" s="39">
        <f>IFERROR(AR69/Q69,0)</f>
        <v/>
      </c>
      <c r="AT69" s="39" t="n">
        <v>30</v>
      </c>
      <c r="AU69" s="39" t="n">
        <v>385</v>
      </c>
      <c r="AV69" s="39" t="inlineStr">
        <is>
          <t>常规</t>
        </is>
      </c>
      <c r="AW69" s="39" t="inlineStr">
        <is>
          <t>累计至少385，不机械扩展到2401</t>
        </is>
      </c>
    </row>
    <row r="70" ht="118.0500030517578" customHeight="1">
      <c r="A70" s="6" t="inlineStr">
        <is>
          <t>R04-F6-W4</t>
        </is>
      </c>
      <c r="B70" s="6" t="inlineStr">
        <is>
          <t>R04</t>
        </is>
      </c>
      <c r="C70" s="6" t="inlineStr">
        <is>
          <t>Int Rename</t>
        </is>
      </c>
      <c r="D70" s="6" t="inlineStr">
        <is>
          <t>目的寄存器新物理tag分配结果与old-dest tag。</t>
        </is>
      </c>
      <c r="E70" s="6" t="inlineStr">
        <is>
          <t>换值</t>
        </is>
      </c>
      <c r="F70" s="6" t="inlineStr">
        <is>
          <t>把new-dest替换为另一空闲tag，或把old-dest替换为另一活跃tag；两个子模型分开。从当前有效且生命周期合法的候选集合中选择另一个合法值；禁止空闲、越界或编码非法候选。保存source/target和候选集大小。仅当替换值被消费时计activated。触发：目的寄存器需要分配且候选集合非空。</t>
        </is>
      </c>
      <c r="G70" s="6" t="inlineStr">
        <is>
          <t>F6</t>
        </is>
      </c>
      <c r="H70" s="6" t="inlineStr">
        <is>
          <t>首次出现指定稀有事件时注入1次，保证结构化模型被激活</t>
        </is>
      </c>
      <c r="I70" s="6" t="inlineStr">
        <is>
          <t>W4 Rename-Dependency</t>
        </is>
      </c>
      <c r="J70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70" s="6" t="inlineStr">
        <is>
          <t>目的寄存器需要分配且候选集合非空</t>
        </is>
      </c>
      <c r="L70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70" s="6" t="inlineStr">
        <is>
          <t>错误new-dest可能与后续写回/ROB仍自洽而潜伏；错误old-dest会导致错误释放和延迟use-after-free</t>
        </is>
      </c>
      <c r="N70" s="6" t="inlineStr">
        <is>
          <t>区分即时映射错误与延迟资源生命周期错误</t>
        </is>
      </c>
      <c r="O70" s="6" t="inlineStr">
        <is>
          <t>本方案结构化模型</t>
        </is>
      </c>
      <c r="P70" s="9" t="n"/>
      <c r="Q70" s="9" t="n"/>
      <c r="R70" s="9" t="n"/>
      <c r="S70" s="9" t="n"/>
      <c r="T70" s="9" t="n"/>
      <c r="U70" s="9" t="n"/>
      <c r="V70" s="9" t="n"/>
      <c r="W70" s="9" t="n"/>
      <c r="X70" s="12">
        <f>IF(OR(R70="",R70-AP70&lt;=0),"",AB70/(R70-AP70))</f>
        <v/>
      </c>
      <c r="Y70" s="12">
        <f>IFERROR(R70/AR70,0)</f>
        <v/>
      </c>
      <c r="Z70" s="9" t="inlineStr">
        <is>
          <t>待执行</t>
        </is>
      </c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12">
        <f>IF(OR(R70="",R70-AP70&lt;=0),"",AO70/(R70-AP70))</f>
        <v/>
      </c>
      <c r="AM70" s="11">
        <f>IF(R70="","",SUM(AC70:AF70)-(R70-AP70))</f>
        <v/>
      </c>
      <c r="AN70" s="11">
        <f>IF(R70="","",SUM(S70:W70)+AP70-R70)</f>
        <v/>
      </c>
      <c r="AO70" s="9" t="n"/>
      <c r="AP70" s="9" t="n"/>
      <c r="AQ70" s="27" t="inlineStr">
        <is>
          <t>R04-a new-dest替换为空闲tag；R04-b old-dest替换为另一活跃tag；子模型分开统计</t>
        </is>
      </c>
      <c r="AR70" s="39" t="n"/>
      <c r="AS70" s="39">
        <f>IFERROR(AR70/Q70,0)</f>
        <v/>
      </c>
      <c r="AT70" s="39" t="n">
        <v>30</v>
      </c>
      <c r="AU70" s="39" t="n">
        <v>385</v>
      </c>
      <c r="AV70" s="39" t="inlineStr">
        <is>
          <t>常规</t>
        </is>
      </c>
      <c r="AW70" s="39" t="inlineStr">
        <is>
          <t>累计至少385，不机械扩展到2401</t>
        </is>
      </c>
    </row>
    <row r="71" ht="118.0500030517578" customHeight="1">
      <c r="A71" s="6" t="inlineStr">
        <is>
          <t>R04-F6-W7</t>
        </is>
      </c>
      <c r="B71" s="6" t="inlineStr">
        <is>
          <t>R04</t>
        </is>
      </c>
      <c r="C71" s="6" t="inlineStr">
        <is>
          <t>Int Rename</t>
        </is>
      </c>
      <c r="D71" s="6" t="inlineStr">
        <is>
          <t>目的寄存器新物理tag分配结果与old-dest tag。</t>
        </is>
      </c>
      <c r="E71" s="6" t="inlineStr">
        <is>
          <t>换值</t>
        </is>
      </c>
      <c r="F71" s="6" t="inlineStr">
        <is>
          <t>把new-dest替换为另一空闲tag，或把old-dest替换为另一活跃tag；两个子模型分开。从当前有效且生命周期合法的候选集合中选择另一个合法值；禁止空闲、越界或编码非法候选。保存source/target和候选集大小。仅当替换值被消费时计activated。触发：目的寄存器需要分配且候选集合非空。</t>
        </is>
      </c>
      <c r="G71" s="6" t="inlineStr">
        <is>
          <t>F6</t>
        </is>
      </c>
      <c r="H71" s="6" t="inlineStr">
        <is>
          <t>首次出现指定稀有事件时注入1次，保证结构化模型被激活</t>
        </is>
      </c>
      <c r="I71" s="6" t="inlineStr">
        <is>
          <t>W7 GAP-Selected</t>
        </is>
      </c>
      <c r="J71" s="6" t="inlineStr">
        <is>
          <t>GAP-Selected（公开通用）
执行定义与oracle：BFS、SSSP、PageRank；固定图和结果 hash；制造不规则依赖、长延迟和 ROB 压力</t>
        </is>
      </c>
      <c r="K71" s="6" t="inlineStr">
        <is>
          <t>目的寄存器需要分配且候选集合非空</t>
        </is>
      </c>
      <c r="L71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71" s="6" t="inlineStr">
        <is>
          <t>错误new-dest可能与后续写回/ROB仍自洽而潜伏；错误old-dest会导致错误释放和延迟use-after-free</t>
        </is>
      </c>
      <c r="N71" s="6" t="inlineStr">
        <is>
          <t>区分即时映射错误与延迟资源生命周期错误</t>
        </is>
      </c>
      <c r="O71" s="6" t="inlineStr">
        <is>
          <t>本方案结构化模型</t>
        </is>
      </c>
      <c r="P71" s="9" t="n"/>
      <c r="Q71" s="9" t="n"/>
      <c r="R71" s="9" t="n"/>
      <c r="S71" s="9" t="n"/>
      <c r="T71" s="9" t="n"/>
      <c r="U71" s="9" t="n"/>
      <c r="V71" s="9" t="n"/>
      <c r="W71" s="9" t="n"/>
      <c r="X71" s="12">
        <f>IF(OR(R71="",R71-AP71&lt;=0),"",AB71/(R71-AP71))</f>
        <v/>
      </c>
      <c r="Y71" s="12">
        <f>IFERROR(R71/AR71,0)</f>
        <v/>
      </c>
      <c r="Z71" s="9" t="inlineStr">
        <is>
          <t>待执行</t>
        </is>
      </c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12">
        <f>IF(OR(R71="",R71-AP71&lt;=0),"",AO71/(R71-AP71))</f>
        <v/>
      </c>
      <c r="AM71" s="11">
        <f>IF(R71="","",SUM(AC71:AF71)-(R71-AP71))</f>
        <v/>
      </c>
      <c r="AN71" s="11">
        <f>IF(R71="","",SUM(S71:W71)+AP71-R71)</f>
        <v/>
      </c>
      <c r="AO71" s="9" t="n"/>
      <c r="AP71" s="9" t="n"/>
      <c r="AQ71" s="27" t="inlineStr">
        <is>
          <t>R04-a new-dest替换为空闲tag；R04-b old-dest替换为另一活跃tag；子模型分开统计</t>
        </is>
      </c>
      <c r="AR71" s="39" t="n"/>
      <c r="AS71" s="39">
        <f>IFERROR(AR71/Q71,0)</f>
        <v/>
      </c>
      <c r="AT71" s="39" t="n">
        <v>30</v>
      </c>
      <c r="AU71" s="39" t="n">
        <v>385</v>
      </c>
      <c r="AV71" s="39" t="inlineStr">
        <is>
          <t>常规</t>
        </is>
      </c>
      <c r="AW71" s="39" t="inlineStr">
        <is>
          <t>累计至少385，不机械扩展到2401</t>
        </is>
      </c>
    </row>
    <row r="72" ht="118.0500030517578" customHeight="1">
      <c r="A72" s="6" t="inlineStr">
        <is>
          <t>R05-F0-W4</t>
        </is>
      </c>
      <c r="B72" s="6" t="inlineStr">
        <is>
          <t>R05</t>
        </is>
      </c>
      <c r="C72" s="6" t="inlineStr">
        <is>
          <t>Int Rename</t>
        </is>
      </c>
      <c r="D72" s="6" t="inlineStr">
        <is>
          <t>free list bitmap/队列项和head指针，保证每个空闲物理寄存器只分配一次。</t>
        </is>
      </c>
      <c r="E72" s="6" t="inlineStr">
        <is>
          <t>状态</t>
        </is>
      </c>
      <c r="F72" s="6" t="inlineStr">
        <is>
          <t>清除一个真实空闲位造成泄漏，伪造一个占用tag为空闲造成重复分配，或使head跳到另一合法槽。清零、伪造、提前置位和延后清除分成独立子模型，每次运行只改变一种状态转移；记录前后状态机轨迹和关联动态指令。仅当错误状态参与仲裁/转移时计activated。触发：发生目的物理寄存器分配。</t>
        </is>
      </c>
      <c r="G72" s="6" t="inlineStr">
        <is>
          <t>F0</t>
        </is>
      </c>
      <c r="H72" s="6" t="inlineStr">
        <is>
          <t>每次运行只注入1次；warm-up后在 eligible event 中均匀抽样</t>
        </is>
      </c>
      <c r="I72" s="6" t="inlineStr">
        <is>
          <t>W4 Rename-Dependency</t>
        </is>
      </c>
      <c r="J72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72" s="6" t="inlineStr">
        <is>
          <t>发生目的物理寄存器分配</t>
        </is>
      </c>
      <c r="L72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72" s="6" t="inlineStr">
        <is>
          <t>泄漏多表现为长期停顿/Timeout；重复分配可在两条指令间形成静默覆盖，SDC风险高</t>
        </is>
      </c>
      <c r="N72" s="6" t="inlineStr">
        <is>
          <t>free-list错误的两种后果相反，必须分开</t>
        </is>
      </c>
      <c r="O72" s="6" t="inlineStr">
        <is>
          <t>本方案结构化模型；IDLD/Zenbleed机制背景</t>
        </is>
      </c>
      <c r="P72" s="9" t="n"/>
      <c r="Q72" s="9" t="n"/>
      <c r="R72" s="9" t="n"/>
      <c r="S72" s="9" t="n"/>
      <c r="T72" s="9" t="n"/>
      <c r="U72" s="9" t="n"/>
      <c r="V72" s="9" t="n"/>
      <c r="W72" s="9" t="n"/>
      <c r="X72" s="12">
        <f>IF(OR(R72="",R72-AP72&lt;=0),"",AB72/(R72-AP72))</f>
        <v/>
      </c>
      <c r="Y72" s="12">
        <f>IFERROR(R72/AR72,0)</f>
        <v/>
      </c>
      <c r="Z72" s="9" t="inlineStr">
        <is>
          <t>待执行</t>
        </is>
      </c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12">
        <f>IF(OR(R72="",R72-AP72&lt;=0),"",AO72/(R72-AP72))</f>
        <v/>
      </c>
      <c r="AM72" s="11">
        <f>IF(R72="","",SUM(AC72:AF72)-(R72-AP72))</f>
        <v/>
      </c>
      <c r="AN72" s="11">
        <f>IF(R72="","",SUM(S72:W72)+AP72-R72)</f>
        <v/>
      </c>
      <c r="AO72" s="9" t="n"/>
      <c r="AP72" s="9" t="n"/>
      <c r="AQ72" s="27" t="inlineStr">
        <is>
          <t>R05-a 清除真实空闲位造成泄漏；R05-b 伪造占用tag为空闲造成重复分配；R05-c head跳到另一合法槽；子模型分开统计</t>
        </is>
      </c>
      <c r="AR72" s="39" t="n"/>
      <c r="AS72" s="39">
        <f>IFERROR(AR72/Q72,0)</f>
        <v/>
      </c>
      <c r="AT72" s="39" t="n">
        <v>30</v>
      </c>
      <c r="AU72" s="39" t="n">
        <v>385</v>
      </c>
      <c r="AV72" s="39" t="inlineStr">
        <is>
          <t>常规</t>
        </is>
      </c>
      <c r="AW72" s="39" t="inlineStr">
        <is>
          <t>累计至少385，不机械扩展到2401</t>
        </is>
      </c>
    </row>
    <row r="73" ht="118.0500030517578" customHeight="1">
      <c r="A73" s="6" t="inlineStr">
        <is>
          <t>R05-F0-W7</t>
        </is>
      </c>
      <c r="B73" s="6" t="inlineStr">
        <is>
          <t>R05</t>
        </is>
      </c>
      <c r="C73" s="6" t="inlineStr">
        <is>
          <t>Int Rename</t>
        </is>
      </c>
      <c r="D73" s="6" t="inlineStr">
        <is>
          <t>free list bitmap/队列项和head指针，保证每个空闲物理寄存器只分配一次。</t>
        </is>
      </c>
      <c r="E73" s="6" t="inlineStr">
        <is>
          <t>状态</t>
        </is>
      </c>
      <c r="F73" s="6" t="inlineStr">
        <is>
          <t>清除一个真实空闲位造成泄漏，伪造一个占用tag为空闲造成重复分配，或使head跳到另一合法槽。清零、伪造、提前置位和延后清除分成独立子模型，每次运行只改变一种状态转移；记录前后状态机轨迹和关联动态指令。仅当错误状态参与仲裁/转移时计activated。触发：发生目的物理寄存器分配。</t>
        </is>
      </c>
      <c r="G73" s="6" t="inlineStr">
        <is>
          <t>F0</t>
        </is>
      </c>
      <c r="H73" s="6" t="inlineStr">
        <is>
          <t>每次运行只注入1次；warm-up后在 eligible event 中均匀抽样</t>
        </is>
      </c>
      <c r="I73" s="6" t="inlineStr">
        <is>
          <t>W7 GAP-Selected</t>
        </is>
      </c>
      <c r="J73" s="6" t="inlineStr">
        <is>
          <t>GAP-Selected（公开通用）
执行定义与oracle：BFS、SSSP、PageRank；固定图和结果 hash；制造不规则依赖、长延迟和 ROB 压力</t>
        </is>
      </c>
      <c r="K73" s="6" t="inlineStr">
        <is>
          <t>发生目的物理寄存器分配</t>
        </is>
      </c>
      <c r="L73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73" s="6" t="inlineStr">
        <is>
          <t>泄漏多表现为长期停顿/Timeout；重复分配可在两条指令间形成静默覆盖，SDC风险高</t>
        </is>
      </c>
      <c r="N73" s="6" t="inlineStr">
        <is>
          <t>free-list错误的两种后果相反，必须分开</t>
        </is>
      </c>
      <c r="O73" s="6" t="inlineStr">
        <is>
          <t>本方案结构化模型；IDLD/Zenbleed机制背景</t>
        </is>
      </c>
      <c r="P73" s="9" t="n"/>
      <c r="Q73" s="9" t="n"/>
      <c r="R73" s="9" t="n"/>
      <c r="S73" s="9" t="n"/>
      <c r="T73" s="9" t="n"/>
      <c r="U73" s="9" t="n"/>
      <c r="V73" s="9" t="n"/>
      <c r="W73" s="9" t="n"/>
      <c r="X73" s="12">
        <f>IF(OR(R73="",R73-AP73&lt;=0),"",AB73/(R73-AP73))</f>
        <v/>
      </c>
      <c r="Y73" s="12">
        <f>IFERROR(R73/AR73,0)</f>
        <v/>
      </c>
      <c r="Z73" s="9" t="inlineStr">
        <is>
          <t>待执行</t>
        </is>
      </c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12">
        <f>IF(OR(R73="",R73-AP73&lt;=0),"",AO73/(R73-AP73))</f>
        <v/>
      </c>
      <c r="AM73" s="11">
        <f>IF(R73="","",SUM(AC73:AF73)-(R73-AP73))</f>
        <v/>
      </c>
      <c r="AN73" s="11">
        <f>IF(R73="","",SUM(S73:W73)+AP73-R73)</f>
        <v/>
      </c>
      <c r="AO73" s="9" t="n"/>
      <c r="AP73" s="9" t="n"/>
      <c r="AQ73" s="27" t="inlineStr">
        <is>
          <t>R05-a 清除真实空闲位造成泄漏；R05-b 伪造占用tag为空闲造成重复分配；R05-c head跳到另一合法槽；子模型分开统计</t>
        </is>
      </c>
      <c r="AR73" s="39" t="n"/>
      <c r="AS73" s="39">
        <f>IFERROR(AR73/Q73,0)</f>
        <v/>
      </c>
      <c r="AT73" s="39" t="n">
        <v>30</v>
      </c>
      <c r="AU73" s="39" t="n">
        <v>385</v>
      </c>
      <c r="AV73" s="39" t="inlineStr">
        <is>
          <t>常规</t>
        </is>
      </c>
      <c r="AW73" s="39" t="inlineStr">
        <is>
          <t>累计至少385，不机械扩展到2401</t>
        </is>
      </c>
    </row>
    <row r="74" ht="118.0500030517578" customHeight="1">
      <c r="A74" s="6" t="inlineStr">
        <is>
          <t>R05-F2-W4</t>
        </is>
      </c>
      <c r="B74" s="6" t="inlineStr">
        <is>
          <t>R05</t>
        </is>
      </c>
      <c r="C74" s="6" t="inlineStr">
        <is>
          <t>Int Rename</t>
        </is>
      </c>
      <c r="D74" s="6" t="inlineStr">
        <is>
          <t>free list bitmap/队列项和head指针，保证每个空闲物理寄存器只分配一次。</t>
        </is>
      </c>
      <c r="E74" s="6" t="inlineStr">
        <is>
          <t>状态</t>
        </is>
      </c>
      <c r="F74" s="6" t="inlineStr">
        <is>
          <t>清除一个真实空闲位造成泄漏，伪造一个占用tag为空闲造成重复分配，或使head跳到另一合法槽。清零、伪造、提前置位和延后清除分成独立子模型，每次运行只改变一种状态转移；记录前后状态机轨迹和关联动态指令。仅当错误状态参与仲裁/转移时计activated。触发：发生目的物理寄存器分配。</t>
        </is>
      </c>
      <c r="G74" s="6" t="inlineStr">
        <is>
          <t>F2</t>
        </is>
      </c>
      <c r="H74" s="6" t="inlineStr">
        <is>
          <t>平均每100,000个 eligible events 注入1次，间隔加入±50%抖动</t>
        </is>
      </c>
      <c r="I74" s="6" t="inlineStr">
        <is>
          <t>W4 Rename-Dependency</t>
        </is>
      </c>
      <c r="J74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74" s="6" t="inlineStr">
        <is>
          <t>发生目的物理寄存器分配</t>
        </is>
      </c>
      <c r="L74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74" s="6" t="inlineStr">
        <is>
          <t>泄漏多表现为长期停顿/Timeout；重复分配可在两条指令间形成静默覆盖，SDC风险高</t>
        </is>
      </c>
      <c r="N74" s="6" t="inlineStr">
        <is>
          <t>free-list错误的两种后果相反，必须分开</t>
        </is>
      </c>
      <c r="O74" s="6" t="inlineStr">
        <is>
          <t>本方案结构化模型；IDLD/Zenbleed机制背景</t>
        </is>
      </c>
      <c r="P74" s="9" t="n"/>
      <c r="Q74" s="9" t="n"/>
      <c r="R74" s="9" t="n"/>
      <c r="S74" s="9" t="n"/>
      <c r="T74" s="9" t="n"/>
      <c r="U74" s="9" t="n"/>
      <c r="V74" s="9" t="n"/>
      <c r="W74" s="9" t="n"/>
      <c r="X74" s="12">
        <f>IF(OR(R74="",R74-AP74&lt;=0),"",AB74/(R74-AP74))</f>
        <v/>
      </c>
      <c r="Y74" s="12">
        <f>IFERROR(R74/AR74,0)</f>
        <v/>
      </c>
      <c r="Z74" s="9" t="inlineStr">
        <is>
          <t>待执行</t>
        </is>
      </c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12">
        <f>IF(OR(R74="",R74-AP74&lt;=0),"",AO74/(R74-AP74))</f>
        <v/>
      </c>
      <c r="AM74" s="11">
        <f>IF(R74="","",SUM(AC74:AF74)-(R74-AP74))</f>
        <v/>
      </c>
      <c r="AN74" s="11">
        <f>IF(R74="","",SUM(S74:W74)+AP74-R74)</f>
        <v/>
      </c>
      <c r="AO74" s="9" t="n"/>
      <c r="AP74" s="9" t="n"/>
      <c r="AQ74" s="27" t="inlineStr">
        <is>
          <t>R05-a 清除真实空闲位造成泄漏；R05-b 伪造占用tag为空闲造成重复分配；R05-c head跳到另一合法槽；子模型分开统计</t>
        </is>
      </c>
      <c r="AR74" s="39" t="n"/>
      <c r="AS74" s="39">
        <f>IFERROR(AR74/Q74,0)</f>
        <v/>
      </c>
      <c r="AT74" s="39" t="n">
        <v>30</v>
      </c>
      <c r="AU74" s="39" t="n">
        <v>385</v>
      </c>
      <c r="AV74" s="39" t="inlineStr">
        <is>
          <t>常规</t>
        </is>
      </c>
      <c r="AW74" s="39" t="inlineStr">
        <is>
          <t>累计至少385，不机械扩展到2401</t>
        </is>
      </c>
    </row>
    <row r="75" ht="118.0500030517578" customHeight="1">
      <c r="A75" s="6" t="inlineStr">
        <is>
          <t>R05-F2-W7</t>
        </is>
      </c>
      <c r="B75" s="6" t="inlineStr">
        <is>
          <t>R05</t>
        </is>
      </c>
      <c r="C75" s="6" t="inlineStr">
        <is>
          <t>Int Rename</t>
        </is>
      </c>
      <c r="D75" s="6" t="inlineStr">
        <is>
          <t>free list bitmap/队列项和head指针，保证每个空闲物理寄存器只分配一次。</t>
        </is>
      </c>
      <c r="E75" s="6" t="inlineStr">
        <is>
          <t>状态</t>
        </is>
      </c>
      <c r="F75" s="6" t="inlineStr">
        <is>
          <t>清除一个真实空闲位造成泄漏，伪造一个占用tag为空闲造成重复分配，或使head跳到另一合法槽。清零、伪造、提前置位和延后清除分成独立子模型，每次运行只改变一种状态转移；记录前后状态机轨迹和关联动态指令。仅当错误状态参与仲裁/转移时计activated。触发：发生目的物理寄存器分配。</t>
        </is>
      </c>
      <c r="G75" s="6" t="inlineStr">
        <is>
          <t>F2</t>
        </is>
      </c>
      <c r="H75" s="6" t="inlineStr">
        <is>
          <t>平均每100,000个 eligible events 注入1次，间隔加入±50%抖动</t>
        </is>
      </c>
      <c r="I75" s="6" t="inlineStr">
        <is>
          <t>W7 GAP-Selected</t>
        </is>
      </c>
      <c r="J75" s="6" t="inlineStr">
        <is>
          <t>GAP-Selected（公开通用）
执行定义与oracle：BFS、SSSP、PageRank；固定图和结果 hash；制造不规则依赖、长延迟和 ROB 压力</t>
        </is>
      </c>
      <c r="K75" s="6" t="inlineStr">
        <is>
          <t>发生目的物理寄存器分配</t>
        </is>
      </c>
      <c r="L75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75" s="6" t="inlineStr">
        <is>
          <t>泄漏多表现为长期停顿/Timeout；重复分配可在两条指令间形成静默覆盖，SDC风险高</t>
        </is>
      </c>
      <c r="N75" s="6" t="inlineStr">
        <is>
          <t>free-list错误的两种后果相反，必须分开</t>
        </is>
      </c>
      <c r="O75" s="6" t="inlineStr">
        <is>
          <t>本方案结构化模型；IDLD/Zenbleed机制背景</t>
        </is>
      </c>
      <c r="P75" s="9" t="n"/>
      <c r="Q75" s="9" t="n"/>
      <c r="R75" s="9" t="n"/>
      <c r="S75" s="9" t="n"/>
      <c r="T75" s="9" t="n"/>
      <c r="U75" s="9" t="n"/>
      <c r="V75" s="9" t="n"/>
      <c r="W75" s="9" t="n"/>
      <c r="X75" s="12">
        <f>IF(OR(R75="",R75-AP75&lt;=0),"",AB75/(R75-AP75))</f>
        <v/>
      </c>
      <c r="Y75" s="12">
        <f>IFERROR(R75/AR75,0)</f>
        <v/>
      </c>
      <c r="Z75" s="9" t="inlineStr">
        <is>
          <t>待执行</t>
        </is>
      </c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12">
        <f>IF(OR(R75="",R75-AP75&lt;=0),"",AO75/(R75-AP75))</f>
        <v/>
      </c>
      <c r="AM75" s="11">
        <f>IF(R75="","",SUM(AC75:AF75)-(R75-AP75))</f>
        <v/>
      </c>
      <c r="AN75" s="11">
        <f>IF(R75="","",SUM(S75:W75)+AP75-R75)</f>
        <v/>
      </c>
      <c r="AO75" s="9" t="n"/>
      <c r="AP75" s="9" t="n"/>
      <c r="AQ75" s="27" t="inlineStr">
        <is>
          <t>R05-a 清除真实空闲位造成泄漏；R05-b 伪造占用tag为空闲造成重复分配；R05-c head跳到另一合法槽；子模型分开统计</t>
        </is>
      </c>
      <c r="AR75" s="39" t="n"/>
      <c r="AS75" s="39">
        <f>IFERROR(AR75/Q75,0)</f>
        <v/>
      </c>
      <c r="AT75" s="39" t="n">
        <v>30</v>
      </c>
      <c r="AU75" s="39" t="n">
        <v>385</v>
      </c>
      <c r="AV75" s="39" t="inlineStr">
        <is>
          <t>常规</t>
        </is>
      </c>
      <c r="AW75" s="39" t="inlineStr">
        <is>
          <t>累计至少385，不机械扩展到2401</t>
        </is>
      </c>
    </row>
    <row r="76" ht="118.0500030517578" customHeight="1">
      <c r="A76" s="6" t="inlineStr">
        <is>
          <t>R05-F6-W4</t>
        </is>
      </c>
      <c r="B76" s="6" t="inlineStr">
        <is>
          <t>R05</t>
        </is>
      </c>
      <c r="C76" s="6" t="inlineStr">
        <is>
          <t>Int Rename</t>
        </is>
      </c>
      <c r="D76" s="6" t="inlineStr">
        <is>
          <t>free list bitmap/队列项和head指针，保证每个空闲物理寄存器只分配一次。</t>
        </is>
      </c>
      <c r="E76" s="6" t="inlineStr">
        <is>
          <t>状态</t>
        </is>
      </c>
      <c r="F76" s="6" t="inlineStr">
        <is>
          <t>清除一个真实空闲位造成泄漏，伪造一个占用tag为空闲造成重复分配，或使head跳到另一合法槽。清零、伪造、提前置位和延后清除分成独立子模型，每次运行只改变一种状态转移；记录前后状态机轨迹和关联动态指令。仅当错误状态参与仲裁/转移时计activated。触发：发生目的物理寄存器分配。</t>
        </is>
      </c>
      <c r="G76" s="6" t="inlineStr">
        <is>
          <t>F6</t>
        </is>
      </c>
      <c r="H76" s="6" t="inlineStr">
        <is>
          <t>首次出现指定稀有事件时注入1次，保证结构化模型被激活</t>
        </is>
      </c>
      <c r="I76" s="6" t="inlineStr">
        <is>
          <t>W4 Rename-Dependency</t>
        </is>
      </c>
      <c r="J76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76" s="6" t="inlineStr">
        <is>
          <t>发生目的物理寄存器分配</t>
        </is>
      </c>
      <c r="L76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76" s="6" t="inlineStr">
        <is>
          <t>泄漏多表现为长期停顿/Timeout；重复分配可在两条指令间形成静默覆盖，SDC风险高</t>
        </is>
      </c>
      <c r="N76" s="6" t="inlineStr">
        <is>
          <t>free-list错误的两种后果相反，必须分开</t>
        </is>
      </c>
      <c r="O76" s="6" t="inlineStr">
        <is>
          <t>本方案结构化模型；IDLD/Zenbleed机制背景</t>
        </is>
      </c>
      <c r="P76" s="9" t="n"/>
      <c r="Q76" s="9" t="n"/>
      <c r="R76" s="9" t="n"/>
      <c r="S76" s="9" t="n"/>
      <c r="T76" s="9" t="n"/>
      <c r="U76" s="9" t="n"/>
      <c r="V76" s="9" t="n"/>
      <c r="W76" s="9" t="n"/>
      <c r="X76" s="12">
        <f>IF(OR(R76="",R76-AP76&lt;=0),"",AB76/(R76-AP76))</f>
        <v/>
      </c>
      <c r="Y76" s="12">
        <f>IFERROR(R76/AR76,0)</f>
        <v/>
      </c>
      <c r="Z76" s="9" t="inlineStr">
        <is>
          <t>待执行</t>
        </is>
      </c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12">
        <f>IF(OR(R76="",R76-AP76&lt;=0),"",AO76/(R76-AP76))</f>
        <v/>
      </c>
      <c r="AM76" s="11">
        <f>IF(R76="","",SUM(AC76:AF76)-(R76-AP76))</f>
        <v/>
      </c>
      <c r="AN76" s="11">
        <f>IF(R76="","",SUM(S76:W76)+AP76-R76)</f>
        <v/>
      </c>
      <c r="AO76" s="9" t="n"/>
      <c r="AP76" s="9" t="n"/>
      <c r="AQ76" s="27" t="inlineStr">
        <is>
          <t>R05-a 清除真实空闲位造成泄漏；R05-b 伪造占用tag为空闲造成重复分配；R05-c head跳到另一合法槽；子模型分开统计</t>
        </is>
      </c>
      <c r="AR76" s="39" t="n"/>
      <c r="AS76" s="39">
        <f>IFERROR(AR76/Q76,0)</f>
        <v/>
      </c>
      <c r="AT76" s="39" t="n">
        <v>30</v>
      </c>
      <c r="AU76" s="39" t="n">
        <v>385</v>
      </c>
      <c r="AV76" s="39" t="inlineStr">
        <is>
          <t>常规</t>
        </is>
      </c>
      <c r="AW76" s="39" t="inlineStr">
        <is>
          <t>累计至少385，不机械扩展到2401</t>
        </is>
      </c>
    </row>
    <row r="77" ht="118.0500030517578" customHeight="1">
      <c r="A77" s="6" t="inlineStr">
        <is>
          <t>R05-F6-W7</t>
        </is>
      </c>
      <c r="B77" s="6" t="inlineStr">
        <is>
          <t>R05</t>
        </is>
      </c>
      <c r="C77" s="6" t="inlineStr">
        <is>
          <t>Int Rename</t>
        </is>
      </c>
      <c r="D77" s="6" t="inlineStr">
        <is>
          <t>free list bitmap/队列项和head指针，保证每个空闲物理寄存器只分配一次。</t>
        </is>
      </c>
      <c r="E77" s="6" t="inlineStr">
        <is>
          <t>状态</t>
        </is>
      </c>
      <c r="F77" s="6" t="inlineStr">
        <is>
          <t>清除一个真实空闲位造成泄漏，伪造一个占用tag为空闲造成重复分配，或使head跳到另一合法槽。清零、伪造、提前置位和延后清除分成独立子模型，每次运行只改变一种状态转移；记录前后状态机轨迹和关联动态指令。仅当错误状态参与仲裁/转移时计activated。触发：发生目的物理寄存器分配。</t>
        </is>
      </c>
      <c r="G77" s="6" t="inlineStr">
        <is>
          <t>F6</t>
        </is>
      </c>
      <c r="H77" s="6" t="inlineStr">
        <is>
          <t>首次出现指定稀有事件时注入1次，保证结构化模型被激活</t>
        </is>
      </c>
      <c r="I77" s="6" t="inlineStr">
        <is>
          <t>W7 GAP-Selected</t>
        </is>
      </c>
      <c r="J77" s="6" t="inlineStr">
        <is>
          <t>GAP-Selected（公开通用）
执行定义与oracle：BFS、SSSP、PageRank；固定图和结果 hash；制造不规则依赖、长延迟和 ROB 压力</t>
        </is>
      </c>
      <c r="K77" s="6" t="inlineStr">
        <is>
          <t>发生目的物理寄存器分配</t>
        </is>
      </c>
      <c r="L77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77" s="6" t="inlineStr">
        <is>
          <t>泄漏多表现为长期停顿/Timeout；重复分配可在两条指令间形成静默覆盖，SDC风险高</t>
        </is>
      </c>
      <c r="N77" s="6" t="inlineStr">
        <is>
          <t>free-list错误的两种后果相反，必须分开</t>
        </is>
      </c>
      <c r="O77" s="6" t="inlineStr">
        <is>
          <t>本方案结构化模型；IDLD/Zenbleed机制背景</t>
        </is>
      </c>
      <c r="P77" s="9" t="n"/>
      <c r="Q77" s="9" t="n"/>
      <c r="R77" s="9" t="n"/>
      <c r="S77" s="9" t="n"/>
      <c r="T77" s="9" t="n"/>
      <c r="U77" s="9" t="n"/>
      <c r="V77" s="9" t="n"/>
      <c r="W77" s="9" t="n"/>
      <c r="X77" s="12">
        <f>IF(OR(R77="",R77-AP77&lt;=0),"",AB77/(R77-AP77))</f>
        <v/>
      </c>
      <c r="Y77" s="12">
        <f>IFERROR(R77/AR77,0)</f>
        <v/>
      </c>
      <c r="Z77" s="9" t="inlineStr">
        <is>
          <t>待执行</t>
        </is>
      </c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12">
        <f>IF(OR(R77="",R77-AP77&lt;=0),"",AO77/(R77-AP77))</f>
        <v/>
      </c>
      <c r="AM77" s="11">
        <f>IF(R77="","",SUM(AC77:AF77)-(R77-AP77))</f>
        <v/>
      </c>
      <c r="AN77" s="11">
        <f>IF(R77="","",SUM(S77:W77)+AP77-R77)</f>
        <v/>
      </c>
      <c r="AO77" s="9" t="n"/>
      <c r="AP77" s="9" t="n"/>
      <c r="AQ77" s="27" t="inlineStr">
        <is>
          <t>R05-a 清除真实空闲位造成泄漏；R05-b 伪造占用tag为空闲造成重复分配；R05-c head跳到另一合法槽；子模型分开统计</t>
        </is>
      </c>
      <c r="AR77" s="39" t="n"/>
      <c r="AS77" s="39">
        <f>IFERROR(AR77/Q77,0)</f>
        <v/>
      </c>
      <c r="AT77" s="39" t="n">
        <v>30</v>
      </c>
      <c r="AU77" s="39" t="n">
        <v>385</v>
      </c>
      <c r="AV77" s="39" t="inlineStr">
        <is>
          <t>常规</t>
        </is>
      </c>
      <c r="AW77" s="39" t="inlineStr">
        <is>
          <t>累计至少385，不机械扩展到2401</t>
        </is>
      </c>
    </row>
    <row r="78" ht="118.0500030517578" customHeight="1">
      <c r="A78" s="6" t="inlineStr">
        <is>
          <t>R06-F0-W4</t>
        </is>
      </c>
      <c r="B78" s="6" t="inlineStr">
        <is>
          <t>R06</t>
        </is>
      </c>
      <c r="C78" s="6" t="inlineStr">
        <is>
          <t>Int Rename</t>
        </is>
      </c>
      <c r="D78" s="6" t="inlineStr">
        <is>
          <t>branch checkpoint保存的RAT快照/增量和checkpoint索引。</t>
        </is>
      </c>
      <c r="E78" s="6" t="inlineStr">
        <is>
          <t>换值</t>
        </is>
      </c>
      <c r="F78" s="6" t="inlineStr">
        <is>
          <t>在mispredict恢复时用另一仍有效checkpoint，或把一个映射恢复成旧checkpoint中的合法tag。从当前有效且生命周期合法的候选集合中选择另一个合法值；禁止空闲、越界或编码非法候选。保存source/target和候选集大小。仅当替换值被消费时计activated。触发：存在至少两个嵌套未决分支并发生squash。</t>
        </is>
      </c>
      <c r="G78" s="6" t="inlineStr">
        <is>
          <t>F0</t>
        </is>
      </c>
      <c r="H78" s="6" t="inlineStr">
        <is>
          <t>每次运行只注入1次；warm-up后在 eligible event 中均匀抽样</t>
        </is>
      </c>
      <c r="I78" s="6" t="inlineStr">
        <is>
          <t>W4 Rename-Dependency</t>
        </is>
      </c>
      <c r="J78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78" s="6" t="inlineStr">
        <is>
          <t>存在至少两个嵌套未决分支并发生squash</t>
        </is>
      </c>
      <c r="L78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78" s="6" t="inlineStr">
        <is>
          <t>错误恢复可能只污染错误路径之后的指令，首分歧延迟；合法旧tag最易形成SDC</t>
        </is>
      </c>
      <c r="N78" s="6" t="inlineStr">
        <is>
          <t>覆盖OoO特有的投机恢复职责</t>
        </is>
      </c>
      <c r="O78" s="6" t="inlineStr">
        <is>
          <t>本方案结构化模型</t>
        </is>
      </c>
      <c r="P78" s="9" t="n"/>
      <c r="Q78" s="9" t="n"/>
      <c r="R78" s="9" t="n"/>
      <c r="S78" s="9" t="n"/>
      <c r="T78" s="9" t="n"/>
      <c r="U78" s="9" t="n"/>
      <c r="V78" s="9" t="n"/>
      <c r="W78" s="9" t="n"/>
      <c r="X78" s="12">
        <f>IF(OR(R78="",R78-AP78&lt;=0),"",AB78/(R78-AP78))</f>
        <v/>
      </c>
      <c r="Y78" s="12">
        <f>IFERROR(R78/AR78,0)</f>
        <v/>
      </c>
      <c r="Z78" s="9" t="inlineStr">
        <is>
          <t>待执行</t>
        </is>
      </c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12">
        <f>IF(OR(R78="",R78-AP78&lt;=0),"",AO78/(R78-AP78))</f>
        <v/>
      </c>
      <c r="AM78" s="11">
        <f>IF(R78="","",SUM(AC78:AF78)-(R78-AP78))</f>
        <v/>
      </c>
      <c r="AN78" s="11">
        <f>IF(R78="","",SUM(S78:W78)+AP78-R78)</f>
        <v/>
      </c>
      <c r="AO78" s="9" t="n"/>
      <c r="AP78" s="9" t="n"/>
      <c r="AQ78" s="27" t="inlineStr">
        <is>
          <t>R06-a 选择错误branch checkpoint；R06-b 恢复为旧checkpoint合法tag；子模型分开统计</t>
        </is>
      </c>
      <c r="AR78" s="39" t="n"/>
      <c r="AS78" s="39">
        <f>IFERROR(AR78/Q78,0)</f>
        <v/>
      </c>
      <c r="AT78" s="39" t="n">
        <v>30</v>
      </c>
      <c r="AU78" s="39" t="n">
        <v>385</v>
      </c>
      <c r="AV78" s="39" t="inlineStr">
        <is>
          <t>常规</t>
        </is>
      </c>
      <c r="AW78" s="39" t="inlineStr">
        <is>
          <t>累计至少385，不机械扩展到2401</t>
        </is>
      </c>
    </row>
    <row r="79" ht="118.0500030517578" customHeight="1">
      <c r="A79" s="6" t="inlineStr">
        <is>
          <t>R06-F0-W5</t>
        </is>
      </c>
      <c r="B79" s="6" t="inlineStr">
        <is>
          <t>R06</t>
        </is>
      </c>
      <c r="C79" s="6" t="inlineStr">
        <is>
          <t>Int Rename</t>
        </is>
      </c>
      <c r="D79" s="6" t="inlineStr">
        <is>
          <t>branch checkpoint保存的RAT快照/增量和checkpoint索引。</t>
        </is>
      </c>
      <c r="E79" s="6" t="inlineStr">
        <is>
          <t>换值</t>
        </is>
      </c>
      <c r="F79" s="6" t="inlineStr">
        <is>
          <t>在mispredict恢复时用另一仍有效checkpoint，或把一个映射恢复成旧checkpoint中的合法tag。从当前有效且生命周期合法的候选集合中选择另一个合法值；禁止空闲、越界或编码非法候选。保存source/target和候选集大小。仅当替换值被消费时计activated。触发：存在至少两个嵌套未决分支并发生squash。</t>
        </is>
      </c>
      <c r="G79" s="6" t="inlineStr">
        <is>
          <t>F0</t>
        </is>
      </c>
      <c r="H79" s="6" t="inlineStr">
        <is>
          <t>每次运行只注入1次；warm-up后在 eligible event 中均匀抽样</t>
        </is>
      </c>
      <c r="I79" s="6" t="inlineStr">
        <is>
          <t>W5 ROB-Recovery</t>
        </is>
      </c>
      <c r="J79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79" s="6" t="inlineStr">
        <is>
          <t>存在至少两个嵌套未决分支并发生squash</t>
        </is>
      </c>
      <c r="L79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79" s="6" t="inlineStr">
        <is>
          <t>错误恢复可能只污染错误路径之后的指令，首分歧延迟；合法旧tag最易形成SDC</t>
        </is>
      </c>
      <c r="N79" s="6" t="inlineStr">
        <is>
          <t>覆盖OoO特有的投机恢复职责</t>
        </is>
      </c>
      <c r="O79" s="6" t="inlineStr">
        <is>
          <t>本方案结构化模型</t>
        </is>
      </c>
      <c r="P79" s="9" t="n"/>
      <c r="Q79" s="9" t="n"/>
      <c r="R79" s="9" t="n"/>
      <c r="S79" s="9" t="n"/>
      <c r="T79" s="9" t="n"/>
      <c r="U79" s="9" t="n"/>
      <c r="V79" s="9" t="n"/>
      <c r="W79" s="9" t="n"/>
      <c r="X79" s="12">
        <f>IF(OR(R79="",R79-AP79&lt;=0),"",AB79/(R79-AP79))</f>
        <v/>
      </c>
      <c r="Y79" s="12">
        <f>IFERROR(R79/AR79,0)</f>
        <v/>
      </c>
      <c r="Z79" s="9" t="inlineStr">
        <is>
          <t>待执行</t>
        </is>
      </c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12">
        <f>IF(OR(R79="",R79-AP79&lt;=0),"",AO79/(R79-AP79))</f>
        <v/>
      </c>
      <c r="AM79" s="11">
        <f>IF(R79="","",SUM(AC79:AF79)-(R79-AP79))</f>
        <v/>
      </c>
      <c r="AN79" s="11">
        <f>IF(R79="","",SUM(S79:W79)+AP79-R79)</f>
        <v/>
      </c>
      <c r="AO79" s="9" t="n"/>
      <c r="AP79" s="9" t="n"/>
      <c r="AQ79" s="27" t="inlineStr">
        <is>
          <t>R06-a 选择错误branch checkpoint；R06-b 恢复为旧checkpoint合法tag；子模型分开统计</t>
        </is>
      </c>
      <c r="AR79" s="39" t="n"/>
      <c r="AS79" s="39">
        <f>IFERROR(AR79/Q79,0)</f>
        <v/>
      </c>
      <c r="AT79" s="39" t="n">
        <v>30</v>
      </c>
      <c r="AU79" s="39" t="n">
        <v>385</v>
      </c>
      <c r="AV79" s="39" t="inlineStr">
        <is>
          <t>常规</t>
        </is>
      </c>
      <c r="AW79" s="39" t="inlineStr">
        <is>
          <t>累计至少385，不机械扩展到2401</t>
        </is>
      </c>
    </row>
    <row r="80" ht="118.0500030517578" customHeight="1">
      <c r="A80" s="6" t="inlineStr">
        <is>
          <t>R06-F2-W4</t>
        </is>
      </c>
      <c r="B80" s="6" t="inlineStr">
        <is>
          <t>R06</t>
        </is>
      </c>
      <c r="C80" s="6" t="inlineStr">
        <is>
          <t>Int Rename</t>
        </is>
      </c>
      <c r="D80" s="6" t="inlineStr">
        <is>
          <t>branch checkpoint保存的RAT快照/增量和checkpoint索引。</t>
        </is>
      </c>
      <c r="E80" s="6" t="inlineStr">
        <is>
          <t>换值</t>
        </is>
      </c>
      <c r="F80" s="6" t="inlineStr">
        <is>
          <t>在mispredict恢复时用另一仍有效checkpoint，或把一个映射恢复成旧checkpoint中的合法tag。从当前有效且生命周期合法的候选集合中选择另一个合法值；禁止空闲、越界或编码非法候选。保存source/target和候选集大小。仅当替换值被消费时计activated。触发：存在至少两个嵌套未决分支并发生squash。</t>
        </is>
      </c>
      <c r="G80" s="6" t="inlineStr">
        <is>
          <t>F2</t>
        </is>
      </c>
      <c r="H80" s="6" t="inlineStr">
        <is>
          <t>平均每100,000个 eligible events 注入1次，间隔加入±50%抖动</t>
        </is>
      </c>
      <c r="I80" s="6" t="inlineStr">
        <is>
          <t>W4 Rename-Dependency</t>
        </is>
      </c>
      <c r="J80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80" s="6" t="inlineStr">
        <is>
          <t>存在至少两个嵌套未决分支并发生squash</t>
        </is>
      </c>
      <c r="L80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80" s="6" t="inlineStr">
        <is>
          <t>错误恢复可能只污染错误路径之后的指令，首分歧延迟；合法旧tag最易形成SDC</t>
        </is>
      </c>
      <c r="N80" s="6" t="inlineStr">
        <is>
          <t>覆盖OoO特有的投机恢复职责</t>
        </is>
      </c>
      <c r="O80" s="6" t="inlineStr">
        <is>
          <t>本方案结构化模型</t>
        </is>
      </c>
      <c r="P80" s="9" t="n"/>
      <c r="Q80" s="9" t="n"/>
      <c r="R80" s="9" t="n"/>
      <c r="S80" s="9" t="n"/>
      <c r="T80" s="9" t="n"/>
      <c r="U80" s="9" t="n"/>
      <c r="V80" s="9" t="n"/>
      <c r="W80" s="9" t="n"/>
      <c r="X80" s="12">
        <f>IF(OR(R80="",R80-AP80&lt;=0),"",AB80/(R80-AP80))</f>
        <v/>
      </c>
      <c r="Y80" s="12">
        <f>IFERROR(R80/AR80,0)</f>
        <v/>
      </c>
      <c r="Z80" s="9" t="inlineStr">
        <is>
          <t>待执行</t>
        </is>
      </c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12">
        <f>IF(OR(R80="",R80-AP80&lt;=0),"",AO80/(R80-AP80))</f>
        <v/>
      </c>
      <c r="AM80" s="11">
        <f>IF(R80="","",SUM(AC80:AF80)-(R80-AP80))</f>
        <v/>
      </c>
      <c r="AN80" s="11">
        <f>IF(R80="","",SUM(S80:W80)+AP80-R80)</f>
        <v/>
      </c>
      <c r="AO80" s="9" t="n"/>
      <c r="AP80" s="9" t="n"/>
      <c r="AQ80" s="27" t="inlineStr">
        <is>
          <t>R06-a 选择错误branch checkpoint；R06-b 恢复为旧checkpoint合法tag；子模型分开统计</t>
        </is>
      </c>
      <c r="AR80" s="39" t="n"/>
      <c r="AS80" s="39">
        <f>IFERROR(AR80/Q80,0)</f>
        <v/>
      </c>
      <c r="AT80" s="39" t="n">
        <v>30</v>
      </c>
      <c r="AU80" s="39" t="n">
        <v>385</v>
      </c>
      <c r="AV80" s="39" t="inlineStr">
        <is>
          <t>常规</t>
        </is>
      </c>
      <c r="AW80" s="39" t="inlineStr">
        <is>
          <t>累计至少385，不机械扩展到2401</t>
        </is>
      </c>
    </row>
    <row r="81" ht="118.0500030517578" customHeight="1">
      <c r="A81" s="6" t="inlineStr">
        <is>
          <t>R06-F2-W5</t>
        </is>
      </c>
      <c r="B81" s="6" t="inlineStr">
        <is>
          <t>R06</t>
        </is>
      </c>
      <c r="C81" s="6" t="inlineStr">
        <is>
          <t>Int Rename</t>
        </is>
      </c>
      <c r="D81" s="6" t="inlineStr">
        <is>
          <t>branch checkpoint保存的RAT快照/增量和checkpoint索引。</t>
        </is>
      </c>
      <c r="E81" s="6" t="inlineStr">
        <is>
          <t>换值</t>
        </is>
      </c>
      <c r="F81" s="6" t="inlineStr">
        <is>
          <t>在mispredict恢复时用另一仍有效checkpoint，或把一个映射恢复成旧checkpoint中的合法tag。从当前有效且生命周期合法的候选集合中选择另一个合法值；禁止空闲、越界或编码非法候选。保存source/target和候选集大小。仅当替换值被消费时计activated。触发：存在至少两个嵌套未决分支并发生squash。</t>
        </is>
      </c>
      <c r="G81" s="6" t="inlineStr">
        <is>
          <t>F2</t>
        </is>
      </c>
      <c r="H81" s="6" t="inlineStr">
        <is>
          <t>平均每100,000个 eligible events 注入1次，间隔加入±50%抖动</t>
        </is>
      </c>
      <c r="I81" s="6" t="inlineStr">
        <is>
          <t>W5 ROB-Recovery</t>
        </is>
      </c>
      <c r="J81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81" s="6" t="inlineStr">
        <is>
          <t>存在至少两个嵌套未决分支并发生squash</t>
        </is>
      </c>
      <c r="L81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81" s="6" t="inlineStr">
        <is>
          <t>错误恢复可能只污染错误路径之后的指令，首分歧延迟；合法旧tag最易形成SDC</t>
        </is>
      </c>
      <c r="N81" s="6" t="inlineStr">
        <is>
          <t>覆盖OoO特有的投机恢复职责</t>
        </is>
      </c>
      <c r="O81" s="6" t="inlineStr">
        <is>
          <t>本方案结构化模型</t>
        </is>
      </c>
      <c r="P81" s="9" t="n"/>
      <c r="Q81" s="9" t="n"/>
      <c r="R81" s="9" t="n"/>
      <c r="S81" s="9" t="n"/>
      <c r="T81" s="9" t="n"/>
      <c r="U81" s="9" t="n"/>
      <c r="V81" s="9" t="n"/>
      <c r="W81" s="9" t="n"/>
      <c r="X81" s="12">
        <f>IF(OR(R81="",R81-AP81&lt;=0),"",AB81/(R81-AP81))</f>
        <v/>
      </c>
      <c r="Y81" s="12">
        <f>IFERROR(R81/AR81,0)</f>
        <v/>
      </c>
      <c r="Z81" s="9" t="inlineStr">
        <is>
          <t>待执行</t>
        </is>
      </c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12">
        <f>IF(OR(R81="",R81-AP81&lt;=0),"",AO81/(R81-AP81))</f>
        <v/>
      </c>
      <c r="AM81" s="11">
        <f>IF(R81="","",SUM(AC81:AF81)-(R81-AP81))</f>
        <v/>
      </c>
      <c r="AN81" s="11">
        <f>IF(R81="","",SUM(S81:W81)+AP81-R81)</f>
        <v/>
      </c>
      <c r="AO81" s="9" t="n"/>
      <c r="AP81" s="9" t="n"/>
      <c r="AQ81" s="27" t="inlineStr">
        <is>
          <t>R06-a 选择错误branch checkpoint；R06-b 恢复为旧checkpoint合法tag；子模型分开统计</t>
        </is>
      </c>
      <c r="AR81" s="39" t="n"/>
      <c r="AS81" s="39">
        <f>IFERROR(AR81/Q81,0)</f>
        <v/>
      </c>
      <c r="AT81" s="39" t="n">
        <v>30</v>
      </c>
      <c r="AU81" s="39" t="n">
        <v>385</v>
      </c>
      <c r="AV81" s="39" t="inlineStr">
        <is>
          <t>常规</t>
        </is>
      </c>
      <c r="AW81" s="39" t="inlineStr">
        <is>
          <t>累计至少385，不机械扩展到2401</t>
        </is>
      </c>
    </row>
    <row r="82" ht="118.0500030517578" customHeight="1">
      <c r="A82" s="6" t="inlineStr">
        <is>
          <t>R06-F6-W4</t>
        </is>
      </c>
      <c r="B82" s="6" t="inlineStr">
        <is>
          <t>R06</t>
        </is>
      </c>
      <c r="C82" s="6" t="inlineStr">
        <is>
          <t>Int Rename</t>
        </is>
      </c>
      <c r="D82" s="6" t="inlineStr">
        <is>
          <t>branch checkpoint保存的RAT快照/增量和checkpoint索引。</t>
        </is>
      </c>
      <c r="E82" s="6" t="inlineStr">
        <is>
          <t>换值</t>
        </is>
      </c>
      <c r="F82" s="6" t="inlineStr">
        <is>
          <t>在mispredict恢复时用另一仍有效checkpoint，或把一个映射恢复成旧checkpoint中的合法tag。从当前有效且生命周期合法的候选集合中选择另一个合法值；禁止空闲、越界或编码非法候选。保存source/target和候选集大小。仅当替换值被消费时计activated。触发：存在至少两个嵌套未决分支并发生squash。</t>
        </is>
      </c>
      <c r="G82" s="6" t="inlineStr">
        <is>
          <t>F6</t>
        </is>
      </c>
      <c r="H82" s="6" t="inlineStr">
        <is>
          <t>首次出现指定稀有事件时注入1次，保证结构化模型被激活</t>
        </is>
      </c>
      <c r="I82" s="6" t="inlineStr">
        <is>
          <t>W4 Rename-Dependency</t>
        </is>
      </c>
      <c r="J82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82" s="6" t="inlineStr">
        <is>
          <t>存在至少两个嵌套未决分支并发生squash</t>
        </is>
      </c>
      <c r="L82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82" s="6" t="inlineStr">
        <is>
          <t>错误恢复可能只污染错误路径之后的指令，首分歧延迟；合法旧tag最易形成SDC</t>
        </is>
      </c>
      <c r="N82" s="6" t="inlineStr">
        <is>
          <t>覆盖OoO特有的投机恢复职责</t>
        </is>
      </c>
      <c r="O82" s="6" t="inlineStr">
        <is>
          <t>本方案结构化模型</t>
        </is>
      </c>
      <c r="P82" s="9" t="n"/>
      <c r="Q82" s="9" t="n"/>
      <c r="R82" s="9" t="n"/>
      <c r="S82" s="9" t="n"/>
      <c r="T82" s="9" t="n"/>
      <c r="U82" s="9" t="n"/>
      <c r="V82" s="9" t="n"/>
      <c r="W82" s="9" t="n"/>
      <c r="X82" s="12">
        <f>IF(OR(R82="",R82-AP82&lt;=0),"",AB82/(R82-AP82))</f>
        <v/>
      </c>
      <c r="Y82" s="12">
        <f>IFERROR(R82/AR82,0)</f>
        <v/>
      </c>
      <c r="Z82" s="9" t="inlineStr">
        <is>
          <t>待执行</t>
        </is>
      </c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12">
        <f>IF(OR(R82="",R82-AP82&lt;=0),"",AO82/(R82-AP82))</f>
        <v/>
      </c>
      <c r="AM82" s="11">
        <f>IF(R82="","",SUM(AC82:AF82)-(R82-AP82))</f>
        <v/>
      </c>
      <c r="AN82" s="11">
        <f>IF(R82="","",SUM(S82:W82)+AP82-R82)</f>
        <v/>
      </c>
      <c r="AO82" s="9" t="n"/>
      <c r="AP82" s="9" t="n"/>
      <c r="AQ82" s="27" t="inlineStr">
        <is>
          <t>R06-a 选择错误branch checkpoint；R06-b 恢复为旧checkpoint合法tag；子模型分开统计</t>
        </is>
      </c>
      <c r="AR82" s="39" t="n"/>
      <c r="AS82" s="39">
        <f>IFERROR(AR82/Q82,0)</f>
        <v/>
      </c>
      <c r="AT82" s="39" t="n">
        <v>30</v>
      </c>
      <c r="AU82" s="39" t="n">
        <v>385</v>
      </c>
      <c r="AV82" s="39" t="inlineStr">
        <is>
          <t>常规</t>
        </is>
      </c>
      <c r="AW82" s="39" t="inlineStr">
        <is>
          <t>累计至少385，不机械扩展到2401</t>
        </is>
      </c>
    </row>
    <row r="83" ht="118.0500030517578" customHeight="1">
      <c r="A83" s="6" t="inlineStr">
        <is>
          <t>R06-F6-W5</t>
        </is>
      </c>
      <c r="B83" s="6" t="inlineStr">
        <is>
          <t>R06</t>
        </is>
      </c>
      <c r="C83" s="6" t="inlineStr">
        <is>
          <t>Int Rename</t>
        </is>
      </c>
      <c r="D83" s="6" t="inlineStr">
        <is>
          <t>branch checkpoint保存的RAT快照/增量和checkpoint索引。</t>
        </is>
      </c>
      <c r="E83" s="6" t="inlineStr">
        <is>
          <t>换值</t>
        </is>
      </c>
      <c r="F83" s="6" t="inlineStr">
        <is>
          <t>在mispredict恢复时用另一仍有效checkpoint，或把一个映射恢复成旧checkpoint中的合法tag。从当前有效且生命周期合法的候选集合中选择另一个合法值；禁止空闲、越界或编码非法候选。保存source/target和候选集大小。仅当替换值被消费时计activated。触发：存在至少两个嵌套未决分支并发生squash。</t>
        </is>
      </c>
      <c r="G83" s="6" t="inlineStr">
        <is>
          <t>F6</t>
        </is>
      </c>
      <c r="H83" s="6" t="inlineStr">
        <is>
          <t>首次出现指定稀有事件时注入1次，保证结构化模型被激活</t>
        </is>
      </c>
      <c r="I83" s="6" t="inlineStr">
        <is>
          <t>W5 ROB-Recovery</t>
        </is>
      </c>
      <c r="J83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83" s="6" t="inlineStr">
        <is>
          <t>存在至少两个嵌套未决分支并发生squash</t>
        </is>
      </c>
      <c r="L83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83" s="6" t="inlineStr">
        <is>
          <t>错误恢复可能只污染错误路径之后的指令，首分歧延迟；合法旧tag最易形成SDC</t>
        </is>
      </c>
      <c r="N83" s="6" t="inlineStr">
        <is>
          <t>覆盖OoO特有的投机恢复职责</t>
        </is>
      </c>
      <c r="O83" s="6" t="inlineStr">
        <is>
          <t>本方案结构化模型</t>
        </is>
      </c>
      <c r="P83" s="9" t="n"/>
      <c r="Q83" s="9" t="n"/>
      <c r="R83" s="9" t="n"/>
      <c r="S83" s="9" t="n"/>
      <c r="T83" s="9" t="n"/>
      <c r="U83" s="9" t="n"/>
      <c r="V83" s="9" t="n"/>
      <c r="W83" s="9" t="n"/>
      <c r="X83" s="12">
        <f>IF(OR(R83="",R83-AP83&lt;=0),"",AB83/(R83-AP83))</f>
        <v/>
      </c>
      <c r="Y83" s="12">
        <f>IFERROR(R83/AR83,0)</f>
        <v/>
      </c>
      <c r="Z83" s="9" t="inlineStr">
        <is>
          <t>待执行</t>
        </is>
      </c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12">
        <f>IF(OR(R83="",R83-AP83&lt;=0),"",AO83/(R83-AP83))</f>
        <v/>
      </c>
      <c r="AM83" s="11">
        <f>IF(R83="","",SUM(AC83:AF83)-(R83-AP83))</f>
        <v/>
      </c>
      <c r="AN83" s="11">
        <f>IF(R83="","",SUM(S83:W83)+AP83-R83)</f>
        <v/>
      </c>
      <c r="AO83" s="9" t="n"/>
      <c r="AP83" s="9" t="n"/>
      <c r="AQ83" s="27" t="inlineStr">
        <is>
          <t>R06-a 选择错误branch checkpoint；R06-b 恢复为旧checkpoint合法tag；子模型分开统计</t>
        </is>
      </c>
      <c r="AR83" s="39" t="n"/>
      <c r="AS83" s="39">
        <f>IFERROR(AR83/Q83,0)</f>
        <v/>
      </c>
      <c r="AT83" s="39" t="n">
        <v>30</v>
      </c>
      <c r="AU83" s="39" t="n">
        <v>385</v>
      </c>
      <c r="AV83" s="39" t="inlineStr">
        <is>
          <t>常规</t>
        </is>
      </c>
      <c r="AW83" s="39" t="inlineStr">
        <is>
          <t>累计至少385，不机械扩展到2401</t>
        </is>
      </c>
    </row>
    <row r="84" ht="118.0500030517578" customHeight="1">
      <c r="A84" s="6" t="inlineStr">
        <is>
          <t>R07-F0-W4</t>
        </is>
      </c>
      <c r="B84" s="6" t="inlineStr">
        <is>
          <t>R07</t>
        </is>
      </c>
      <c r="C84" s="6" t="inlineStr">
        <is>
          <t>Int Rename</t>
        </is>
      </c>
      <c r="D84" s="6" t="inlineStr">
        <is>
          <t>物理寄存器ready/busy scoreboard，决定消费者能否被唤醒。</t>
        </is>
      </c>
      <c r="E84" s="6" t="inlineStr">
        <is>
          <t>状态</t>
        </is>
      </c>
      <c r="F84" s="6" t="inlineStr">
        <is>
          <t>提前伪造ready、丢失ready或错误清除busy；不修改PRF数据。清零、伪造、提前置位和延后清除分成独立子模型，每次运行只改变一种状态转移；记录前后状态机轨迹和关联动态指令。仅当错误状态参与仲裁/转移时计activated。触发：消费者等待尚未完成的生产者。</t>
        </is>
      </c>
      <c r="G84" s="6" t="inlineStr">
        <is>
          <t>F0</t>
        </is>
      </c>
      <c r="H84" s="6" t="inlineStr">
        <is>
          <t>每次运行只注入1次；warm-up后在 eligible event 中均匀抽样</t>
        </is>
      </c>
      <c r="I84" s="6" t="inlineStr">
        <is>
          <t>W4 Rename-Dependency</t>
        </is>
      </c>
      <c r="J84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84" s="6" t="inlineStr">
        <is>
          <t>消费者等待尚未完成的生产者</t>
        </is>
      </c>
      <c r="L84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84" s="6" t="inlineStr">
        <is>
          <t>提前ready可能读取旧PRF值并SDC；丢失ready通常停顿/Timeout</t>
        </is>
      </c>
      <c r="N84" s="6" t="inlineStr">
        <is>
          <t>把数据错误与就绪控制错误解耦</t>
        </is>
      </c>
      <c r="O84" s="6" t="inlineStr">
        <is>
          <t>本方案结构化模型</t>
        </is>
      </c>
      <c r="P84" s="9" t="n"/>
      <c r="Q84" s="9" t="n"/>
      <c r="R84" s="9" t="n"/>
      <c r="S84" s="9" t="n"/>
      <c r="T84" s="9" t="n"/>
      <c r="U84" s="9" t="n"/>
      <c r="V84" s="9" t="n"/>
      <c r="W84" s="9" t="n"/>
      <c r="X84" s="12">
        <f>IF(OR(R84="",R84-AP84&lt;=0),"",AB84/(R84-AP84))</f>
        <v/>
      </c>
      <c r="Y84" s="12">
        <f>IFERROR(R84/AR84,0)</f>
        <v/>
      </c>
      <c r="Z84" s="9" t="inlineStr">
        <is>
          <t>待执行</t>
        </is>
      </c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12">
        <f>IF(OR(R84="",R84-AP84&lt;=0),"",AO84/(R84-AP84))</f>
        <v/>
      </c>
      <c r="AM84" s="11">
        <f>IF(R84="","",SUM(AC84:AF84)-(R84-AP84))</f>
        <v/>
      </c>
      <c r="AN84" s="11">
        <f>IF(R84="","",SUM(S84:W84)+AP84-R84)</f>
        <v/>
      </c>
      <c r="AO84" s="9" t="n"/>
      <c r="AP84" s="9" t="n"/>
      <c r="AQ84" s="27" t="inlineStr">
        <is>
          <t>R07-a 提前伪造ready；R07-b 丢失ready；R07-c 错误清除busy；子模型分开统计</t>
        </is>
      </c>
      <c r="AR84" s="39" t="n"/>
      <c r="AS84" s="39">
        <f>IFERROR(AR84/Q84,0)</f>
        <v/>
      </c>
      <c r="AT84" s="39" t="n">
        <v>30</v>
      </c>
      <c r="AU84" s="39" t="n">
        <v>385</v>
      </c>
      <c r="AV84" s="39" t="inlineStr">
        <is>
          <t>常规</t>
        </is>
      </c>
      <c r="AW84" s="39" t="inlineStr">
        <is>
          <t>累计至少385，不机械扩展到2401</t>
        </is>
      </c>
    </row>
    <row r="85" ht="118.0500030517578" customHeight="1">
      <c r="A85" s="6" t="inlineStr">
        <is>
          <t>R07-F0-W5</t>
        </is>
      </c>
      <c r="B85" s="6" t="inlineStr">
        <is>
          <t>R07</t>
        </is>
      </c>
      <c r="C85" s="6" t="inlineStr">
        <is>
          <t>Int Rename</t>
        </is>
      </c>
      <c r="D85" s="6" t="inlineStr">
        <is>
          <t>物理寄存器ready/busy scoreboard，决定消费者能否被唤醒。</t>
        </is>
      </c>
      <c r="E85" s="6" t="inlineStr">
        <is>
          <t>状态</t>
        </is>
      </c>
      <c r="F85" s="6" t="inlineStr">
        <is>
          <t>提前伪造ready、丢失ready或错误清除busy；不修改PRF数据。清零、伪造、提前置位和延后清除分成独立子模型，每次运行只改变一种状态转移；记录前后状态机轨迹和关联动态指令。仅当错误状态参与仲裁/转移时计activated。触发：消费者等待尚未完成的生产者。</t>
        </is>
      </c>
      <c r="G85" s="6" t="inlineStr">
        <is>
          <t>F0</t>
        </is>
      </c>
      <c r="H85" s="6" t="inlineStr">
        <is>
          <t>每次运行只注入1次；warm-up后在 eligible event 中均匀抽样</t>
        </is>
      </c>
      <c r="I85" s="6" t="inlineStr">
        <is>
          <t>W5 ROB-Recovery</t>
        </is>
      </c>
      <c r="J85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85" s="6" t="inlineStr">
        <is>
          <t>消费者等待尚未完成的生产者</t>
        </is>
      </c>
      <c r="L85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85" s="6" t="inlineStr">
        <is>
          <t>提前ready可能读取旧PRF值并SDC；丢失ready通常停顿/Timeout</t>
        </is>
      </c>
      <c r="N85" s="6" t="inlineStr">
        <is>
          <t>把数据错误与就绪控制错误解耦</t>
        </is>
      </c>
      <c r="O85" s="6" t="inlineStr">
        <is>
          <t>本方案结构化模型</t>
        </is>
      </c>
      <c r="P85" s="9" t="n"/>
      <c r="Q85" s="9" t="n"/>
      <c r="R85" s="9" t="n"/>
      <c r="S85" s="9" t="n"/>
      <c r="T85" s="9" t="n"/>
      <c r="U85" s="9" t="n"/>
      <c r="V85" s="9" t="n"/>
      <c r="W85" s="9" t="n"/>
      <c r="X85" s="12">
        <f>IF(OR(R85="",R85-AP85&lt;=0),"",AB85/(R85-AP85))</f>
        <v/>
      </c>
      <c r="Y85" s="12">
        <f>IFERROR(R85/AR85,0)</f>
        <v/>
      </c>
      <c r="Z85" s="9" t="inlineStr">
        <is>
          <t>待执行</t>
        </is>
      </c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12">
        <f>IF(OR(R85="",R85-AP85&lt;=0),"",AO85/(R85-AP85))</f>
        <v/>
      </c>
      <c r="AM85" s="11">
        <f>IF(R85="","",SUM(AC85:AF85)-(R85-AP85))</f>
        <v/>
      </c>
      <c r="AN85" s="11">
        <f>IF(R85="","",SUM(S85:W85)+AP85-R85)</f>
        <v/>
      </c>
      <c r="AO85" s="9" t="n"/>
      <c r="AP85" s="9" t="n"/>
      <c r="AQ85" s="27" t="inlineStr">
        <is>
          <t>R07-a 提前伪造ready；R07-b 丢失ready；R07-c 错误清除busy；子模型分开统计</t>
        </is>
      </c>
      <c r="AR85" s="39" t="n"/>
      <c r="AS85" s="39">
        <f>IFERROR(AR85/Q85,0)</f>
        <v/>
      </c>
      <c r="AT85" s="39" t="n">
        <v>30</v>
      </c>
      <c r="AU85" s="39" t="n">
        <v>385</v>
      </c>
      <c r="AV85" s="39" t="inlineStr">
        <is>
          <t>常规</t>
        </is>
      </c>
      <c r="AW85" s="39" t="inlineStr">
        <is>
          <t>累计至少385，不机械扩展到2401</t>
        </is>
      </c>
    </row>
    <row r="86" ht="118.0500030517578" customHeight="1">
      <c r="A86" s="6" t="inlineStr">
        <is>
          <t>R07-F4-W4</t>
        </is>
      </c>
      <c r="B86" s="6" t="inlineStr">
        <is>
          <t>R07</t>
        </is>
      </c>
      <c r="C86" s="6" t="inlineStr">
        <is>
          <t>Int Rename</t>
        </is>
      </c>
      <c r="D86" s="6" t="inlineStr">
        <is>
          <t>物理寄存器ready/busy scoreboard，决定消费者能否被唤醒。</t>
        </is>
      </c>
      <c r="E86" s="6" t="inlineStr">
        <is>
          <t>状态</t>
        </is>
      </c>
      <c r="F86" s="6" t="inlineStr">
        <is>
          <t>提前伪造ready、丢失ready或错误清除busy；不修改PRF数据。清零、伪造、提前置位和延后清除分成独立子模型，每次运行只改变一种状态转移；记录前后状态机轨迹和关联动态指令。仅当错误状态参与仲裁/转移时计activated。触发：消费者等待尚未完成的生产者。</t>
        </is>
      </c>
      <c r="G86" s="6" t="inlineStr">
        <is>
          <t>F4</t>
        </is>
      </c>
      <c r="H86" s="6" t="inlineStr">
        <is>
          <t>每100,000个 eligible events 触发一次，连续污染2-4个 eligible events</t>
        </is>
      </c>
      <c r="I86" s="6" t="inlineStr">
        <is>
          <t>W4 Rename-Dependency</t>
        </is>
      </c>
      <c r="J86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86" s="6" t="inlineStr">
        <is>
          <t>消费者等待尚未完成的生产者</t>
        </is>
      </c>
      <c r="L86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86" s="6" t="inlineStr">
        <is>
          <t>提前ready可能读取旧PRF值并SDC；丢失ready通常停顿/Timeout</t>
        </is>
      </c>
      <c r="N86" s="6" t="inlineStr">
        <is>
          <t>把数据错误与就绪控制错误解耦</t>
        </is>
      </c>
      <c r="O86" s="6" t="inlineStr">
        <is>
          <t>本方案结构化模型</t>
        </is>
      </c>
      <c r="P86" s="9" t="n"/>
      <c r="Q86" s="9" t="n"/>
      <c r="R86" s="9" t="n"/>
      <c r="S86" s="9" t="n"/>
      <c r="T86" s="9" t="n"/>
      <c r="U86" s="9" t="n"/>
      <c r="V86" s="9" t="n"/>
      <c r="W86" s="9" t="n"/>
      <c r="X86" s="12">
        <f>IF(OR(R86="",R86-AP86&lt;=0),"",AB86/(R86-AP86))</f>
        <v/>
      </c>
      <c r="Y86" s="12">
        <f>IFERROR(R86/AR86,0)</f>
        <v/>
      </c>
      <c r="Z86" s="9" t="inlineStr">
        <is>
          <t>待执行</t>
        </is>
      </c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12">
        <f>IF(OR(R86="",R86-AP86&lt;=0),"",AO86/(R86-AP86))</f>
        <v/>
      </c>
      <c r="AM86" s="11">
        <f>IF(R86="","",SUM(AC86:AF86)-(R86-AP86))</f>
        <v/>
      </c>
      <c r="AN86" s="11">
        <f>IF(R86="","",SUM(S86:W86)+AP86-R86)</f>
        <v/>
      </c>
      <c r="AO86" s="9" t="n"/>
      <c r="AP86" s="9" t="n"/>
      <c r="AQ86" s="27" t="inlineStr">
        <is>
          <t>R07-a 提前伪造ready；R07-b 丢失ready；R07-c 错误清除busy；子模型分开统计</t>
        </is>
      </c>
      <c r="AR86" s="39" t="n"/>
      <c r="AS86" s="39">
        <f>IFERROR(AR86/Q86,0)</f>
        <v/>
      </c>
      <c r="AT86" s="39" t="n">
        <v>30</v>
      </c>
      <c r="AU86" s="39" t="n">
        <v>385</v>
      </c>
      <c r="AV86" s="39" t="inlineStr">
        <is>
          <t>常规</t>
        </is>
      </c>
      <c r="AW86" s="39" t="inlineStr">
        <is>
          <t>累计至少385，不机械扩展到2401</t>
        </is>
      </c>
    </row>
    <row r="87" ht="118.0500030517578" customHeight="1">
      <c r="A87" s="6" t="inlineStr">
        <is>
          <t>R07-F4-W5</t>
        </is>
      </c>
      <c r="B87" s="6" t="inlineStr">
        <is>
          <t>R07</t>
        </is>
      </c>
      <c r="C87" s="6" t="inlineStr">
        <is>
          <t>Int Rename</t>
        </is>
      </c>
      <c r="D87" s="6" t="inlineStr">
        <is>
          <t>物理寄存器ready/busy scoreboard，决定消费者能否被唤醒。</t>
        </is>
      </c>
      <c r="E87" s="6" t="inlineStr">
        <is>
          <t>状态</t>
        </is>
      </c>
      <c r="F87" s="6" t="inlineStr">
        <is>
          <t>提前伪造ready、丢失ready或错误清除busy；不修改PRF数据。清零、伪造、提前置位和延后清除分成独立子模型，每次运行只改变一种状态转移；记录前后状态机轨迹和关联动态指令。仅当错误状态参与仲裁/转移时计activated。触发：消费者等待尚未完成的生产者。</t>
        </is>
      </c>
      <c r="G87" s="6" t="inlineStr">
        <is>
          <t>F4</t>
        </is>
      </c>
      <c r="H87" s="6" t="inlineStr">
        <is>
          <t>每100,000个 eligible events 触发一次，连续污染2-4个 eligible events</t>
        </is>
      </c>
      <c r="I87" s="6" t="inlineStr">
        <is>
          <t>W5 ROB-Recovery</t>
        </is>
      </c>
      <c r="J87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87" s="6" t="inlineStr">
        <is>
          <t>消费者等待尚未完成的生产者</t>
        </is>
      </c>
      <c r="L87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87" s="6" t="inlineStr">
        <is>
          <t>提前ready可能读取旧PRF值并SDC；丢失ready通常停顿/Timeout</t>
        </is>
      </c>
      <c r="N87" s="6" t="inlineStr">
        <is>
          <t>把数据错误与就绪控制错误解耦</t>
        </is>
      </c>
      <c r="O87" s="6" t="inlineStr">
        <is>
          <t>本方案结构化模型</t>
        </is>
      </c>
      <c r="P87" s="9" t="n"/>
      <c r="Q87" s="9" t="n"/>
      <c r="R87" s="9" t="n"/>
      <c r="S87" s="9" t="n"/>
      <c r="T87" s="9" t="n"/>
      <c r="U87" s="9" t="n"/>
      <c r="V87" s="9" t="n"/>
      <c r="W87" s="9" t="n"/>
      <c r="X87" s="12">
        <f>IF(OR(R87="",R87-AP87&lt;=0),"",AB87/(R87-AP87))</f>
        <v/>
      </c>
      <c r="Y87" s="12">
        <f>IFERROR(R87/AR87,0)</f>
        <v/>
      </c>
      <c r="Z87" s="9" t="inlineStr">
        <is>
          <t>待执行</t>
        </is>
      </c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12">
        <f>IF(OR(R87="",R87-AP87&lt;=0),"",AO87/(R87-AP87))</f>
        <v/>
      </c>
      <c r="AM87" s="11">
        <f>IF(R87="","",SUM(AC87:AF87)-(R87-AP87))</f>
        <v/>
      </c>
      <c r="AN87" s="11">
        <f>IF(R87="","",SUM(S87:W87)+AP87-R87)</f>
        <v/>
      </c>
      <c r="AO87" s="9" t="n"/>
      <c r="AP87" s="9" t="n"/>
      <c r="AQ87" s="27" t="inlineStr">
        <is>
          <t>R07-a 提前伪造ready；R07-b 丢失ready；R07-c 错误清除busy；子模型分开统计</t>
        </is>
      </c>
      <c r="AR87" s="39" t="n"/>
      <c r="AS87" s="39">
        <f>IFERROR(AR87/Q87,0)</f>
        <v/>
      </c>
      <c r="AT87" s="39" t="n">
        <v>30</v>
      </c>
      <c r="AU87" s="39" t="n">
        <v>385</v>
      </c>
      <c r="AV87" s="39" t="inlineStr">
        <is>
          <t>常规</t>
        </is>
      </c>
      <c r="AW87" s="39" t="inlineStr">
        <is>
          <t>累计至少385，不机械扩展到2401</t>
        </is>
      </c>
    </row>
    <row r="88" ht="118.0500030517578" customHeight="1">
      <c r="A88" s="6" t="inlineStr">
        <is>
          <t>R07-F6-W4</t>
        </is>
      </c>
      <c r="B88" s="6" t="inlineStr">
        <is>
          <t>R07</t>
        </is>
      </c>
      <c r="C88" s="6" t="inlineStr">
        <is>
          <t>Int Rename</t>
        </is>
      </c>
      <c r="D88" s="6" t="inlineStr">
        <is>
          <t>物理寄存器ready/busy scoreboard，决定消费者能否被唤醒。</t>
        </is>
      </c>
      <c r="E88" s="6" t="inlineStr">
        <is>
          <t>状态</t>
        </is>
      </c>
      <c r="F88" s="6" t="inlineStr">
        <is>
          <t>提前伪造ready、丢失ready或错误清除busy；不修改PRF数据。清零、伪造、提前置位和延后清除分成独立子模型，每次运行只改变一种状态转移；记录前后状态机轨迹和关联动态指令。仅当错误状态参与仲裁/转移时计activated。触发：消费者等待尚未完成的生产者。</t>
        </is>
      </c>
      <c r="G88" s="6" t="inlineStr">
        <is>
          <t>F6</t>
        </is>
      </c>
      <c r="H88" s="6" t="inlineStr">
        <is>
          <t>首次出现指定稀有事件时注入1次，保证结构化模型被激活</t>
        </is>
      </c>
      <c r="I88" s="6" t="inlineStr">
        <is>
          <t>W4 Rename-Dependency</t>
        </is>
      </c>
      <c r="J88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88" s="6" t="inlineStr">
        <is>
          <t>消费者等待尚未完成的生产者</t>
        </is>
      </c>
      <c r="L88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88" s="6" t="inlineStr">
        <is>
          <t>提前ready可能读取旧PRF值并SDC；丢失ready通常停顿/Timeout</t>
        </is>
      </c>
      <c r="N88" s="6" t="inlineStr">
        <is>
          <t>把数据错误与就绪控制错误解耦</t>
        </is>
      </c>
      <c r="O88" s="6" t="inlineStr">
        <is>
          <t>本方案结构化模型</t>
        </is>
      </c>
      <c r="P88" s="9" t="n"/>
      <c r="Q88" s="9" t="n"/>
      <c r="R88" s="9" t="n"/>
      <c r="S88" s="9" t="n"/>
      <c r="T88" s="9" t="n"/>
      <c r="U88" s="9" t="n"/>
      <c r="V88" s="9" t="n"/>
      <c r="W88" s="9" t="n"/>
      <c r="X88" s="12">
        <f>IF(OR(R88="",R88-AP88&lt;=0),"",AB88/(R88-AP88))</f>
        <v/>
      </c>
      <c r="Y88" s="12">
        <f>IFERROR(R88/AR88,0)</f>
        <v/>
      </c>
      <c r="Z88" s="9" t="inlineStr">
        <is>
          <t>待执行</t>
        </is>
      </c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12">
        <f>IF(OR(R88="",R88-AP88&lt;=0),"",AO88/(R88-AP88))</f>
        <v/>
      </c>
      <c r="AM88" s="11">
        <f>IF(R88="","",SUM(AC88:AF88)-(R88-AP88))</f>
        <v/>
      </c>
      <c r="AN88" s="11">
        <f>IF(R88="","",SUM(S88:W88)+AP88-R88)</f>
        <v/>
      </c>
      <c r="AO88" s="9" t="n"/>
      <c r="AP88" s="9" t="n"/>
      <c r="AQ88" s="27" t="inlineStr">
        <is>
          <t>R07-a 提前伪造ready；R07-b 丢失ready；R07-c 错误清除busy；子模型分开统计</t>
        </is>
      </c>
      <c r="AR88" s="39" t="n"/>
      <c r="AS88" s="39">
        <f>IFERROR(AR88/Q88,0)</f>
        <v/>
      </c>
      <c r="AT88" s="39" t="n">
        <v>30</v>
      </c>
      <c r="AU88" s="39" t="n">
        <v>385</v>
      </c>
      <c r="AV88" s="39" t="inlineStr">
        <is>
          <t>常规</t>
        </is>
      </c>
      <c r="AW88" s="39" t="inlineStr">
        <is>
          <t>累计至少385，不机械扩展到2401</t>
        </is>
      </c>
    </row>
    <row r="89" ht="118.0500030517578" customHeight="1">
      <c r="A89" s="6" t="inlineStr">
        <is>
          <t>R07-F6-W5</t>
        </is>
      </c>
      <c r="B89" s="6" t="inlineStr">
        <is>
          <t>R07</t>
        </is>
      </c>
      <c r="C89" s="6" t="inlineStr">
        <is>
          <t>Int Rename</t>
        </is>
      </c>
      <c r="D89" s="6" t="inlineStr">
        <is>
          <t>物理寄存器ready/busy scoreboard，决定消费者能否被唤醒。</t>
        </is>
      </c>
      <c r="E89" s="6" t="inlineStr">
        <is>
          <t>状态</t>
        </is>
      </c>
      <c r="F89" s="6" t="inlineStr">
        <is>
          <t>提前伪造ready、丢失ready或错误清除busy；不修改PRF数据。清零、伪造、提前置位和延后清除分成独立子模型，每次运行只改变一种状态转移；记录前后状态机轨迹和关联动态指令。仅当错误状态参与仲裁/转移时计activated。触发：消费者等待尚未完成的生产者。</t>
        </is>
      </c>
      <c r="G89" s="6" t="inlineStr">
        <is>
          <t>F6</t>
        </is>
      </c>
      <c r="H89" s="6" t="inlineStr">
        <is>
          <t>首次出现指定稀有事件时注入1次，保证结构化模型被激活</t>
        </is>
      </c>
      <c r="I89" s="6" t="inlineStr">
        <is>
          <t>W5 ROB-Recovery</t>
        </is>
      </c>
      <c r="J89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89" s="6" t="inlineStr">
        <is>
          <t>消费者等待尚未完成的生产者</t>
        </is>
      </c>
      <c r="L89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89" s="6" t="inlineStr">
        <is>
          <t>提前ready可能读取旧PRF值并SDC；丢失ready通常停顿/Timeout</t>
        </is>
      </c>
      <c r="N89" s="6" t="inlineStr">
        <is>
          <t>把数据错误与就绪控制错误解耦</t>
        </is>
      </c>
      <c r="O89" s="6" t="inlineStr">
        <is>
          <t>本方案结构化模型</t>
        </is>
      </c>
      <c r="P89" s="9" t="n"/>
      <c r="Q89" s="9" t="n"/>
      <c r="R89" s="9" t="n"/>
      <c r="S89" s="9" t="n"/>
      <c r="T89" s="9" t="n"/>
      <c r="U89" s="9" t="n"/>
      <c r="V89" s="9" t="n"/>
      <c r="W89" s="9" t="n"/>
      <c r="X89" s="12">
        <f>IF(OR(R89="",R89-AP89&lt;=0),"",AB89/(R89-AP89))</f>
        <v/>
      </c>
      <c r="Y89" s="12">
        <f>IFERROR(R89/AR89,0)</f>
        <v/>
      </c>
      <c r="Z89" s="9" t="inlineStr">
        <is>
          <t>待执行</t>
        </is>
      </c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12">
        <f>IF(OR(R89="",R89-AP89&lt;=0),"",AO89/(R89-AP89))</f>
        <v/>
      </c>
      <c r="AM89" s="11">
        <f>IF(R89="","",SUM(AC89:AF89)-(R89-AP89))</f>
        <v/>
      </c>
      <c r="AN89" s="11">
        <f>IF(R89="","",SUM(S89:W89)+AP89-R89)</f>
        <v/>
      </c>
      <c r="AO89" s="9" t="n"/>
      <c r="AP89" s="9" t="n"/>
      <c r="AQ89" s="27" t="inlineStr">
        <is>
          <t>R07-a 提前伪造ready；R07-b 丢失ready；R07-c 错误清除busy；子模型分开统计</t>
        </is>
      </c>
      <c r="AR89" s="39" t="n"/>
      <c r="AS89" s="39">
        <f>IFERROR(AR89/Q89,0)</f>
        <v/>
      </c>
      <c r="AT89" s="39" t="n">
        <v>30</v>
      </c>
      <c r="AU89" s="39" t="n">
        <v>385</v>
      </c>
      <c r="AV89" s="39" t="inlineStr">
        <is>
          <t>常规</t>
        </is>
      </c>
      <c r="AW89" s="39" t="inlineStr">
        <is>
          <t>累计至少385，不机械扩展到2401</t>
        </is>
      </c>
    </row>
    <row r="90" ht="118.0500030517578" customHeight="1">
      <c r="A90" s="6" t="inlineStr">
        <is>
          <t>R08-F0-W4</t>
        </is>
      </c>
      <c r="B90" s="6" t="inlineStr">
        <is>
          <t>R08</t>
        </is>
      </c>
      <c r="C90" s="6" t="inlineStr">
        <is>
          <t>Int Rename</t>
        </is>
      </c>
      <c r="D90" s="6" t="inlineStr">
        <is>
          <t>rename流水valid/ready、RAT写入、ROB/IQ分配与free-list弹出的原子更新事件。</t>
        </is>
      </c>
      <c r="E90" s="6" t="inlineStr">
        <is>
          <t>时序</t>
        </is>
      </c>
      <c r="F90" s="6" t="inlineStr">
        <is>
          <t>让RAT更新、free-list弹出或ROB分配中的一个提前/延后/丢失一次。绑定一个动态指令/事件ID，提前、延后、丢失、重复分开执行；数据载荷保持正确。仅当下游因此读取旧值、漏发、重复或改变顺序时计activated。触发：同周期至少2条可重命名指令。</t>
        </is>
      </c>
      <c r="G90" s="6" t="inlineStr">
        <is>
          <t>F0</t>
        </is>
      </c>
      <c r="H90" s="6" t="inlineStr">
        <is>
          <t>每次运行只注入1次；warm-up后在 eligible event 中均匀抽样</t>
        </is>
      </c>
      <c r="I90" s="6" t="inlineStr">
        <is>
          <t>W4 Rename-Dependency</t>
        </is>
      </c>
      <c r="J90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90" s="6" t="inlineStr">
        <is>
          <t>同周期至少2条可重命名指令</t>
        </is>
      </c>
      <c r="L90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90" s="6" t="inlineStr">
        <is>
          <t>部分更新会破坏资源守恒，多为Crash/Timeout；若错误tag在三处一致更新则可能静默</t>
        </is>
      </c>
      <c r="N90" s="6" t="inlineStr">
        <is>
          <t>覆盖跨结构事务一致性而非单字段</t>
        </is>
      </c>
      <c r="O90" s="6" t="inlineStr">
        <is>
          <t>MICRO24时延方法论类比</t>
        </is>
      </c>
      <c r="P90" s="9" t="n"/>
      <c r="Q90" s="9" t="n"/>
      <c r="R90" s="9" t="n"/>
      <c r="S90" s="9" t="n"/>
      <c r="T90" s="9" t="n"/>
      <c r="U90" s="9" t="n"/>
      <c r="V90" s="9" t="n"/>
      <c r="W90" s="9" t="n"/>
      <c r="X90" s="12">
        <f>IF(OR(R90="",R90-AP90&lt;=0),"",AB90/(R90-AP90))</f>
        <v/>
      </c>
      <c r="Y90" s="12">
        <f>IFERROR(R90/AR90,0)</f>
        <v/>
      </c>
      <c r="Z90" s="9" t="inlineStr">
        <is>
          <t>待执行</t>
        </is>
      </c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12">
        <f>IF(OR(R90="",R90-AP90&lt;=0),"",AO90/(R90-AP90))</f>
        <v/>
      </c>
      <c r="AM90" s="11">
        <f>IF(R90="","",SUM(AC90:AF90)-(R90-AP90))</f>
        <v/>
      </c>
      <c r="AN90" s="11">
        <f>IF(R90="","",SUM(S90:W90)+AP90-R90)</f>
        <v/>
      </c>
      <c r="AO90" s="9" t="n"/>
      <c r="AP90" s="9" t="n"/>
      <c r="AQ90" s="27" t="inlineStr">
        <is>
          <t>R08-a RAT更新提前/延后；R08-b free-list弹出提前/延后；R08-c ROB/IQ分配丢失/重复；子更新分开统计</t>
        </is>
      </c>
      <c r="AR90" s="39" t="n"/>
      <c r="AS90" s="39">
        <f>IFERROR(AR90/Q90,0)</f>
        <v/>
      </c>
      <c r="AT90" s="39" t="n">
        <v>30</v>
      </c>
      <c r="AU90" s="39" t="n">
        <v>385</v>
      </c>
      <c r="AV90" s="39" t="inlineStr">
        <is>
          <t>常规</t>
        </is>
      </c>
      <c r="AW90" s="39" t="inlineStr">
        <is>
          <t>累计至少385，不机械扩展到2401</t>
        </is>
      </c>
    </row>
    <row r="91" ht="118.0500030517578" customHeight="1">
      <c r="A91" s="6" t="inlineStr">
        <is>
          <t>R08-F0-W5</t>
        </is>
      </c>
      <c r="B91" s="6" t="inlineStr">
        <is>
          <t>R08</t>
        </is>
      </c>
      <c r="C91" s="6" t="inlineStr">
        <is>
          <t>Int Rename</t>
        </is>
      </c>
      <c r="D91" s="6" t="inlineStr">
        <is>
          <t>rename流水valid/ready、RAT写入、ROB/IQ分配与free-list弹出的原子更新事件。</t>
        </is>
      </c>
      <c r="E91" s="6" t="inlineStr">
        <is>
          <t>时序</t>
        </is>
      </c>
      <c r="F91" s="6" t="inlineStr">
        <is>
          <t>让RAT更新、free-list弹出或ROB分配中的一个提前/延后/丢失一次。绑定一个动态指令/事件ID，提前、延后、丢失、重复分开执行；数据载荷保持正确。仅当下游因此读取旧值、漏发、重复或改变顺序时计activated。触发：同周期至少2条可重命名指令。</t>
        </is>
      </c>
      <c r="G91" s="6" t="inlineStr">
        <is>
          <t>F0</t>
        </is>
      </c>
      <c r="H91" s="6" t="inlineStr">
        <is>
          <t>每次运行只注入1次；warm-up后在 eligible event 中均匀抽样</t>
        </is>
      </c>
      <c r="I91" s="6" t="inlineStr">
        <is>
          <t>W5 ROB-Recovery</t>
        </is>
      </c>
      <c r="J91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91" s="6" t="inlineStr">
        <is>
          <t>同周期至少2条可重命名指令</t>
        </is>
      </c>
      <c r="L91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91" s="6" t="inlineStr">
        <is>
          <t>部分更新会破坏资源守恒，多为Crash/Timeout；若错误tag在三处一致更新则可能静默</t>
        </is>
      </c>
      <c r="N91" s="6" t="inlineStr">
        <is>
          <t>覆盖跨结构事务一致性而非单字段</t>
        </is>
      </c>
      <c r="O91" s="6" t="inlineStr">
        <is>
          <t>MICRO24时延方法论类比</t>
        </is>
      </c>
      <c r="P91" s="9" t="n"/>
      <c r="Q91" s="9" t="n"/>
      <c r="R91" s="9" t="n"/>
      <c r="S91" s="9" t="n"/>
      <c r="T91" s="9" t="n"/>
      <c r="U91" s="9" t="n"/>
      <c r="V91" s="9" t="n"/>
      <c r="W91" s="9" t="n"/>
      <c r="X91" s="12">
        <f>IF(OR(R91="",R91-AP91&lt;=0),"",AB91/(R91-AP91))</f>
        <v/>
      </c>
      <c r="Y91" s="12">
        <f>IFERROR(R91/AR91,0)</f>
        <v/>
      </c>
      <c r="Z91" s="9" t="inlineStr">
        <is>
          <t>待执行</t>
        </is>
      </c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12">
        <f>IF(OR(R91="",R91-AP91&lt;=0),"",AO91/(R91-AP91))</f>
        <v/>
      </c>
      <c r="AM91" s="11">
        <f>IF(R91="","",SUM(AC91:AF91)-(R91-AP91))</f>
        <v/>
      </c>
      <c r="AN91" s="11">
        <f>IF(R91="","",SUM(S91:W91)+AP91-R91)</f>
        <v/>
      </c>
      <c r="AO91" s="9" t="n"/>
      <c r="AP91" s="9" t="n"/>
      <c r="AQ91" s="27" t="inlineStr">
        <is>
          <t>R08-a RAT更新提前/延后；R08-b free-list弹出提前/延后；R08-c ROB/IQ分配丢失/重复；子更新分开统计</t>
        </is>
      </c>
      <c r="AR91" s="39" t="n"/>
      <c r="AS91" s="39">
        <f>IFERROR(AR91/Q91,0)</f>
        <v/>
      </c>
      <c r="AT91" s="39" t="n">
        <v>30</v>
      </c>
      <c r="AU91" s="39" t="n">
        <v>385</v>
      </c>
      <c r="AV91" s="39" t="inlineStr">
        <is>
          <t>常规</t>
        </is>
      </c>
      <c r="AW91" s="39" t="inlineStr">
        <is>
          <t>累计至少385，不机械扩展到2401</t>
        </is>
      </c>
    </row>
    <row r="92" ht="118.0500030517578" customHeight="1">
      <c r="A92" s="6" t="inlineStr">
        <is>
          <t>R08-F4-W4</t>
        </is>
      </c>
      <c r="B92" s="6" t="inlineStr">
        <is>
          <t>R08</t>
        </is>
      </c>
      <c r="C92" s="6" t="inlineStr">
        <is>
          <t>Int Rename</t>
        </is>
      </c>
      <c r="D92" s="6" t="inlineStr">
        <is>
          <t>rename流水valid/ready、RAT写入、ROB/IQ分配与free-list弹出的原子更新事件。</t>
        </is>
      </c>
      <c r="E92" s="6" t="inlineStr">
        <is>
          <t>时序</t>
        </is>
      </c>
      <c r="F92" s="6" t="inlineStr">
        <is>
          <t>让RAT更新、free-list弹出或ROB分配中的一个提前/延后/丢失一次。绑定一个动态指令/事件ID，提前、延后、丢失、重复分开执行；数据载荷保持正确。仅当下游因此读取旧值、漏发、重复或改变顺序时计activated。触发：同周期至少2条可重命名指令。</t>
        </is>
      </c>
      <c r="G92" s="6" t="inlineStr">
        <is>
          <t>F4</t>
        </is>
      </c>
      <c r="H92" s="6" t="inlineStr">
        <is>
          <t>每100,000个 eligible events 触发一次，连续污染2-4个 eligible events</t>
        </is>
      </c>
      <c r="I92" s="6" t="inlineStr">
        <is>
          <t>W4 Rename-Dependency</t>
        </is>
      </c>
      <c r="J92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92" s="6" t="inlineStr">
        <is>
          <t>同周期至少2条可重命名指令</t>
        </is>
      </c>
      <c r="L92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92" s="6" t="inlineStr">
        <is>
          <t>部分更新会破坏资源守恒，多为Crash/Timeout；若错误tag在三处一致更新则可能静默</t>
        </is>
      </c>
      <c r="N92" s="6" t="inlineStr">
        <is>
          <t>覆盖跨结构事务一致性而非单字段</t>
        </is>
      </c>
      <c r="O92" s="6" t="inlineStr">
        <is>
          <t>MICRO24时延方法论类比</t>
        </is>
      </c>
      <c r="P92" s="9" t="n"/>
      <c r="Q92" s="9" t="n"/>
      <c r="R92" s="9" t="n"/>
      <c r="S92" s="9" t="n"/>
      <c r="T92" s="9" t="n"/>
      <c r="U92" s="9" t="n"/>
      <c r="V92" s="9" t="n"/>
      <c r="W92" s="9" t="n"/>
      <c r="X92" s="12">
        <f>IF(OR(R92="",R92-AP92&lt;=0),"",AB92/(R92-AP92))</f>
        <v/>
      </c>
      <c r="Y92" s="12">
        <f>IFERROR(R92/AR92,0)</f>
        <v/>
      </c>
      <c r="Z92" s="9" t="inlineStr">
        <is>
          <t>待执行</t>
        </is>
      </c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12">
        <f>IF(OR(R92="",R92-AP92&lt;=0),"",AO92/(R92-AP92))</f>
        <v/>
      </c>
      <c r="AM92" s="11">
        <f>IF(R92="","",SUM(AC92:AF92)-(R92-AP92))</f>
        <v/>
      </c>
      <c r="AN92" s="11">
        <f>IF(R92="","",SUM(S92:W92)+AP92-R92)</f>
        <v/>
      </c>
      <c r="AO92" s="9" t="n"/>
      <c r="AP92" s="9" t="n"/>
      <c r="AQ92" s="27" t="inlineStr">
        <is>
          <t>R08-a RAT更新提前/延后；R08-b free-list弹出提前/延后；R08-c ROB/IQ分配丢失/重复；子更新分开统计</t>
        </is>
      </c>
      <c r="AR92" s="39" t="n"/>
      <c r="AS92" s="39">
        <f>IFERROR(AR92/Q92,0)</f>
        <v/>
      </c>
      <c r="AT92" s="39" t="n">
        <v>30</v>
      </c>
      <c r="AU92" s="39" t="n">
        <v>385</v>
      </c>
      <c r="AV92" s="39" t="inlineStr">
        <is>
          <t>常规</t>
        </is>
      </c>
      <c r="AW92" s="39" t="inlineStr">
        <is>
          <t>累计至少385，不机械扩展到2401</t>
        </is>
      </c>
    </row>
    <row r="93" ht="118.0500030517578" customHeight="1">
      <c r="A93" s="6" t="inlineStr">
        <is>
          <t>R08-F4-W5</t>
        </is>
      </c>
      <c r="B93" s="6" t="inlineStr">
        <is>
          <t>R08</t>
        </is>
      </c>
      <c r="C93" s="6" t="inlineStr">
        <is>
          <t>Int Rename</t>
        </is>
      </c>
      <c r="D93" s="6" t="inlineStr">
        <is>
          <t>rename流水valid/ready、RAT写入、ROB/IQ分配与free-list弹出的原子更新事件。</t>
        </is>
      </c>
      <c r="E93" s="6" t="inlineStr">
        <is>
          <t>时序</t>
        </is>
      </c>
      <c r="F93" s="6" t="inlineStr">
        <is>
          <t>让RAT更新、free-list弹出或ROB分配中的一个提前/延后/丢失一次。绑定一个动态指令/事件ID，提前、延后、丢失、重复分开执行；数据载荷保持正确。仅当下游因此读取旧值、漏发、重复或改变顺序时计activated。触发：同周期至少2条可重命名指令。</t>
        </is>
      </c>
      <c r="G93" s="6" t="inlineStr">
        <is>
          <t>F4</t>
        </is>
      </c>
      <c r="H93" s="6" t="inlineStr">
        <is>
          <t>每100,000个 eligible events 触发一次，连续污染2-4个 eligible events</t>
        </is>
      </c>
      <c r="I93" s="6" t="inlineStr">
        <is>
          <t>W5 ROB-Recovery</t>
        </is>
      </c>
      <c r="J93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93" s="6" t="inlineStr">
        <is>
          <t>同周期至少2条可重命名指令</t>
        </is>
      </c>
      <c r="L93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93" s="6" t="inlineStr">
        <is>
          <t>部分更新会破坏资源守恒，多为Crash/Timeout；若错误tag在三处一致更新则可能静默</t>
        </is>
      </c>
      <c r="N93" s="6" t="inlineStr">
        <is>
          <t>覆盖跨结构事务一致性而非单字段</t>
        </is>
      </c>
      <c r="O93" s="6" t="inlineStr">
        <is>
          <t>MICRO24时延方法论类比</t>
        </is>
      </c>
      <c r="P93" s="9" t="n"/>
      <c r="Q93" s="9" t="n"/>
      <c r="R93" s="9" t="n"/>
      <c r="S93" s="9" t="n"/>
      <c r="T93" s="9" t="n"/>
      <c r="U93" s="9" t="n"/>
      <c r="V93" s="9" t="n"/>
      <c r="W93" s="9" t="n"/>
      <c r="X93" s="12">
        <f>IF(OR(R93="",R93-AP93&lt;=0),"",AB93/(R93-AP93))</f>
        <v/>
      </c>
      <c r="Y93" s="12">
        <f>IFERROR(R93/AR93,0)</f>
        <v/>
      </c>
      <c r="Z93" s="9" t="inlineStr">
        <is>
          <t>待执行</t>
        </is>
      </c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12">
        <f>IF(OR(R93="",R93-AP93&lt;=0),"",AO93/(R93-AP93))</f>
        <v/>
      </c>
      <c r="AM93" s="11">
        <f>IF(R93="","",SUM(AC93:AF93)-(R93-AP93))</f>
        <v/>
      </c>
      <c r="AN93" s="11">
        <f>IF(R93="","",SUM(S93:W93)+AP93-R93)</f>
        <v/>
      </c>
      <c r="AO93" s="9" t="n"/>
      <c r="AP93" s="9" t="n"/>
      <c r="AQ93" s="27" t="inlineStr">
        <is>
          <t>R08-a RAT更新提前/延后；R08-b free-list弹出提前/延后；R08-c ROB/IQ分配丢失/重复；子更新分开统计</t>
        </is>
      </c>
      <c r="AR93" s="39" t="n"/>
      <c r="AS93" s="39">
        <f>IFERROR(AR93/Q93,0)</f>
        <v/>
      </c>
      <c r="AT93" s="39" t="n">
        <v>30</v>
      </c>
      <c r="AU93" s="39" t="n">
        <v>2401</v>
      </c>
      <c r="AV93" s="39" t="inlineStr">
        <is>
          <t>预登记重点</t>
        </is>
      </c>
      <c r="AW93" s="39" t="inlineStr">
        <is>
          <t>累计2401（含pilot与前385），不得序贯停止</t>
        </is>
      </c>
    </row>
    <row r="94" ht="118.0500030517578" customHeight="1">
      <c r="A94" s="6" t="inlineStr">
        <is>
          <t>R08-F6-W4</t>
        </is>
      </c>
      <c r="B94" s="6" t="inlineStr">
        <is>
          <t>R08</t>
        </is>
      </c>
      <c r="C94" s="6" t="inlineStr">
        <is>
          <t>Int Rename</t>
        </is>
      </c>
      <c r="D94" s="6" t="inlineStr">
        <is>
          <t>rename流水valid/ready、RAT写入、ROB/IQ分配与free-list弹出的原子更新事件。</t>
        </is>
      </c>
      <c r="E94" s="6" t="inlineStr">
        <is>
          <t>时序</t>
        </is>
      </c>
      <c r="F94" s="6" t="inlineStr">
        <is>
          <t>让RAT更新、free-list弹出或ROB分配中的一个提前/延后/丢失一次。绑定一个动态指令/事件ID，提前、延后、丢失、重复分开执行；数据载荷保持正确。仅当下游因此读取旧值、漏发、重复或改变顺序时计activated。触发：同周期至少2条可重命名指令。</t>
        </is>
      </c>
      <c r="G94" s="6" t="inlineStr">
        <is>
          <t>F6</t>
        </is>
      </c>
      <c r="H94" s="6" t="inlineStr">
        <is>
          <t>首次出现指定稀有事件时注入1次，保证结构化模型被激活</t>
        </is>
      </c>
      <c r="I94" s="6" t="inlineStr">
        <is>
          <t>W4 Rename-Dependency</t>
        </is>
      </c>
      <c r="J94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94" s="6" t="inlineStr">
        <is>
          <t>同周期至少2条可重命名指令</t>
        </is>
      </c>
      <c r="L94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94" s="6" t="inlineStr">
        <is>
          <t>部分更新会破坏资源守恒，多为Crash/Timeout；若错误tag在三处一致更新则可能静默</t>
        </is>
      </c>
      <c r="N94" s="6" t="inlineStr">
        <is>
          <t>覆盖跨结构事务一致性而非单字段</t>
        </is>
      </c>
      <c r="O94" s="6" t="inlineStr">
        <is>
          <t>MICRO24时延方法论类比</t>
        </is>
      </c>
      <c r="P94" s="9" t="n"/>
      <c r="Q94" s="9" t="n"/>
      <c r="R94" s="9" t="n"/>
      <c r="S94" s="9" t="n"/>
      <c r="T94" s="9" t="n"/>
      <c r="U94" s="9" t="n"/>
      <c r="V94" s="9" t="n"/>
      <c r="W94" s="9" t="n"/>
      <c r="X94" s="12">
        <f>IF(OR(R94="",R94-AP94&lt;=0),"",AB94/(R94-AP94))</f>
        <v/>
      </c>
      <c r="Y94" s="12">
        <f>IFERROR(R94/AR94,0)</f>
        <v/>
      </c>
      <c r="Z94" s="9" t="inlineStr">
        <is>
          <t>待执行</t>
        </is>
      </c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12">
        <f>IF(OR(R94="",R94-AP94&lt;=0),"",AO94/(R94-AP94))</f>
        <v/>
      </c>
      <c r="AM94" s="11">
        <f>IF(R94="","",SUM(AC94:AF94)-(R94-AP94))</f>
        <v/>
      </c>
      <c r="AN94" s="11">
        <f>IF(R94="","",SUM(S94:W94)+AP94-R94)</f>
        <v/>
      </c>
      <c r="AO94" s="9" t="n"/>
      <c r="AP94" s="9" t="n"/>
      <c r="AQ94" s="27" t="inlineStr">
        <is>
          <t>R08-a RAT更新提前/延后；R08-b free-list弹出提前/延后；R08-c ROB/IQ分配丢失/重复；子更新分开统计</t>
        </is>
      </c>
      <c r="AR94" s="39" t="n"/>
      <c r="AS94" s="39">
        <f>IFERROR(AR94/Q94,0)</f>
        <v/>
      </c>
      <c r="AT94" s="39" t="n">
        <v>30</v>
      </c>
      <c r="AU94" s="39" t="n">
        <v>385</v>
      </c>
      <c r="AV94" s="39" t="inlineStr">
        <is>
          <t>常规</t>
        </is>
      </c>
      <c r="AW94" s="39" t="inlineStr">
        <is>
          <t>累计至少385，不机械扩展到2401</t>
        </is>
      </c>
    </row>
    <row r="95" ht="118.0500030517578" customHeight="1">
      <c r="A95" s="6" t="inlineStr">
        <is>
          <t>R08-F6-W5</t>
        </is>
      </c>
      <c r="B95" s="6" t="inlineStr">
        <is>
          <t>R08</t>
        </is>
      </c>
      <c r="C95" s="6" t="inlineStr">
        <is>
          <t>Int Rename</t>
        </is>
      </c>
      <c r="D95" s="6" t="inlineStr">
        <is>
          <t>rename流水valid/ready、RAT写入、ROB/IQ分配与free-list弹出的原子更新事件。</t>
        </is>
      </c>
      <c r="E95" s="6" t="inlineStr">
        <is>
          <t>时序</t>
        </is>
      </c>
      <c r="F95" s="6" t="inlineStr">
        <is>
          <t>让RAT更新、free-list弹出或ROB分配中的一个提前/延后/丢失一次。绑定一个动态指令/事件ID，提前、延后、丢失、重复分开执行；数据载荷保持正确。仅当下游因此读取旧值、漏发、重复或改变顺序时计activated。触发：同周期至少2条可重命名指令。</t>
        </is>
      </c>
      <c r="G95" s="6" t="inlineStr">
        <is>
          <t>F6</t>
        </is>
      </c>
      <c r="H95" s="6" t="inlineStr">
        <is>
          <t>首次出现指定稀有事件时注入1次，保证结构化模型被激活</t>
        </is>
      </c>
      <c r="I95" s="6" t="inlineStr">
        <is>
          <t>W5 ROB-Recovery</t>
        </is>
      </c>
      <c r="J95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95" s="6" t="inlineStr">
        <is>
          <t>同周期至少2条可重命名指令</t>
        </is>
      </c>
      <c r="L95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95" s="6" t="inlineStr">
        <is>
          <t>部分更新会破坏资源守恒，多为Crash/Timeout；若错误tag在三处一致更新则可能静默</t>
        </is>
      </c>
      <c r="N95" s="6" t="inlineStr">
        <is>
          <t>覆盖跨结构事务一致性而非单字段</t>
        </is>
      </c>
      <c r="O95" s="6" t="inlineStr">
        <is>
          <t>MICRO24时延方法论类比</t>
        </is>
      </c>
      <c r="P95" s="9" t="n"/>
      <c r="Q95" s="9" t="n"/>
      <c r="R95" s="9" t="n"/>
      <c r="S95" s="9" t="n"/>
      <c r="T95" s="9" t="n"/>
      <c r="U95" s="9" t="n"/>
      <c r="V95" s="9" t="n"/>
      <c r="W95" s="9" t="n"/>
      <c r="X95" s="12">
        <f>IF(OR(R95="",R95-AP95&lt;=0),"",AB95/(R95-AP95))</f>
        <v/>
      </c>
      <c r="Y95" s="12">
        <f>IFERROR(R95/AR95,0)</f>
        <v/>
      </c>
      <c r="Z95" s="9" t="inlineStr">
        <is>
          <t>待执行</t>
        </is>
      </c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12">
        <f>IF(OR(R95="",R95-AP95&lt;=0),"",AO95/(R95-AP95))</f>
        <v/>
      </c>
      <c r="AM95" s="11">
        <f>IF(R95="","",SUM(AC95:AF95)-(R95-AP95))</f>
        <v/>
      </c>
      <c r="AN95" s="11">
        <f>IF(R95="","",SUM(S95:W95)+AP95-R95)</f>
        <v/>
      </c>
      <c r="AO95" s="9" t="n"/>
      <c r="AP95" s="9" t="n"/>
      <c r="AQ95" s="27" t="inlineStr">
        <is>
          <t>R08-a RAT更新提前/延后；R08-b free-list弹出提前/延后；R08-c ROB/IQ分配丢失/重复；子更新分开统计</t>
        </is>
      </c>
      <c r="AR95" s="39" t="n"/>
      <c r="AS95" s="39">
        <f>IFERROR(AR95/Q95,0)</f>
        <v/>
      </c>
      <c r="AT95" s="39" t="n">
        <v>30</v>
      </c>
      <c r="AU95" s="39" t="n">
        <v>385</v>
      </c>
      <c r="AV95" s="39" t="inlineStr">
        <is>
          <t>常规</t>
        </is>
      </c>
      <c r="AW95" s="39" t="inlineStr">
        <is>
          <t>累计至少385，不机械扩展到2401</t>
        </is>
      </c>
    </row>
    <row r="96" ht="118.0500030517578" customHeight="1">
      <c r="A96" s="6" t="inlineStr">
        <is>
          <t>R09-F5-W4</t>
        </is>
      </c>
      <c r="B96" s="6" t="inlineStr">
        <is>
          <t>R09</t>
        </is>
      </c>
      <c r="C96" s="6" t="inlineStr">
        <is>
          <t>Int Rename</t>
        </is>
      </c>
      <c r="D96" s="6" t="inlineStr">
        <is>
          <t>RAT/free-list固定bit或固定掩码，跨多个重命名事件持续。</t>
        </is>
      </c>
      <c r="E96" s="6" t="inlineStr">
        <is>
          <t>卡死</t>
        </is>
      </c>
      <c r="F96" s="6" t="inlineStr">
        <is>
          <t>在RAT tag bit或free-list bit上实施stuck-at-0/1。warm-up后固定一个bit/控制位，分别做stuck-at-0和stuck-at-1，每次经过均施加到结束；正确值本来等于卡死值时不增加activated。触发：warm-up后每次相关查表/分配。</t>
        </is>
      </c>
      <c r="G96" s="6" t="inlineStr">
        <is>
          <t>F5</t>
        </is>
      </c>
      <c r="H96" s="6" t="inlineStr">
        <is>
          <t>warm-up后第一个 eligible event 起持续至运行结束；每次运行只选1 bit/字段</t>
        </is>
      </c>
      <c r="I96" s="6" t="inlineStr">
        <is>
          <t>W4 Rename-Dependency</t>
        </is>
      </c>
      <c r="J96" s="6" t="inlineStr">
        <is>
          <t>Rename-Dependency（自设定向负载）
执行定义与oracle：RAW/WAR/WAW 链、x0、同周期多目的、长活跃区间、寄存器压力、分支嵌套；检查映射唯一性和最终寄存器 hash</t>
        </is>
      </c>
      <c r="K96" s="6" t="inlineStr">
        <is>
          <t>warm-up后每次相关查表/分配</t>
        </is>
      </c>
      <c r="L96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96" s="6" t="inlineStr">
        <is>
          <t>free-list卡死更易资源耗尽；RAT低位卡死可能形成可重复别名和输入相关SDC</t>
        </is>
      </c>
      <c r="N96" s="6" t="inlineStr">
        <is>
          <t>覆盖永久故障与累积资源破坏</t>
        </is>
      </c>
      <c r="O96" s="6" t="inlineStr">
        <is>
          <t>CHAOS26 stuck-at方法；无直接rename结果</t>
        </is>
      </c>
      <c r="P96" s="9" t="n"/>
      <c r="Q96" s="9" t="n"/>
      <c r="R96" s="9" t="n"/>
      <c r="S96" s="9" t="n"/>
      <c r="T96" s="9" t="n"/>
      <c r="U96" s="9" t="n"/>
      <c r="V96" s="9" t="n"/>
      <c r="W96" s="9" t="n"/>
      <c r="X96" s="12">
        <f>IF(OR(R96="",R96-AP96&lt;=0),"",AB96/(R96-AP96))</f>
        <v/>
      </c>
      <c r="Y96" s="12">
        <f>IFERROR(R96/AR96,0)</f>
        <v/>
      </c>
      <c r="Z96" s="9" t="inlineStr">
        <is>
          <t>待执行</t>
        </is>
      </c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12">
        <f>IF(OR(R96="",R96-AP96&lt;=0),"",AO96/(R96-AP96))</f>
        <v/>
      </c>
      <c r="AM96" s="11">
        <f>IF(R96="","",SUM(AC96:AF96)-(R96-AP96))</f>
        <v/>
      </c>
      <c r="AN96" s="11">
        <f>IF(R96="","",SUM(S96:W96)+AP96-R96)</f>
        <v/>
      </c>
      <c r="AO96" s="9" t="n"/>
      <c r="AP96" s="9" t="n"/>
      <c r="AQ96" s="27" t="inlineStr">
        <is>
          <t>R09-a RAT tag bit stuck-at-0；R09-b RAT tag bit stuck-at-1；R09-c free-list bit stuck-at-0；R09-d free-list bit stuck-at-1</t>
        </is>
      </c>
      <c r="AR96" s="39" t="n"/>
      <c r="AS96" s="39">
        <f>IFERROR(AR96/Q96,0)</f>
        <v/>
      </c>
      <c r="AT96" s="39" t="n">
        <v>30</v>
      </c>
      <c r="AU96" s="39" t="n">
        <v>385</v>
      </c>
      <c r="AV96" s="39" t="inlineStr">
        <is>
          <t>常规</t>
        </is>
      </c>
      <c r="AW96" s="39" t="inlineStr">
        <is>
          <t>累计至少385，不机械扩展到2401</t>
        </is>
      </c>
    </row>
    <row r="97" ht="118.0500030517578" customHeight="1">
      <c r="A97" s="6" t="inlineStr">
        <is>
          <t>R09-F5-W6</t>
        </is>
      </c>
      <c r="B97" s="6" t="inlineStr">
        <is>
          <t>R09</t>
        </is>
      </c>
      <c r="C97" s="6" t="inlineStr">
        <is>
          <t>Int Rename</t>
        </is>
      </c>
      <c r="D97" s="6" t="inlineStr">
        <is>
          <t>RAT/free-list固定bit或固定掩码，跨多个重命名事件持续。</t>
        </is>
      </c>
      <c r="E97" s="6" t="inlineStr">
        <is>
          <t>卡死</t>
        </is>
      </c>
      <c r="F97" s="6" t="inlineStr">
        <is>
          <t>在RAT tag bit或free-list bit上实施stuck-at-0/1。warm-up后固定一个bit/控制位，分别做stuck-at-0和stuck-at-1，每次经过均施加到结束；正确值本来等于卡死值时不增加activated。触发：warm-up后每次相关查表/分配。</t>
        </is>
      </c>
      <c r="G97" s="6" t="inlineStr">
        <is>
          <t>F5</t>
        </is>
      </c>
      <c r="H97" s="6" t="inlineStr">
        <is>
          <t>warm-up后第一个 eligible event 起持续至运行结束；每次运行只选1 bit/字段</t>
        </is>
      </c>
      <c r="I97" s="6" t="inlineStr">
        <is>
          <t>W6 CoreMark+Embench</t>
        </is>
      </c>
      <c r="J97" s="6" t="inlineStr">
        <is>
          <t>CoreMark+Embench（公开通用）
执行定义与oracle：CoreMark 与 Embench 全集；固定编译器/优化/输入；使用内置校验及输出 hash</t>
        </is>
      </c>
      <c r="K97" s="6" t="inlineStr">
        <is>
          <t>warm-up后每次相关查表/分配</t>
        </is>
      </c>
      <c r="L97" s="6" t="inlineStr">
        <is>
          <t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t>
        </is>
      </c>
      <c r="M97" s="6" t="inlineStr">
        <is>
          <t>free-list卡死更易资源耗尽；RAT低位卡死可能形成可重复别名和输入相关SDC</t>
        </is>
      </c>
      <c r="N97" s="6" t="inlineStr">
        <is>
          <t>覆盖永久故障与累积资源破坏</t>
        </is>
      </c>
      <c r="O97" s="6" t="inlineStr">
        <is>
          <t>CHAOS26 stuck-at方法；无直接rename结果</t>
        </is>
      </c>
      <c r="P97" s="9" t="n"/>
      <c r="Q97" s="9" t="n"/>
      <c r="R97" s="9" t="n"/>
      <c r="S97" s="9" t="n"/>
      <c r="T97" s="9" t="n"/>
      <c r="U97" s="9" t="n"/>
      <c r="V97" s="9" t="n"/>
      <c r="W97" s="9" t="n"/>
      <c r="X97" s="12">
        <f>IF(OR(R97="",R97-AP97&lt;=0),"",AB97/(R97-AP97))</f>
        <v/>
      </c>
      <c r="Y97" s="12">
        <f>IFERROR(R97/AR97,0)</f>
        <v/>
      </c>
      <c r="Z97" s="9" t="inlineStr">
        <is>
          <t>待执行</t>
        </is>
      </c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12">
        <f>IF(OR(R97="",R97-AP97&lt;=0),"",AO97/(R97-AP97))</f>
        <v/>
      </c>
      <c r="AM97" s="11">
        <f>IF(R97="","",SUM(AC97:AF97)-(R97-AP97))</f>
        <v/>
      </c>
      <c r="AN97" s="11">
        <f>IF(R97="","",SUM(S97:W97)+AP97-R97)</f>
        <v/>
      </c>
      <c r="AO97" s="9" t="n"/>
      <c r="AP97" s="9" t="n"/>
      <c r="AQ97" s="27" t="inlineStr">
        <is>
          <t>R09-a RAT tag bit stuck-at-0；R09-b RAT tag bit stuck-at-1；R09-c free-list bit stuck-at-0；R09-d free-list bit stuck-at-1</t>
        </is>
      </c>
      <c r="AR97" s="39" t="n"/>
      <c r="AS97" s="39">
        <f>IFERROR(AR97/Q97,0)</f>
        <v/>
      </c>
      <c r="AT97" s="39" t="n">
        <v>30</v>
      </c>
      <c r="AU97" s="39" t="n">
        <v>385</v>
      </c>
      <c r="AV97" s="39" t="inlineStr">
        <is>
          <t>常规</t>
        </is>
      </c>
      <c r="AW97" s="39" t="inlineStr">
        <is>
          <t>累计至少385，不机械扩展到2401</t>
        </is>
      </c>
    </row>
    <row r="98" ht="118.0500030517578" customHeight="1">
      <c r="A98" s="6" t="inlineStr">
        <is>
          <t>B01-F0-W1</t>
        </is>
      </c>
      <c r="B98" s="6" t="inlineStr">
        <is>
          <t>B01</t>
        </is>
      </c>
      <c r="C98" s="6" t="inlineStr">
        <is>
          <t>Int Dispatch / ROB</t>
        </is>
      </c>
      <c r="D98" s="6" t="inlineStr">
        <is>
          <t>整数动态指令对应的ROB entry字段：PC、arch/phys src/dst标识符和序号。</t>
        </is>
      </c>
      <c r="E98" s="6" t="inlineStr">
        <is>
          <t>单比特翻转</t>
        </is>
      </c>
      <c r="F98" s="6" t="inlineStr">
        <is>
          <t>在已分配且未提交的整数ROB entry中翻转一个字段bit，按PC/tag/seq分层。每次运行只选一个当前有效字段，在字段内均匀抽1 bit做XOR；保存动态指令ID、原值、故障值和bit编号。仅当故障字段被下游读取/选择/用于状态转移时计activated。触发：ROB中存在有效整数entry。</t>
        </is>
      </c>
      <c r="G98" s="6" t="inlineStr">
        <is>
          <t>F0</t>
        </is>
      </c>
      <c r="H98" s="6" t="inlineStr">
        <is>
          <t>每次运行只注入1次；warm-up后在 eligible event 中均匀抽样</t>
        </is>
      </c>
      <c r="I98" s="6" t="inlineStr">
        <is>
          <t>W1 MiBench-TC23</t>
        </is>
      </c>
      <c r="J98" s="6" t="inlineStr">
        <is>
          <t>MiBench-TC23（公开/论文复现）
执行定义与oracle：blowfish、patricia、fft、gsm、dijkstra、rijndael、sha、bitcount、edge、smooth；最大输入集；输出与 golden 比对</t>
        </is>
      </c>
      <c r="K98" s="6" t="inlineStr">
        <is>
          <t>ROB中存在有效整数entry</t>
        </is>
      </c>
      <c r="L98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98" s="6" t="inlineStr">
        <is>
          <t>复现TC'23时SDC应接近0且Masked/Crash主导；字段扩展后可能发现结构化静默路径</t>
        </is>
      </c>
      <c r="N98" s="6" t="inlineStr">
        <is>
          <t>直接论文复现基线</t>
        </is>
      </c>
      <c r="O98" s="6" t="inlineStr">
        <is>
          <t>TC23直接结果：ROB条件SDC=0</t>
        </is>
      </c>
      <c r="P98" s="9" t="n"/>
      <c r="Q98" s="9" t="n"/>
      <c r="R98" s="9" t="n"/>
      <c r="S98" s="9" t="n"/>
      <c r="T98" s="9" t="n"/>
      <c r="U98" s="9" t="n"/>
      <c r="V98" s="9" t="n"/>
      <c r="W98" s="9" t="n"/>
      <c r="X98" s="12">
        <f>IF(OR(R98="",R98-AP98&lt;=0),"",AB98/(R98-AP98))</f>
        <v/>
      </c>
      <c r="Y98" s="12">
        <f>IFERROR(R98/AR98,0)</f>
        <v/>
      </c>
      <c r="Z98" s="9" t="inlineStr">
        <is>
          <t>待执行</t>
        </is>
      </c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12">
        <f>IF(OR(R98="",R98-AP98&lt;=0),"",AO98/(R98-AP98))</f>
        <v/>
      </c>
      <c r="AM98" s="11">
        <f>IF(R98="","",SUM(AC98:AF98)-(R98-AP98))</f>
        <v/>
      </c>
      <c r="AN98" s="11">
        <f>IF(R98="","",SUM(S98:W98)+AP98-R98)</f>
        <v/>
      </c>
      <c r="AO98" s="9" t="n"/>
      <c r="AP98" s="9" t="n"/>
      <c r="AQ98" s="27" t="inlineStr">
        <is>
          <t>B01-a PC字段单bit；B01-b arch/phys src/dst字段单bit；B01-c seq字段单bit</t>
        </is>
      </c>
      <c r="AR98" s="39" t="n"/>
      <c r="AS98" s="39">
        <f>IFERROR(AR98/Q98,0)</f>
        <v/>
      </c>
      <c r="AT98" s="39" t="n">
        <v>30</v>
      </c>
      <c r="AU98" s="39" t="n">
        <v>2401</v>
      </c>
      <c r="AV98" s="39" t="inlineStr">
        <is>
          <t>预登记重点</t>
        </is>
      </c>
      <c r="AW98" s="39" t="inlineStr">
        <is>
          <t>累计2401（含pilot与前385），不得序贯停止</t>
        </is>
      </c>
    </row>
    <row r="99" ht="118.0500030517578" customHeight="1">
      <c r="A99" s="6" t="inlineStr">
        <is>
          <t>B01-F0-W5</t>
        </is>
      </c>
      <c r="B99" s="6" t="inlineStr">
        <is>
          <t>B01</t>
        </is>
      </c>
      <c r="C99" s="6" t="inlineStr">
        <is>
          <t>Int Dispatch / ROB</t>
        </is>
      </c>
      <c r="D99" s="6" t="inlineStr">
        <is>
          <t>整数动态指令对应的ROB entry字段：PC、arch/phys src/dst标识符和序号。</t>
        </is>
      </c>
      <c r="E99" s="6" t="inlineStr">
        <is>
          <t>单比特翻转</t>
        </is>
      </c>
      <c r="F99" s="6" t="inlineStr">
        <is>
          <t>在已分配且未提交的整数ROB entry中翻转一个字段bit，按PC/tag/seq分层。每次运行只选一个当前有效字段，在字段内均匀抽1 bit做XOR；保存动态指令ID、原值、故障值和bit编号。仅当故障字段被下游读取/选择/用于状态转移时计activated。触发：ROB中存在有效整数entry。</t>
        </is>
      </c>
      <c r="G99" s="6" t="inlineStr">
        <is>
          <t>F0</t>
        </is>
      </c>
      <c r="H99" s="6" t="inlineStr">
        <is>
          <t>每次运行只注入1次；warm-up后在 eligible event 中均匀抽样</t>
        </is>
      </c>
      <c r="I99" s="6" t="inlineStr">
        <is>
          <t>W5 ROB-Recovery</t>
        </is>
      </c>
      <c r="J99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99" s="6" t="inlineStr">
        <is>
          <t>ROB中存在有效整数entry</t>
        </is>
      </c>
      <c r="L99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99" s="6" t="inlineStr">
        <is>
          <t>复现TC'23时SDC应接近0且Masked/Crash主导；字段扩展后可能发现结构化静默路径</t>
        </is>
      </c>
      <c r="N99" s="6" t="inlineStr">
        <is>
          <t>直接论文复现基线</t>
        </is>
      </c>
      <c r="O99" s="6" t="inlineStr">
        <is>
          <t>TC23直接结果：ROB条件SDC=0</t>
        </is>
      </c>
      <c r="P99" s="9" t="n"/>
      <c r="Q99" s="9" t="n"/>
      <c r="R99" s="9" t="n"/>
      <c r="S99" s="9" t="n"/>
      <c r="T99" s="9" t="n"/>
      <c r="U99" s="9" t="n"/>
      <c r="V99" s="9" t="n"/>
      <c r="W99" s="9" t="n"/>
      <c r="X99" s="12">
        <f>IF(OR(R99="",R99-AP99&lt;=0),"",AB99/(R99-AP99))</f>
        <v/>
      </c>
      <c r="Y99" s="12">
        <f>IFERROR(R99/AR99,0)</f>
        <v/>
      </c>
      <c r="Z99" s="9" t="inlineStr">
        <is>
          <t>待执行</t>
        </is>
      </c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12">
        <f>IF(OR(R99="",R99-AP99&lt;=0),"",AO99/(R99-AP99))</f>
        <v/>
      </c>
      <c r="AM99" s="11">
        <f>IF(R99="","",SUM(AC99:AF99)-(R99-AP99))</f>
        <v/>
      </c>
      <c r="AN99" s="11">
        <f>IF(R99="","",SUM(S99:W99)+AP99-R99)</f>
        <v/>
      </c>
      <c r="AO99" s="9" t="n"/>
      <c r="AP99" s="9" t="n"/>
      <c r="AQ99" s="27" t="inlineStr">
        <is>
          <t>B01-a PC字段单bit；B01-b arch/phys src/dst字段单bit；B01-c seq字段单bit</t>
        </is>
      </c>
      <c r="AR99" s="39" t="n"/>
      <c r="AS99" s="39">
        <f>IFERROR(AR99/Q99,0)</f>
        <v/>
      </c>
      <c r="AT99" s="39" t="n">
        <v>30</v>
      </c>
      <c r="AU99" s="39" t="n">
        <v>385</v>
      </c>
      <c r="AV99" s="39" t="inlineStr">
        <is>
          <t>常规</t>
        </is>
      </c>
      <c r="AW99" s="39" t="inlineStr">
        <is>
          <t>累计至少385，不机械扩展到2401</t>
        </is>
      </c>
    </row>
    <row r="100" ht="118.0500030517578" customHeight="1">
      <c r="A100" s="6" t="inlineStr">
        <is>
          <t>B01-F1-W1</t>
        </is>
      </c>
      <c r="B100" s="6" t="inlineStr">
        <is>
          <t>B01</t>
        </is>
      </c>
      <c r="C100" s="6" t="inlineStr">
        <is>
          <t>Int Dispatch / ROB</t>
        </is>
      </c>
      <c r="D100" s="6" t="inlineStr">
        <is>
          <t>整数动态指令对应的ROB entry字段：PC、arch/phys src/dst标识符和序号。</t>
        </is>
      </c>
      <c r="E100" s="6" t="inlineStr">
        <is>
          <t>单比特翻转</t>
        </is>
      </c>
      <c r="F100" s="6" t="inlineStr">
        <is>
          <t>在已分配且未提交的整数ROB entry中翻转一个字段bit，按PC/tag/seq分层。每次运行只选一个当前有效字段，在字段内均匀抽1 bit做XOR；保存动态指令ID、原值、故障值和bit编号。仅当故障字段被下游读取/选择/用于状态转移时计activated。触发：ROB中存在有效整数entry。</t>
        </is>
      </c>
      <c r="G100" s="6" t="inlineStr">
        <is>
          <t>F1</t>
        </is>
      </c>
      <c r="H100" s="6" t="inlineStr">
        <is>
          <t>平均每1,000,000个 eligible events 注入1次，间隔加入±50%抖动</t>
        </is>
      </c>
      <c r="I100" s="6" t="inlineStr">
        <is>
          <t>W1 MiBench-TC23</t>
        </is>
      </c>
      <c r="J100" s="6" t="inlineStr">
        <is>
          <t>MiBench-TC23（公开/论文复现）
执行定义与oracle：blowfish、patricia、fft、gsm、dijkstra、rijndael、sha、bitcount、edge、smooth；最大输入集；输出与 golden 比对</t>
        </is>
      </c>
      <c r="K100" s="6" t="inlineStr">
        <is>
          <t>ROB中存在有效整数entry</t>
        </is>
      </c>
      <c r="L100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00" s="6" t="inlineStr">
        <is>
          <t>复现TC'23时SDC应接近0且Masked/Crash主导；字段扩展后可能发现结构化静默路径</t>
        </is>
      </c>
      <c r="N100" s="6" t="inlineStr">
        <is>
          <t>直接论文复现基线</t>
        </is>
      </c>
      <c r="O100" s="6" t="inlineStr">
        <is>
          <t>TC23直接结果：ROB条件SDC=0</t>
        </is>
      </c>
      <c r="P100" s="9" t="n"/>
      <c r="Q100" s="9" t="n"/>
      <c r="R100" s="9" t="n"/>
      <c r="S100" s="9" t="n"/>
      <c r="T100" s="9" t="n"/>
      <c r="U100" s="9" t="n"/>
      <c r="V100" s="9" t="n"/>
      <c r="W100" s="9" t="n"/>
      <c r="X100" s="12">
        <f>IF(OR(R100="",R100-AP100&lt;=0),"",AB100/(R100-AP100))</f>
        <v/>
      </c>
      <c r="Y100" s="12">
        <f>IFERROR(R100/AR100,0)</f>
        <v/>
      </c>
      <c r="Z100" s="9" t="inlineStr">
        <is>
          <t>待执行</t>
        </is>
      </c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12">
        <f>IF(OR(R100="",R100-AP100&lt;=0),"",AO100/(R100-AP100))</f>
        <v/>
      </c>
      <c r="AM100" s="11">
        <f>IF(R100="","",SUM(AC100:AF100)-(R100-AP100))</f>
        <v/>
      </c>
      <c r="AN100" s="11">
        <f>IF(R100="","",SUM(S100:W100)+AP100-R100)</f>
        <v/>
      </c>
      <c r="AO100" s="9" t="n"/>
      <c r="AP100" s="9" t="n"/>
      <c r="AQ100" s="27" t="inlineStr">
        <is>
          <t>B01-a PC字段单bit；B01-b arch/phys src/dst字段单bit；B01-c seq字段单bit</t>
        </is>
      </c>
      <c r="AR100" s="39" t="n"/>
      <c r="AS100" s="39">
        <f>IFERROR(AR100/Q100,0)</f>
        <v/>
      </c>
      <c r="AT100" s="39" t="n">
        <v>30</v>
      </c>
      <c r="AU100" s="39" t="n">
        <v>385</v>
      </c>
      <c r="AV100" s="39" t="inlineStr">
        <is>
          <t>常规</t>
        </is>
      </c>
      <c r="AW100" s="39" t="inlineStr">
        <is>
          <t>累计至少385，不机械扩展到2401</t>
        </is>
      </c>
    </row>
    <row r="101" ht="118.0500030517578" customHeight="1">
      <c r="A101" s="6" t="inlineStr">
        <is>
          <t>B01-F1-W5</t>
        </is>
      </c>
      <c r="B101" s="6" t="inlineStr">
        <is>
          <t>B01</t>
        </is>
      </c>
      <c r="C101" s="6" t="inlineStr">
        <is>
          <t>Int Dispatch / ROB</t>
        </is>
      </c>
      <c r="D101" s="6" t="inlineStr">
        <is>
          <t>整数动态指令对应的ROB entry字段：PC、arch/phys src/dst标识符和序号。</t>
        </is>
      </c>
      <c r="E101" s="6" t="inlineStr">
        <is>
          <t>单比特翻转</t>
        </is>
      </c>
      <c r="F101" s="6" t="inlineStr">
        <is>
          <t>在已分配且未提交的整数ROB entry中翻转一个字段bit，按PC/tag/seq分层。每次运行只选一个当前有效字段，在字段内均匀抽1 bit做XOR；保存动态指令ID、原值、故障值和bit编号。仅当故障字段被下游读取/选择/用于状态转移时计activated。触发：ROB中存在有效整数entry。</t>
        </is>
      </c>
      <c r="G101" s="6" t="inlineStr">
        <is>
          <t>F1</t>
        </is>
      </c>
      <c r="H101" s="6" t="inlineStr">
        <is>
          <t>平均每1,000,000个 eligible events 注入1次，间隔加入±50%抖动</t>
        </is>
      </c>
      <c r="I101" s="6" t="inlineStr">
        <is>
          <t>W5 ROB-Recovery</t>
        </is>
      </c>
      <c r="J101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01" s="6" t="inlineStr">
        <is>
          <t>ROB中存在有效整数entry</t>
        </is>
      </c>
      <c r="L101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01" s="6" t="inlineStr">
        <is>
          <t>复现TC'23时SDC应接近0且Masked/Crash主导；字段扩展后可能发现结构化静默路径</t>
        </is>
      </c>
      <c r="N101" s="6" t="inlineStr">
        <is>
          <t>直接论文复现基线</t>
        </is>
      </c>
      <c r="O101" s="6" t="inlineStr">
        <is>
          <t>TC23直接结果：ROB条件SDC=0</t>
        </is>
      </c>
      <c r="P101" s="9" t="n"/>
      <c r="Q101" s="9" t="n"/>
      <c r="R101" s="9" t="n"/>
      <c r="S101" s="9" t="n"/>
      <c r="T101" s="9" t="n"/>
      <c r="U101" s="9" t="n"/>
      <c r="V101" s="9" t="n"/>
      <c r="W101" s="9" t="n"/>
      <c r="X101" s="12">
        <f>IF(OR(R101="",R101-AP101&lt;=0),"",AB101/(R101-AP101))</f>
        <v/>
      </c>
      <c r="Y101" s="12">
        <f>IFERROR(R101/AR101,0)</f>
        <v/>
      </c>
      <c r="Z101" s="9" t="inlineStr">
        <is>
          <t>待执行</t>
        </is>
      </c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12">
        <f>IF(OR(R101="",R101-AP101&lt;=0),"",AO101/(R101-AP101))</f>
        <v/>
      </c>
      <c r="AM101" s="11">
        <f>IF(R101="","",SUM(AC101:AF101)-(R101-AP101))</f>
        <v/>
      </c>
      <c r="AN101" s="11">
        <f>IF(R101="","",SUM(S101:W101)+AP101-R101)</f>
        <v/>
      </c>
      <c r="AO101" s="9" t="n"/>
      <c r="AP101" s="9" t="n"/>
      <c r="AQ101" s="27" t="inlineStr">
        <is>
          <t>B01-a PC字段单bit；B01-b arch/phys src/dst字段单bit；B01-c seq字段单bit</t>
        </is>
      </c>
      <c r="AR101" s="39" t="n"/>
      <c r="AS101" s="39">
        <f>IFERROR(AR101/Q101,0)</f>
        <v/>
      </c>
      <c r="AT101" s="39" t="n">
        <v>30</v>
      </c>
      <c r="AU101" s="39" t="n">
        <v>385</v>
      </c>
      <c r="AV101" s="39" t="inlineStr">
        <is>
          <t>常规</t>
        </is>
      </c>
      <c r="AW101" s="39" t="inlineStr">
        <is>
          <t>累计至少385，不机械扩展到2401</t>
        </is>
      </c>
    </row>
    <row r="102" ht="118.0500030517578" customHeight="1">
      <c r="A102" s="6" t="inlineStr">
        <is>
          <t>B01-F2-W1</t>
        </is>
      </c>
      <c r="B102" s="6" t="inlineStr">
        <is>
          <t>B01</t>
        </is>
      </c>
      <c r="C102" s="6" t="inlineStr">
        <is>
          <t>Int Dispatch / ROB</t>
        </is>
      </c>
      <c r="D102" s="6" t="inlineStr">
        <is>
          <t>整数动态指令对应的ROB entry字段：PC、arch/phys src/dst标识符和序号。</t>
        </is>
      </c>
      <c r="E102" s="6" t="inlineStr">
        <is>
          <t>单比特翻转</t>
        </is>
      </c>
      <c r="F102" s="6" t="inlineStr">
        <is>
          <t>在已分配且未提交的整数ROB entry中翻转一个字段bit，按PC/tag/seq分层。每次运行只选一个当前有效字段，在字段内均匀抽1 bit做XOR；保存动态指令ID、原值、故障值和bit编号。仅当故障字段被下游读取/选择/用于状态转移时计activated。触发：ROB中存在有效整数entry。</t>
        </is>
      </c>
      <c r="G102" s="6" t="inlineStr">
        <is>
          <t>F2</t>
        </is>
      </c>
      <c r="H102" s="6" t="inlineStr">
        <is>
          <t>平均每100,000个 eligible events 注入1次，间隔加入±50%抖动</t>
        </is>
      </c>
      <c r="I102" s="6" t="inlineStr">
        <is>
          <t>W1 MiBench-TC23</t>
        </is>
      </c>
      <c r="J102" s="6" t="inlineStr">
        <is>
          <t>MiBench-TC23（公开/论文复现）
执行定义与oracle：blowfish、patricia、fft、gsm、dijkstra、rijndael、sha、bitcount、edge、smooth；最大输入集；输出与 golden 比对</t>
        </is>
      </c>
      <c r="K102" s="6" t="inlineStr">
        <is>
          <t>ROB中存在有效整数entry</t>
        </is>
      </c>
      <c r="L102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02" s="6" t="inlineStr">
        <is>
          <t>复现TC'23时SDC应接近0且Masked/Crash主导；字段扩展后可能发现结构化静默路径</t>
        </is>
      </c>
      <c r="N102" s="6" t="inlineStr">
        <is>
          <t>直接论文复现基线</t>
        </is>
      </c>
      <c r="O102" s="6" t="inlineStr">
        <is>
          <t>TC23直接结果：ROB条件SDC=0</t>
        </is>
      </c>
      <c r="P102" s="9" t="n"/>
      <c r="Q102" s="9" t="n"/>
      <c r="R102" s="9" t="n"/>
      <c r="S102" s="9" t="n"/>
      <c r="T102" s="9" t="n"/>
      <c r="U102" s="9" t="n"/>
      <c r="V102" s="9" t="n"/>
      <c r="W102" s="9" t="n"/>
      <c r="X102" s="12">
        <f>IF(OR(R102="",R102-AP102&lt;=0),"",AB102/(R102-AP102))</f>
        <v/>
      </c>
      <c r="Y102" s="12">
        <f>IFERROR(R102/AR102,0)</f>
        <v/>
      </c>
      <c r="Z102" s="9" t="inlineStr">
        <is>
          <t>待执行</t>
        </is>
      </c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12">
        <f>IF(OR(R102="",R102-AP102&lt;=0),"",AO102/(R102-AP102))</f>
        <v/>
      </c>
      <c r="AM102" s="11">
        <f>IF(R102="","",SUM(AC102:AF102)-(R102-AP102))</f>
        <v/>
      </c>
      <c r="AN102" s="11">
        <f>IF(R102="","",SUM(S102:W102)+AP102-R102)</f>
        <v/>
      </c>
      <c r="AO102" s="9" t="n"/>
      <c r="AP102" s="9" t="n"/>
      <c r="AQ102" s="27" t="inlineStr">
        <is>
          <t>B01-a PC字段单bit；B01-b arch/phys src/dst字段单bit；B01-c seq字段单bit</t>
        </is>
      </c>
      <c r="AR102" s="39" t="n"/>
      <c r="AS102" s="39">
        <f>IFERROR(AR102/Q102,0)</f>
        <v/>
      </c>
      <c r="AT102" s="39" t="n">
        <v>30</v>
      </c>
      <c r="AU102" s="39" t="n">
        <v>385</v>
      </c>
      <c r="AV102" s="39" t="inlineStr">
        <is>
          <t>常规</t>
        </is>
      </c>
      <c r="AW102" s="39" t="inlineStr">
        <is>
          <t>累计至少385，不机械扩展到2401</t>
        </is>
      </c>
    </row>
    <row r="103" ht="118.0500030517578" customHeight="1">
      <c r="A103" s="6" t="inlineStr">
        <is>
          <t>B01-F2-W5</t>
        </is>
      </c>
      <c r="B103" s="6" t="inlineStr">
        <is>
          <t>B01</t>
        </is>
      </c>
      <c r="C103" s="6" t="inlineStr">
        <is>
          <t>Int Dispatch / ROB</t>
        </is>
      </c>
      <c r="D103" s="6" t="inlineStr">
        <is>
          <t>整数动态指令对应的ROB entry字段：PC、arch/phys src/dst标识符和序号。</t>
        </is>
      </c>
      <c r="E103" s="6" t="inlineStr">
        <is>
          <t>单比特翻转</t>
        </is>
      </c>
      <c r="F103" s="6" t="inlineStr">
        <is>
          <t>在已分配且未提交的整数ROB entry中翻转一个字段bit，按PC/tag/seq分层。每次运行只选一个当前有效字段，在字段内均匀抽1 bit做XOR；保存动态指令ID、原值、故障值和bit编号。仅当故障字段被下游读取/选择/用于状态转移时计activated。触发：ROB中存在有效整数entry。</t>
        </is>
      </c>
      <c r="G103" s="6" t="inlineStr">
        <is>
          <t>F2</t>
        </is>
      </c>
      <c r="H103" s="6" t="inlineStr">
        <is>
          <t>平均每100,000个 eligible events 注入1次，间隔加入±50%抖动</t>
        </is>
      </c>
      <c r="I103" s="6" t="inlineStr">
        <is>
          <t>W5 ROB-Recovery</t>
        </is>
      </c>
      <c r="J103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03" s="6" t="inlineStr">
        <is>
          <t>ROB中存在有效整数entry</t>
        </is>
      </c>
      <c r="L103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03" s="6" t="inlineStr">
        <is>
          <t>复现TC'23时SDC应接近0且Masked/Crash主导；字段扩展后可能发现结构化静默路径</t>
        </is>
      </c>
      <c r="N103" s="6" t="inlineStr">
        <is>
          <t>直接论文复现基线</t>
        </is>
      </c>
      <c r="O103" s="6" t="inlineStr">
        <is>
          <t>TC23直接结果：ROB条件SDC=0</t>
        </is>
      </c>
      <c r="P103" s="9" t="n"/>
      <c r="Q103" s="9" t="n"/>
      <c r="R103" s="9" t="n"/>
      <c r="S103" s="9" t="n"/>
      <c r="T103" s="9" t="n"/>
      <c r="U103" s="9" t="n"/>
      <c r="V103" s="9" t="n"/>
      <c r="W103" s="9" t="n"/>
      <c r="X103" s="12">
        <f>IF(OR(R103="",R103-AP103&lt;=0),"",AB103/(R103-AP103))</f>
        <v/>
      </c>
      <c r="Y103" s="12">
        <f>IFERROR(R103/AR103,0)</f>
        <v/>
      </c>
      <c r="Z103" s="9" t="inlineStr">
        <is>
          <t>待执行</t>
        </is>
      </c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12">
        <f>IF(OR(R103="",R103-AP103&lt;=0),"",AO103/(R103-AP103))</f>
        <v/>
      </c>
      <c r="AM103" s="11">
        <f>IF(R103="","",SUM(AC103:AF103)-(R103-AP103))</f>
        <v/>
      </c>
      <c r="AN103" s="11">
        <f>IF(R103="","",SUM(S103:W103)+AP103-R103)</f>
        <v/>
      </c>
      <c r="AO103" s="9" t="n"/>
      <c r="AP103" s="9" t="n"/>
      <c r="AQ103" s="27" t="inlineStr">
        <is>
          <t>B01-a PC字段单bit；B01-b arch/phys src/dst字段单bit；B01-c seq字段单bit</t>
        </is>
      </c>
      <c r="AR103" s="39" t="n"/>
      <c r="AS103" s="39">
        <f>IFERROR(AR103/Q103,0)</f>
        <v/>
      </c>
      <c r="AT103" s="39" t="n">
        <v>30</v>
      </c>
      <c r="AU103" s="39" t="n">
        <v>385</v>
      </c>
      <c r="AV103" s="39" t="inlineStr">
        <is>
          <t>常规</t>
        </is>
      </c>
      <c r="AW103" s="39" t="inlineStr">
        <is>
          <t>累计至少385，不机械扩展到2401</t>
        </is>
      </c>
    </row>
    <row r="104" ht="118.0500030517578" customHeight="1">
      <c r="A104" s="6" t="inlineStr">
        <is>
          <t>B02-F0-W1</t>
        </is>
      </c>
      <c r="B104" s="6" t="inlineStr">
        <is>
          <t>B02</t>
        </is>
      </c>
      <c r="C104" s="6" t="inlineStr">
        <is>
          <t>Int Dispatch / ROB</t>
        </is>
      </c>
      <c r="D104" s="6" t="inlineStr">
        <is>
          <t>同一整数ROB entry的PC/tag/seq字段。</t>
        </is>
      </c>
      <c r="E104" s="6" t="inlineStr">
        <is>
          <t>双比特翻转</t>
        </is>
      </c>
      <c r="F104" s="6" t="inlineStr">
        <is>
          <t>同一字段双bit翻转，并区分相邻/非相邻。同一字段同时翻转2个不同bit，50%相邻、50%非相邻；两bit在同一事件生效，不与其他字段叠加。保存bit距离和原/故障值。仅当字段被消费时计activated。触发：ROB中存在有效整数entry。</t>
        </is>
      </c>
      <c r="G104" s="6" t="inlineStr">
        <is>
          <t>F0</t>
        </is>
      </c>
      <c r="H104" s="6" t="inlineStr">
        <is>
          <t>每次运行只注入1次；warm-up后在 eligible event 中均匀抽样</t>
        </is>
      </c>
      <c r="I104" s="6" t="inlineStr">
        <is>
          <t>W1 MiBench-TC23</t>
        </is>
      </c>
      <c r="J104" s="6" t="inlineStr">
        <is>
          <t>MiBench-TC23（公开/论文复现）
执行定义与oracle：blowfish、patricia、fft、gsm、dijkstra、rijndael、sha、bitcount、edge、smooth；最大输入集；输出与 golden 比对</t>
        </is>
      </c>
      <c r="K104" s="6" t="inlineStr">
        <is>
          <t>ROB中存在有效整数entry</t>
        </is>
      </c>
      <c r="L104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04" s="6" t="inlineStr">
        <is>
          <t>比单bit更易触发依赖/范围失败；落入合法tag时仍可能静默</t>
        </is>
      </c>
      <c r="N104" s="6" t="inlineStr">
        <is>
          <t>覆盖MBU并检验TC'23结论对多bit是否稳健</t>
        </is>
      </c>
      <c r="O104" s="6" t="inlineStr">
        <is>
          <t>TC23单bit基线；CHAOS26多bit类比</t>
        </is>
      </c>
      <c r="P104" s="9" t="n"/>
      <c r="Q104" s="9" t="n"/>
      <c r="R104" s="9" t="n"/>
      <c r="S104" s="9" t="n"/>
      <c r="T104" s="9" t="n"/>
      <c r="U104" s="9" t="n"/>
      <c r="V104" s="9" t="n"/>
      <c r="W104" s="9" t="n"/>
      <c r="X104" s="12">
        <f>IF(OR(R104="",R104-AP104&lt;=0),"",AB104/(R104-AP104))</f>
        <v/>
      </c>
      <c r="Y104" s="12">
        <f>IFERROR(R104/AR104,0)</f>
        <v/>
      </c>
      <c r="Z104" s="9" t="inlineStr">
        <is>
          <t>待执行</t>
        </is>
      </c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12">
        <f>IF(OR(R104="",R104-AP104&lt;=0),"",AO104/(R104-AP104))</f>
        <v/>
      </c>
      <c r="AM104" s="11">
        <f>IF(R104="","",SUM(AC104:AF104)-(R104-AP104))</f>
        <v/>
      </c>
      <c r="AN104" s="11">
        <f>IF(R104="","",SUM(S104:W104)+AP104-R104)</f>
        <v/>
      </c>
      <c r="AO104" s="9" t="n"/>
      <c r="AP104" s="9" t="n"/>
      <c r="AQ104" s="27" t="inlineStr">
        <is>
          <t>B02-a 同字段相邻双bit；B02-b 同字段非相邻双bit；按PC/tag/seq字段分层</t>
        </is>
      </c>
      <c r="AR104" s="39" t="n"/>
      <c r="AS104" s="39">
        <f>IFERROR(AR104/Q104,0)</f>
        <v/>
      </c>
      <c r="AT104" s="39" t="n">
        <v>30</v>
      </c>
      <c r="AU104" s="39" t="n">
        <v>385</v>
      </c>
      <c r="AV104" s="39" t="inlineStr">
        <is>
          <t>常规</t>
        </is>
      </c>
      <c r="AW104" s="39" t="inlineStr">
        <is>
          <t>累计至少385，不机械扩展到2401</t>
        </is>
      </c>
    </row>
    <row r="105" ht="118.0500030517578" customHeight="1">
      <c r="A105" s="6" t="inlineStr">
        <is>
          <t>B02-F0-W5</t>
        </is>
      </c>
      <c r="B105" s="6" t="inlineStr">
        <is>
          <t>B02</t>
        </is>
      </c>
      <c r="C105" s="6" t="inlineStr">
        <is>
          <t>Int Dispatch / ROB</t>
        </is>
      </c>
      <c r="D105" s="6" t="inlineStr">
        <is>
          <t>同一整数ROB entry的PC/tag/seq字段。</t>
        </is>
      </c>
      <c r="E105" s="6" t="inlineStr">
        <is>
          <t>双比特翻转</t>
        </is>
      </c>
      <c r="F105" s="6" t="inlineStr">
        <is>
          <t>同一字段双bit翻转，并区分相邻/非相邻。同一字段同时翻转2个不同bit，50%相邻、50%非相邻；两bit在同一事件生效，不与其他字段叠加。保存bit距离和原/故障值。仅当字段被消费时计activated。触发：ROB中存在有效整数entry。</t>
        </is>
      </c>
      <c r="G105" s="6" t="inlineStr">
        <is>
          <t>F0</t>
        </is>
      </c>
      <c r="H105" s="6" t="inlineStr">
        <is>
          <t>每次运行只注入1次；warm-up后在 eligible event 中均匀抽样</t>
        </is>
      </c>
      <c r="I105" s="6" t="inlineStr">
        <is>
          <t>W5 ROB-Recovery</t>
        </is>
      </c>
      <c r="J105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05" s="6" t="inlineStr">
        <is>
          <t>ROB中存在有效整数entry</t>
        </is>
      </c>
      <c r="L105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05" s="6" t="inlineStr">
        <is>
          <t>比单bit更易触发依赖/范围失败；落入合法tag时仍可能静默</t>
        </is>
      </c>
      <c r="N105" s="6" t="inlineStr">
        <is>
          <t>覆盖MBU并检验TC'23结论对多bit是否稳健</t>
        </is>
      </c>
      <c r="O105" s="6" t="inlineStr">
        <is>
          <t>TC23单bit基线；CHAOS26多bit类比</t>
        </is>
      </c>
      <c r="P105" s="9" t="n"/>
      <c r="Q105" s="9" t="n">
        <v>385</v>
      </c>
      <c r="R105" s="9" t="n">
        <v>385</v>
      </c>
      <c r="S105" s="9" t="n">
        <v>385</v>
      </c>
      <c r="T105" s="9" t="n">
        <v>0</v>
      </c>
      <c r="U105" s="9" t="n">
        <v>0</v>
      </c>
      <c r="V105" s="9" t="n">
        <v>0</v>
      </c>
      <c r="W105" s="9" t="n">
        <v>0</v>
      </c>
      <c r="X105" s="41" t="n">
        <v>0</v>
      </c>
      <c r="Y105" s="12">
        <f>IFERROR(R105/AR105,0)</f>
        <v/>
      </c>
      <c r="Z105" s="9" t="inlineStr">
        <is>
          <t>部分证据/待核对</t>
        </is>
      </c>
      <c r="AA105" s="9" t="inlineStr">
        <is>
          <t>[2026-10-12 过渡回填|0201(huawei0201,172.168.178.81)|HEAD bf3d284|binary 1a618953|触发=F0等价(cycle1000 warm-up,max_faults1,首个eligible)] 已覆盖子模型:B02-a(同字段相邻双bit,pc_bitflip2_adj,rob/rob_fill):attempted 385/activated 385/Masked 385/Crash 0/SDC 0/Hang 0(100% Masked)。未运行子模型:B02-b。证据:runs/formal_B02a_robfill/c0000/results.jsonl;artifacts/formal_B02a_robfill/summary.md；[2026-10-12 SDC口径修正] SDC=0（Data Corruption 0+RAS-silent Crash 0+RAS-silent Timeout 0），原始结局计数不变</t>
        </is>
      </c>
      <c r="AB105" s="9" t="n">
        <v>0</v>
      </c>
      <c r="AC105" s="9" t="n">
        <v>0</v>
      </c>
      <c r="AD105" s="9" t="n">
        <v>0</v>
      </c>
      <c r="AE105" s="9" t="n">
        <v>0</v>
      </c>
      <c r="AF105" s="9" t="n">
        <v>385</v>
      </c>
      <c r="AG105" s="9" t="n"/>
      <c r="AH105" s="9" t="n"/>
      <c r="AI105" s="9" t="n">
        <v>0</v>
      </c>
      <c r="AJ105" s="9" t="n">
        <v>0</v>
      </c>
      <c r="AK105" s="9" t="inlineStr">
        <is>
          <t>SE口径首检：Masked及仅由离线oracle发现的Data Corruption→None；架构Crash/已归因Timeout→OS；Hardware RAS任意时点=0（B0无ECC/parity）。OS/Application检出不排除SDC。</t>
        </is>
      </c>
      <c r="AL105" s="41" t="n">
        <v>0</v>
      </c>
      <c r="AM105" s="11" t="n">
        <v>0</v>
      </c>
      <c r="AN105" s="11">
        <f>IF(R105="","",SUM(S105:W105)+AP105-R105)</f>
        <v/>
      </c>
      <c r="AO105" s="9" t="n">
        <v>0</v>
      </c>
      <c r="AP105" s="9" t="n">
        <v>0</v>
      </c>
      <c r="AQ105" s="27" t="inlineStr">
        <is>
          <t>B02-a 同字段相邻双bit；B02-b 同字段非相邻双bit；按PC/tag/seq字段分层</t>
        </is>
      </c>
      <c r="AR105" s="39" t="n"/>
      <c r="AS105" s="39">
        <f>IFERROR(AR105/Q105,0)</f>
        <v/>
      </c>
      <c r="AT105" s="39" t="n">
        <v>30</v>
      </c>
      <c r="AU105" s="39" t="n">
        <v>385</v>
      </c>
      <c r="AV105" s="39" t="inlineStr">
        <is>
          <t>常规</t>
        </is>
      </c>
      <c r="AW105" s="39" t="inlineStr">
        <is>
          <t>累计至少385，不机械扩展到2401</t>
        </is>
      </c>
    </row>
    <row r="106" ht="118.0500030517578" customHeight="1">
      <c r="A106" s="6" t="inlineStr">
        <is>
          <t>B02-F2-W1</t>
        </is>
      </c>
      <c r="B106" s="6" t="inlineStr">
        <is>
          <t>B02</t>
        </is>
      </c>
      <c r="C106" s="6" t="inlineStr">
        <is>
          <t>Int Dispatch / ROB</t>
        </is>
      </c>
      <c r="D106" s="6" t="inlineStr">
        <is>
          <t>同一整数ROB entry的PC/tag/seq字段。</t>
        </is>
      </c>
      <c r="E106" s="6" t="inlineStr">
        <is>
          <t>双比特翻转</t>
        </is>
      </c>
      <c r="F106" s="6" t="inlineStr">
        <is>
          <t>同一字段双bit翻转，并区分相邻/非相邻。同一字段同时翻转2个不同bit，50%相邻、50%非相邻；两bit在同一事件生效，不与其他字段叠加。保存bit距离和原/故障值。仅当字段被消费时计activated。触发：ROB中存在有效整数entry。</t>
        </is>
      </c>
      <c r="G106" s="6" t="inlineStr">
        <is>
          <t>F2</t>
        </is>
      </c>
      <c r="H106" s="6" t="inlineStr">
        <is>
          <t>平均每100,000个 eligible events 注入1次，间隔加入±50%抖动</t>
        </is>
      </c>
      <c r="I106" s="6" t="inlineStr">
        <is>
          <t>W1 MiBench-TC23</t>
        </is>
      </c>
      <c r="J106" s="6" t="inlineStr">
        <is>
          <t>MiBench-TC23（公开/论文复现）
执行定义与oracle：blowfish、patricia、fft、gsm、dijkstra、rijndael、sha、bitcount、edge、smooth；最大输入集；输出与 golden 比对</t>
        </is>
      </c>
      <c r="K106" s="6" t="inlineStr">
        <is>
          <t>ROB中存在有效整数entry</t>
        </is>
      </c>
      <c r="L106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06" s="6" t="inlineStr">
        <is>
          <t>比单bit更易触发依赖/范围失败；落入合法tag时仍可能静默</t>
        </is>
      </c>
      <c r="N106" s="6" t="inlineStr">
        <is>
          <t>覆盖MBU并检验TC'23结论对多bit是否稳健</t>
        </is>
      </c>
      <c r="O106" s="6" t="inlineStr">
        <is>
          <t>TC23单bit基线；CHAOS26多bit类比</t>
        </is>
      </c>
      <c r="P106" s="9" t="n"/>
      <c r="Q106" s="9" t="n"/>
      <c r="R106" s="9" t="n"/>
      <c r="S106" s="9" t="n"/>
      <c r="T106" s="9" t="n"/>
      <c r="U106" s="9" t="n"/>
      <c r="V106" s="9" t="n"/>
      <c r="W106" s="9" t="n"/>
      <c r="X106" s="12">
        <f>IF(OR(R106="",R106-AP106&lt;=0),"",AB106/(R106-AP106))</f>
        <v/>
      </c>
      <c r="Y106" s="12">
        <f>IFERROR(R106/AR106,0)</f>
        <v/>
      </c>
      <c r="Z106" s="9" t="inlineStr">
        <is>
          <t>待执行</t>
        </is>
      </c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12">
        <f>IF(OR(R106="",R106-AP106&lt;=0),"",AO106/(R106-AP106))</f>
        <v/>
      </c>
      <c r="AM106" s="11">
        <f>IF(R106="","",SUM(AC106:AF106)-(R106-AP106))</f>
        <v/>
      </c>
      <c r="AN106" s="11">
        <f>IF(R106="","",SUM(S106:W106)+AP106-R106)</f>
        <v/>
      </c>
      <c r="AO106" s="9" t="n"/>
      <c r="AP106" s="9" t="n"/>
      <c r="AQ106" s="27" t="inlineStr">
        <is>
          <t>B02-a 同字段相邻双bit；B02-b 同字段非相邻双bit；按PC/tag/seq字段分层</t>
        </is>
      </c>
      <c r="AR106" s="39" t="n"/>
      <c r="AS106" s="39">
        <f>IFERROR(AR106/Q106,0)</f>
        <v/>
      </c>
      <c r="AT106" s="39" t="n">
        <v>30</v>
      </c>
      <c r="AU106" s="39" t="n">
        <v>385</v>
      </c>
      <c r="AV106" s="39" t="inlineStr">
        <is>
          <t>常规</t>
        </is>
      </c>
      <c r="AW106" s="39" t="inlineStr">
        <is>
          <t>累计至少385，不机械扩展到2401</t>
        </is>
      </c>
    </row>
    <row r="107" ht="118.0500030517578" customHeight="1">
      <c r="A107" s="6" t="inlineStr">
        <is>
          <t>B02-F2-W5</t>
        </is>
      </c>
      <c r="B107" s="6" t="inlineStr">
        <is>
          <t>B02</t>
        </is>
      </c>
      <c r="C107" s="6" t="inlineStr">
        <is>
          <t>Int Dispatch / ROB</t>
        </is>
      </c>
      <c r="D107" s="6" t="inlineStr">
        <is>
          <t>同一整数ROB entry的PC/tag/seq字段。</t>
        </is>
      </c>
      <c r="E107" s="6" t="inlineStr">
        <is>
          <t>双比特翻转</t>
        </is>
      </c>
      <c r="F107" s="6" t="inlineStr">
        <is>
          <t>同一字段双bit翻转，并区分相邻/非相邻。同一字段同时翻转2个不同bit，50%相邻、50%非相邻；两bit在同一事件生效，不与其他字段叠加。保存bit距离和原/故障值。仅当字段被消费时计activated。触发：ROB中存在有效整数entry。</t>
        </is>
      </c>
      <c r="G107" s="6" t="inlineStr">
        <is>
          <t>F2</t>
        </is>
      </c>
      <c r="H107" s="6" t="inlineStr">
        <is>
          <t>平均每100,000个 eligible events 注入1次，间隔加入±50%抖动</t>
        </is>
      </c>
      <c r="I107" s="6" t="inlineStr">
        <is>
          <t>W5 ROB-Recovery</t>
        </is>
      </c>
      <c r="J107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07" s="6" t="inlineStr">
        <is>
          <t>ROB中存在有效整数entry</t>
        </is>
      </c>
      <c r="L107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07" s="6" t="inlineStr">
        <is>
          <t>比单bit更易触发依赖/范围失败；落入合法tag时仍可能静默</t>
        </is>
      </c>
      <c r="N107" s="6" t="inlineStr">
        <is>
          <t>覆盖MBU并检验TC'23结论对多bit是否稳健</t>
        </is>
      </c>
      <c r="O107" s="6" t="inlineStr">
        <is>
          <t>TC23单bit基线；CHAOS26多bit类比</t>
        </is>
      </c>
      <c r="P107" s="9" t="n"/>
      <c r="Q107" s="9" t="n"/>
      <c r="R107" s="9" t="n"/>
      <c r="S107" s="9" t="n"/>
      <c r="T107" s="9" t="n"/>
      <c r="U107" s="9" t="n"/>
      <c r="V107" s="9" t="n"/>
      <c r="W107" s="9" t="n"/>
      <c r="X107" s="12">
        <f>IF(OR(R107="",R107-AP107&lt;=0),"",AB107/(R107-AP107))</f>
        <v/>
      </c>
      <c r="Y107" s="12">
        <f>IFERROR(R107/AR107,0)</f>
        <v/>
      </c>
      <c r="Z107" s="9" t="inlineStr">
        <is>
          <t>待执行</t>
        </is>
      </c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12">
        <f>IF(OR(R107="",R107-AP107&lt;=0),"",AO107/(R107-AP107))</f>
        <v/>
      </c>
      <c r="AM107" s="11">
        <f>IF(R107="","",SUM(AC107:AF107)-(R107-AP107))</f>
        <v/>
      </c>
      <c r="AN107" s="11">
        <f>IF(R107="","",SUM(S107:W107)+AP107-R107)</f>
        <v/>
      </c>
      <c r="AO107" s="9" t="n"/>
      <c r="AP107" s="9" t="n"/>
      <c r="AQ107" s="27" t="inlineStr">
        <is>
          <t>B02-a 同字段相邻双bit；B02-b 同字段非相邻双bit；按PC/tag/seq字段分层</t>
        </is>
      </c>
      <c r="AR107" s="39" t="n"/>
      <c r="AS107" s="39">
        <f>IFERROR(AR107/Q107,0)</f>
        <v/>
      </c>
      <c r="AT107" s="39" t="n">
        <v>30</v>
      </c>
      <c r="AU107" s="39" t="n">
        <v>385</v>
      </c>
      <c r="AV107" s="39" t="inlineStr">
        <is>
          <t>常规</t>
        </is>
      </c>
      <c r="AW107" s="39" t="inlineStr">
        <is>
          <t>累计至少385，不机械扩展到2401</t>
        </is>
      </c>
    </row>
    <row r="108" ht="118.0500030517578" customHeight="1">
      <c r="A108" s="6" t="inlineStr">
        <is>
          <t>B03-F0-W5</t>
        </is>
      </c>
      <c r="B108" s="6" t="inlineStr">
        <is>
          <t>B03</t>
        </is>
      </c>
      <c r="C108" s="6" t="inlineStr">
        <is>
          <t>Int Dispatch / ROB</t>
        </is>
      </c>
      <c r="D108" s="6" t="inlineStr">
        <is>
          <t>ROB entry中的arch/phys目的tag、PC或opcode摘要。</t>
        </is>
      </c>
      <c r="E108" s="6" t="inlineStr">
        <is>
          <t>换值</t>
        </is>
      </c>
      <c r="F108" s="6" t="inlineStr">
        <is>
          <t>把一个字段替换为另一在飞整数entry的同类合法值；PC、tag、opcode摘要独立执行。从当前有效且生命周期合法的候选集合中选择另一个合法值；禁止空闲、越界或编码非法候选。保存source/target和候选集大小。仅当替换值被消费时计activated。触发：ROB中至少两个兼容有效entry。</t>
        </is>
      </c>
      <c r="G108" s="6" t="inlineStr">
        <is>
          <t>F0</t>
        </is>
      </c>
      <c r="H108" s="6" t="inlineStr">
        <is>
          <t>每次运行只注入1次；warm-up后在 eligible event 中均匀抽样</t>
        </is>
      </c>
      <c r="I108" s="6" t="inlineStr">
        <is>
          <t>W5 ROB-Recovery</t>
        </is>
      </c>
      <c r="J108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08" s="6" t="inlineStr">
        <is>
          <t>ROB中至少两个兼容有效entry</t>
        </is>
      </c>
      <c r="L108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08" s="6" t="inlineStr">
        <is>
          <t>合法字段替换可能绕开越界检查；tag错配可能错误释放/提交，预期比随机bit更容易SDC</t>
        </is>
      </c>
      <c r="N108" s="6" t="inlineStr">
        <is>
          <t>直接挑战随机翻转主要导致Crash的选择偏差</t>
        </is>
      </c>
      <c r="O108" s="6" t="inlineStr">
        <is>
          <t>本方案结构化模型；TC23机制对照</t>
        </is>
      </c>
      <c r="P108" s="9" t="n"/>
      <c r="Q108" s="9" t="n"/>
      <c r="R108" s="9" t="n"/>
      <c r="S108" s="9" t="n"/>
      <c r="T108" s="9" t="n"/>
      <c r="U108" s="9" t="n"/>
      <c r="V108" s="9" t="n"/>
      <c r="W108" s="9" t="n"/>
      <c r="X108" s="12">
        <f>IF(OR(R108="",R108-AP108&lt;=0),"",AB108/(R108-AP108))</f>
        <v/>
      </c>
      <c r="Y108" s="12">
        <f>IFERROR(R108/AR108,0)</f>
        <v/>
      </c>
      <c r="Z108" s="9" t="inlineStr">
        <is>
          <t>待执行</t>
        </is>
      </c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12">
        <f>IF(OR(R108="",R108-AP108&lt;=0),"",AO108/(R108-AP108))</f>
        <v/>
      </c>
      <c r="AM108" s="11">
        <f>IF(R108="","",SUM(AC108:AF108)-(R108-AP108))</f>
        <v/>
      </c>
      <c r="AN108" s="11">
        <f>IF(R108="","",SUM(S108:W108)+AP108-R108)</f>
        <v/>
      </c>
      <c r="AO108" s="9" t="n"/>
      <c r="AP108" s="9" t="n"/>
      <c r="AQ108" s="27" t="inlineStr">
        <is>
          <t>B03-a arch/phys目的tag合法换值；B03-b PC合法换值；B03-c opcode摘要合法换值；子模型分开统计</t>
        </is>
      </c>
      <c r="AR108" s="39" t="n"/>
      <c r="AS108" s="39">
        <f>IFERROR(AR108/Q108,0)</f>
        <v/>
      </c>
      <c r="AT108" s="39" t="n">
        <v>30</v>
      </c>
      <c r="AU108" s="39" t="n">
        <v>385</v>
      </c>
      <c r="AV108" s="39" t="inlineStr">
        <is>
          <t>常规</t>
        </is>
      </c>
      <c r="AW108" s="39" t="inlineStr">
        <is>
          <t>累计至少385，不机械扩展到2401</t>
        </is>
      </c>
    </row>
    <row r="109" ht="118.0500030517578" customHeight="1">
      <c r="A109" s="6" t="inlineStr">
        <is>
          <t>B03-F0-W7</t>
        </is>
      </c>
      <c r="B109" s="6" t="inlineStr">
        <is>
          <t>B03</t>
        </is>
      </c>
      <c r="C109" s="6" t="inlineStr">
        <is>
          <t>Int Dispatch / ROB</t>
        </is>
      </c>
      <c r="D109" s="6" t="inlineStr">
        <is>
          <t>ROB entry中的arch/phys目的tag、PC或opcode摘要。</t>
        </is>
      </c>
      <c r="E109" s="6" t="inlineStr">
        <is>
          <t>换值</t>
        </is>
      </c>
      <c r="F109" s="6" t="inlineStr">
        <is>
          <t>把一个字段替换为另一在飞整数entry的同类合法值；PC、tag、opcode摘要独立执行。从当前有效且生命周期合法的候选集合中选择另一个合法值；禁止空闲、越界或编码非法候选。保存source/target和候选集大小。仅当替换值被消费时计activated。触发：ROB中至少两个兼容有效entry。</t>
        </is>
      </c>
      <c r="G109" s="6" t="inlineStr">
        <is>
          <t>F0</t>
        </is>
      </c>
      <c r="H109" s="6" t="inlineStr">
        <is>
          <t>每次运行只注入1次；warm-up后在 eligible event 中均匀抽样</t>
        </is>
      </c>
      <c r="I109" s="6" t="inlineStr">
        <is>
          <t>W7 GAP-Selected</t>
        </is>
      </c>
      <c r="J109" s="6" t="inlineStr">
        <is>
          <t>GAP-Selected（公开通用）
执行定义与oracle：BFS、SSSP、PageRank；固定图和结果 hash；制造不规则依赖、长延迟和 ROB 压力</t>
        </is>
      </c>
      <c r="K109" s="6" t="inlineStr">
        <is>
          <t>ROB中至少两个兼容有效entry</t>
        </is>
      </c>
      <c r="L109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09" s="6" t="inlineStr">
        <is>
          <t>合法字段替换可能绕开越界检查；tag错配可能错误释放/提交，预期比随机bit更容易SDC</t>
        </is>
      </c>
      <c r="N109" s="6" t="inlineStr">
        <is>
          <t>直接挑战随机翻转主要导致Crash的选择偏差</t>
        </is>
      </c>
      <c r="O109" s="6" t="inlineStr">
        <is>
          <t>本方案结构化模型；TC23机制对照</t>
        </is>
      </c>
      <c r="P109" s="9" t="n"/>
      <c r="Q109" s="9" t="n"/>
      <c r="R109" s="9" t="n"/>
      <c r="S109" s="9" t="n"/>
      <c r="T109" s="9" t="n"/>
      <c r="U109" s="9" t="n"/>
      <c r="V109" s="9" t="n"/>
      <c r="W109" s="9" t="n"/>
      <c r="X109" s="12">
        <f>IF(OR(R109="",R109-AP109&lt;=0),"",AB109/(R109-AP109))</f>
        <v/>
      </c>
      <c r="Y109" s="12">
        <f>IFERROR(R109/AR109,0)</f>
        <v/>
      </c>
      <c r="Z109" s="9" t="inlineStr">
        <is>
          <t>待执行</t>
        </is>
      </c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12">
        <f>IF(OR(R109="",R109-AP109&lt;=0),"",AO109/(R109-AP109))</f>
        <v/>
      </c>
      <c r="AM109" s="11">
        <f>IF(R109="","",SUM(AC109:AF109)-(R109-AP109))</f>
        <v/>
      </c>
      <c r="AN109" s="11">
        <f>IF(R109="","",SUM(S109:W109)+AP109-R109)</f>
        <v/>
      </c>
      <c r="AO109" s="9" t="n"/>
      <c r="AP109" s="9" t="n"/>
      <c r="AQ109" s="27" t="inlineStr">
        <is>
          <t>B03-a arch/phys目的tag合法换值；B03-b PC合法换值；B03-c opcode摘要合法换值；子模型分开统计</t>
        </is>
      </c>
      <c r="AR109" s="39" t="n"/>
      <c r="AS109" s="39">
        <f>IFERROR(AR109/Q109,0)</f>
        <v/>
      </c>
      <c r="AT109" s="39" t="n">
        <v>30</v>
      </c>
      <c r="AU109" s="39" t="n">
        <v>385</v>
      </c>
      <c r="AV109" s="39" t="inlineStr">
        <is>
          <t>常规</t>
        </is>
      </c>
      <c r="AW109" s="39" t="inlineStr">
        <is>
          <t>累计至少385，不机械扩展到2401</t>
        </is>
      </c>
    </row>
    <row r="110" ht="118.0500030517578" customHeight="1">
      <c r="A110" s="6" t="inlineStr">
        <is>
          <t>B03-F2-W5</t>
        </is>
      </c>
      <c r="B110" s="6" t="inlineStr">
        <is>
          <t>B03</t>
        </is>
      </c>
      <c r="C110" s="6" t="inlineStr">
        <is>
          <t>Int Dispatch / ROB</t>
        </is>
      </c>
      <c r="D110" s="6" t="inlineStr">
        <is>
          <t>ROB entry中的arch/phys目的tag、PC或opcode摘要。</t>
        </is>
      </c>
      <c r="E110" s="6" t="inlineStr">
        <is>
          <t>换值</t>
        </is>
      </c>
      <c r="F110" s="6" t="inlineStr">
        <is>
          <t>把一个字段替换为另一在飞整数entry的同类合法值；PC、tag、opcode摘要独立执行。从当前有效且生命周期合法的候选集合中选择另一个合法值；禁止空闲、越界或编码非法候选。保存source/target和候选集大小。仅当替换值被消费时计activated。触发：ROB中至少两个兼容有效entry。</t>
        </is>
      </c>
      <c r="G110" s="6" t="inlineStr">
        <is>
          <t>F2</t>
        </is>
      </c>
      <c r="H110" s="6" t="inlineStr">
        <is>
          <t>平均每100,000个 eligible events 注入1次，间隔加入±50%抖动</t>
        </is>
      </c>
      <c r="I110" s="6" t="inlineStr">
        <is>
          <t>W5 ROB-Recovery</t>
        </is>
      </c>
      <c r="J110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10" s="6" t="inlineStr">
        <is>
          <t>ROB中至少两个兼容有效entry</t>
        </is>
      </c>
      <c r="L110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10" s="6" t="inlineStr">
        <is>
          <t>合法字段替换可能绕开越界检查；tag错配可能错误释放/提交，预期比随机bit更容易SDC</t>
        </is>
      </c>
      <c r="N110" s="6" t="inlineStr">
        <is>
          <t>直接挑战随机翻转主要导致Crash的选择偏差</t>
        </is>
      </c>
      <c r="O110" s="6" t="inlineStr">
        <is>
          <t>本方案结构化模型；TC23机制对照</t>
        </is>
      </c>
      <c r="P110" s="9" t="n"/>
      <c r="Q110" s="9" t="n"/>
      <c r="R110" s="9" t="n"/>
      <c r="S110" s="9" t="n"/>
      <c r="T110" s="9" t="n"/>
      <c r="U110" s="9" t="n"/>
      <c r="V110" s="9" t="n"/>
      <c r="W110" s="9" t="n"/>
      <c r="X110" s="12">
        <f>IF(OR(R110="",R110-AP110&lt;=0),"",AB110/(R110-AP110))</f>
        <v/>
      </c>
      <c r="Y110" s="12">
        <f>IFERROR(R110/AR110,0)</f>
        <v/>
      </c>
      <c r="Z110" s="9" t="inlineStr">
        <is>
          <t>待执行</t>
        </is>
      </c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12">
        <f>IF(OR(R110="",R110-AP110&lt;=0),"",AO110/(R110-AP110))</f>
        <v/>
      </c>
      <c r="AM110" s="11">
        <f>IF(R110="","",SUM(AC110:AF110)-(R110-AP110))</f>
        <v/>
      </c>
      <c r="AN110" s="11">
        <f>IF(R110="","",SUM(S110:W110)+AP110-R110)</f>
        <v/>
      </c>
      <c r="AO110" s="9" t="n"/>
      <c r="AP110" s="9" t="n"/>
      <c r="AQ110" s="27" t="inlineStr">
        <is>
          <t>B03-a arch/phys目的tag合法换值；B03-b PC合法换值；B03-c opcode摘要合法换值；子模型分开统计</t>
        </is>
      </c>
      <c r="AR110" s="39" t="n"/>
      <c r="AS110" s="39">
        <f>IFERROR(AR110/Q110,0)</f>
        <v/>
      </c>
      <c r="AT110" s="39" t="n">
        <v>30</v>
      </c>
      <c r="AU110" s="39" t="n">
        <v>385</v>
      </c>
      <c r="AV110" s="39" t="inlineStr">
        <is>
          <t>常规</t>
        </is>
      </c>
      <c r="AW110" s="39" t="inlineStr">
        <is>
          <t>累计至少385，不机械扩展到2401</t>
        </is>
      </c>
    </row>
    <row r="111" ht="118.0500030517578" customHeight="1">
      <c r="A111" s="6" t="inlineStr">
        <is>
          <t>B03-F2-W7</t>
        </is>
      </c>
      <c r="B111" s="6" t="inlineStr">
        <is>
          <t>B03</t>
        </is>
      </c>
      <c r="C111" s="6" t="inlineStr">
        <is>
          <t>Int Dispatch / ROB</t>
        </is>
      </c>
      <c r="D111" s="6" t="inlineStr">
        <is>
          <t>ROB entry中的arch/phys目的tag、PC或opcode摘要。</t>
        </is>
      </c>
      <c r="E111" s="6" t="inlineStr">
        <is>
          <t>换值</t>
        </is>
      </c>
      <c r="F111" s="6" t="inlineStr">
        <is>
          <t>把一个字段替换为另一在飞整数entry的同类合法值；PC、tag、opcode摘要独立执行。从当前有效且生命周期合法的候选集合中选择另一个合法值；禁止空闲、越界或编码非法候选。保存source/target和候选集大小。仅当替换值被消费时计activated。触发：ROB中至少两个兼容有效entry。</t>
        </is>
      </c>
      <c r="G111" s="6" t="inlineStr">
        <is>
          <t>F2</t>
        </is>
      </c>
      <c r="H111" s="6" t="inlineStr">
        <is>
          <t>平均每100,000个 eligible events 注入1次，间隔加入±50%抖动</t>
        </is>
      </c>
      <c r="I111" s="6" t="inlineStr">
        <is>
          <t>W7 GAP-Selected</t>
        </is>
      </c>
      <c r="J111" s="6" t="inlineStr">
        <is>
          <t>GAP-Selected（公开通用）
执行定义与oracle：BFS、SSSP、PageRank；固定图和结果 hash；制造不规则依赖、长延迟和 ROB 压力</t>
        </is>
      </c>
      <c r="K111" s="6" t="inlineStr">
        <is>
          <t>ROB中至少两个兼容有效entry</t>
        </is>
      </c>
      <c r="L111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11" s="6" t="inlineStr">
        <is>
          <t>合法字段替换可能绕开越界检查；tag错配可能错误释放/提交，预期比随机bit更容易SDC</t>
        </is>
      </c>
      <c r="N111" s="6" t="inlineStr">
        <is>
          <t>直接挑战随机翻转主要导致Crash的选择偏差</t>
        </is>
      </c>
      <c r="O111" s="6" t="inlineStr">
        <is>
          <t>本方案结构化模型；TC23机制对照</t>
        </is>
      </c>
      <c r="P111" s="9" t="n"/>
      <c r="Q111" s="9" t="n"/>
      <c r="R111" s="9" t="n"/>
      <c r="S111" s="9" t="n"/>
      <c r="T111" s="9" t="n"/>
      <c r="U111" s="9" t="n"/>
      <c r="V111" s="9" t="n"/>
      <c r="W111" s="9" t="n"/>
      <c r="X111" s="12">
        <f>IF(OR(R111="",R111-AP111&lt;=0),"",AB111/(R111-AP111))</f>
        <v/>
      </c>
      <c r="Y111" s="12">
        <f>IFERROR(R111/AR111,0)</f>
        <v/>
      </c>
      <c r="Z111" s="9" t="inlineStr">
        <is>
          <t>待执行</t>
        </is>
      </c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12">
        <f>IF(OR(R111="",R111-AP111&lt;=0),"",AO111/(R111-AP111))</f>
        <v/>
      </c>
      <c r="AM111" s="11">
        <f>IF(R111="","",SUM(AC111:AF111)-(R111-AP111))</f>
        <v/>
      </c>
      <c r="AN111" s="11">
        <f>IF(R111="","",SUM(S111:W111)+AP111-R111)</f>
        <v/>
      </c>
      <c r="AO111" s="9" t="n"/>
      <c r="AP111" s="9" t="n"/>
      <c r="AQ111" s="27" t="inlineStr">
        <is>
          <t>B03-a arch/phys目的tag合法换值；B03-b PC合法换值；B03-c opcode摘要合法换值；子模型分开统计</t>
        </is>
      </c>
      <c r="AR111" s="39" t="n"/>
      <c r="AS111" s="39">
        <f>IFERROR(AR111/Q111,0)</f>
        <v/>
      </c>
      <c r="AT111" s="39" t="n">
        <v>30</v>
      </c>
      <c r="AU111" s="39" t="n">
        <v>385</v>
      </c>
      <c r="AV111" s="39" t="inlineStr">
        <is>
          <t>常规</t>
        </is>
      </c>
      <c r="AW111" s="39" t="inlineStr">
        <is>
          <t>累计至少385，不机械扩展到2401</t>
        </is>
      </c>
    </row>
    <row r="112" ht="118.0500030517578" customHeight="1">
      <c r="A112" s="6" t="inlineStr">
        <is>
          <t>B03-F6-W5</t>
        </is>
      </c>
      <c r="B112" s="6" t="inlineStr">
        <is>
          <t>B03</t>
        </is>
      </c>
      <c r="C112" s="6" t="inlineStr">
        <is>
          <t>Int Dispatch / ROB</t>
        </is>
      </c>
      <c r="D112" s="6" t="inlineStr">
        <is>
          <t>ROB entry中的arch/phys目的tag、PC或opcode摘要。</t>
        </is>
      </c>
      <c r="E112" s="6" t="inlineStr">
        <is>
          <t>换值</t>
        </is>
      </c>
      <c r="F112" s="6" t="inlineStr">
        <is>
          <t>把一个字段替换为另一在飞整数entry的同类合法值；PC、tag、opcode摘要独立执行。从当前有效且生命周期合法的候选集合中选择另一个合法值；禁止空闲、越界或编码非法候选。保存source/target和候选集大小。仅当替换值被消费时计activated。触发：ROB中至少两个兼容有效entry。</t>
        </is>
      </c>
      <c r="G112" s="6" t="inlineStr">
        <is>
          <t>F6</t>
        </is>
      </c>
      <c r="H112" s="6" t="inlineStr">
        <is>
          <t>首次出现指定稀有事件时注入1次，保证结构化模型被激活</t>
        </is>
      </c>
      <c r="I112" s="6" t="inlineStr">
        <is>
          <t>W5 ROB-Recovery</t>
        </is>
      </c>
      <c r="J112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12" s="6" t="inlineStr">
        <is>
          <t>ROB中至少两个兼容有效entry</t>
        </is>
      </c>
      <c r="L112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12" s="6" t="inlineStr">
        <is>
          <t>合法字段替换可能绕开越界检查；tag错配可能错误释放/提交，预期比随机bit更容易SDC</t>
        </is>
      </c>
      <c r="N112" s="6" t="inlineStr">
        <is>
          <t>直接挑战随机翻转主要导致Crash的选择偏差</t>
        </is>
      </c>
      <c r="O112" s="6" t="inlineStr">
        <is>
          <t>本方案结构化模型；TC23机制对照</t>
        </is>
      </c>
      <c r="P112" s="9" t="n"/>
      <c r="Q112" s="9" t="n"/>
      <c r="R112" s="9" t="n"/>
      <c r="S112" s="9" t="n"/>
      <c r="T112" s="9" t="n"/>
      <c r="U112" s="9" t="n"/>
      <c r="V112" s="9" t="n"/>
      <c r="W112" s="9" t="n"/>
      <c r="X112" s="12">
        <f>IF(OR(R112="",R112-AP112&lt;=0),"",AB112/(R112-AP112))</f>
        <v/>
      </c>
      <c r="Y112" s="12">
        <f>IFERROR(R112/AR112,0)</f>
        <v/>
      </c>
      <c r="Z112" s="9" t="inlineStr">
        <is>
          <t>待执行</t>
        </is>
      </c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12">
        <f>IF(OR(R112="",R112-AP112&lt;=0),"",AO112/(R112-AP112))</f>
        <v/>
      </c>
      <c r="AM112" s="11">
        <f>IF(R112="","",SUM(AC112:AF112)-(R112-AP112))</f>
        <v/>
      </c>
      <c r="AN112" s="11">
        <f>IF(R112="","",SUM(S112:W112)+AP112-R112)</f>
        <v/>
      </c>
      <c r="AO112" s="9" t="n"/>
      <c r="AP112" s="9" t="n"/>
      <c r="AQ112" s="27" t="inlineStr">
        <is>
          <t>B03-a arch/phys目的tag合法换值；B03-b PC合法换值；B03-c opcode摘要合法换值；子模型分开统计</t>
        </is>
      </c>
      <c r="AR112" s="39" t="n"/>
      <c r="AS112" s="39">
        <f>IFERROR(AR112/Q112,0)</f>
        <v/>
      </c>
      <c r="AT112" s="39" t="n">
        <v>30</v>
      </c>
      <c r="AU112" s="39" t="n">
        <v>385</v>
      </c>
      <c r="AV112" s="39" t="inlineStr">
        <is>
          <t>常规</t>
        </is>
      </c>
      <c r="AW112" s="39" t="inlineStr">
        <is>
          <t>累计至少385，不机械扩展到2401</t>
        </is>
      </c>
    </row>
    <row r="113" ht="118.0500030517578" customHeight="1">
      <c r="A113" s="6" t="inlineStr">
        <is>
          <t>B03-F6-W7</t>
        </is>
      </c>
      <c r="B113" s="6" t="inlineStr">
        <is>
          <t>B03</t>
        </is>
      </c>
      <c r="C113" s="6" t="inlineStr">
        <is>
          <t>Int Dispatch / ROB</t>
        </is>
      </c>
      <c r="D113" s="6" t="inlineStr">
        <is>
          <t>ROB entry中的arch/phys目的tag、PC或opcode摘要。</t>
        </is>
      </c>
      <c r="E113" s="6" t="inlineStr">
        <is>
          <t>换值</t>
        </is>
      </c>
      <c r="F113" s="6" t="inlineStr">
        <is>
          <t>把一个字段替换为另一在飞整数entry的同类合法值；PC、tag、opcode摘要独立执行。从当前有效且生命周期合法的候选集合中选择另一个合法值；禁止空闲、越界或编码非法候选。保存source/target和候选集大小。仅当替换值被消费时计activated。触发：ROB中至少两个兼容有效entry。</t>
        </is>
      </c>
      <c r="G113" s="6" t="inlineStr">
        <is>
          <t>F6</t>
        </is>
      </c>
      <c r="H113" s="6" t="inlineStr">
        <is>
          <t>首次出现指定稀有事件时注入1次，保证结构化模型被激活</t>
        </is>
      </c>
      <c r="I113" s="6" t="inlineStr">
        <is>
          <t>W7 GAP-Selected</t>
        </is>
      </c>
      <c r="J113" s="6" t="inlineStr">
        <is>
          <t>GAP-Selected（公开通用）
执行定义与oracle：BFS、SSSP、PageRank；固定图和结果 hash；制造不规则依赖、长延迟和 ROB 压力</t>
        </is>
      </c>
      <c r="K113" s="6" t="inlineStr">
        <is>
          <t>ROB中至少两个兼容有效entry</t>
        </is>
      </c>
      <c r="L113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13" s="6" t="inlineStr">
        <is>
          <t>合法字段替换可能绕开越界检查；tag错配可能错误释放/提交，预期比随机bit更容易SDC</t>
        </is>
      </c>
      <c r="N113" s="6" t="inlineStr">
        <is>
          <t>直接挑战随机翻转主要导致Crash的选择偏差</t>
        </is>
      </c>
      <c r="O113" s="6" t="inlineStr">
        <is>
          <t>本方案结构化模型；TC23机制对照</t>
        </is>
      </c>
      <c r="P113" s="9" t="n"/>
      <c r="Q113" s="9" t="n"/>
      <c r="R113" s="9" t="n"/>
      <c r="S113" s="9" t="n"/>
      <c r="T113" s="9" t="n"/>
      <c r="U113" s="9" t="n"/>
      <c r="V113" s="9" t="n"/>
      <c r="W113" s="9" t="n"/>
      <c r="X113" s="12">
        <f>IF(OR(R113="",R113-AP113&lt;=0),"",AB113/(R113-AP113))</f>
        <v/>
      </c>
      <c r="Y113" s="12">
        <f>IFERROR(R113/AR113,0)</f>
        <v/>
      </c>
      <c r="Z113" s="9" t="inlineStr">
        <is>
          <t>待执行</t>
        </is>
      </c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12">
        <f>IF(OR(R113="",R113-AP113&lt;=0),"",AO113/(R113-AP113))</f>
        <v/>
      </c>
      <c r="AM113" s="11">
        <f>IF(R113="","",SUM(AC113:AF113)-(R113-AP113))</f>
        <v/>
      </c>
      <c r="AN113" s="11">
        <f>IF(R113="","",SUM(S113:W113)+AP113-R113)</f>
        <v/>
      </c>
      <c r="AO113" s="9" t="n"/>
      <c r="AP113" s="9" t="n"/>
      <c r="AQ113" s="27" t="inlineStr">
        <is>
          <t>B03-a arch/phys目的tag合法换值；B03-b PC合法换值；B03-c opcode摘要合法换值；子模型分开统计</t>
        </is>
      </c>
      <c r="AR113" s="39" t="n"/>
      <c r="AS113" s="39">
        <f>IFERROR(AR113/Q113,0)</f>
        <v/>
      </c>
      <c r="AT113" s="39" t="n">
        <v>30</v>
      </c>
      <c r="AU113" s="39" t="n">
        <v>385</v>
      </c>
      <c r="AV113" s="39" t="inlineStr">
        <is>
          <t>常规</t>
        </is>
      </c>
      <c r="AW113" s="39" t="inlineStr">
        <is>
          <t>累计至少385，不机械扩展到2401</t>
        </is>
      </c>
    </row>
    <row r="114" ht="118.0500030517578" customHeight="1">
      <c r="A114" s="6" t="inlineStr">
        <is>
          <t>B04-F0-W5</t>
        </is>
      </c>
      <c r="B114" s="6" t="inlineStr">
        <is>
          <t>B04</t>
        </is>
      </c>
      <c r="C114" s="6" t="inlineStr">
        <is>
          <t>Int Dispatch / ROB</t>
        </is>
      </c>
      <c r="D114" s="6" t="inlineStr">
        <is>
          <t>ROB valid、issued、executed/complete、canCommit等生命周期状态。</t>
        </is>
      </c>
      <c r="E114" s="6" t="inlineStr">
        <is>
          <t>状态</t>
        </is>
      </c>
      <c r="F114" s="6" t="inlineStr">
        <is>
          <t>伪造complete/canCommit、清除valid、丢失executed或提前释放entry。清零、伪造、提前置位和延后清除分成独立子模型，每次运行只改变一种状态转移；记录前后状态机轨迹和关联动态指令。仅当错误状态参与仲裁/转移时计activated。触发：目标entry处于相邻生命周期状态。</t>
        </is>
      </c>
      <c r="G114" s="6" t="inlineStr">
        <is>
          <t>F0</t>
        </is>
      </c>
      <c r="H114" s="6" t="inlineStr">
        <is>
          <t>每次运行只注入1次；warm-up后在 eligible event 中均匀抽样</t>
        </is>
      </c>
      <c r="I114" s="6" t="inlineStr">
        <is>
          <t>W5 ROB-Recovery</t>
        </is>
      </c>
      <c r="J114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14" s="6" t="inlineStr">
        <is>
          <t>目标entry处于相邻生命周期状态</t>
        </is>
      </c>
      <c r="L114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14" s="6" t="inlineStr">
        <is>
          <t>提前complete可能提交旧/未写回值并SDC；清除/丢失多为漏提交或Timeout</t>
        </is>
      </c>
      <c r="N114" s="6" t="inlineStr">
        <is>
          <t>状态位比数据字段更贴合ROB职责</t>
        </is>
      </c>
      <c r="O114" s="6" t="inlineStr">
        <is>
          <t>本方案结构化模型</t>
        </is>
      </c>
      <c r="P114" s="9" t="n"/>
      <c r="Q114" s="9" t="n"/>
      <c r="R114" s="9" t="n"/>
      <c r="S114" s="9" t="n"/>
      <c r="T114" s="9" t="n"/>
      <c r="U114" s="9" t="n"/>
      <c r="V114" s="9" t="n"/>
      <c r="W114" s="9" t="n"/>
      <c r="X114" s="12">
        <f>IF(OR(R114="",R114-AP114&lt;=0),"",AB114/(R114-AP114))</f>
        <v/>
      </c>
      <c r="Y114" s="12">
        <f>IFERROR(R114/AR114,0)</f>
        <v/>
      </c>
      <c r="Z114" s="9" t="inlineStr">
        <is>
          <t>待执行</t>
        </is>
      </c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12">
        <f>IF(OR(R114="",R114-AP114&lt;=0),"",AO114/(R114-AP114))</f>
        <v/>
      </c>
      <c r="AM114" s="11">
        <f>IF(R114="","",SUM(AC114:AF114)-(R114-AP114))</f>
        <v/>
      </c>
      <c r="AN114" s="11">
        <f>IF(R114="","",SUM(S114:W114)+AP114-R114)</f>
        <v/>
      </c>
      <c r="AO114" s="9" t="n"/>
      <c r="AP114" s="9" t="n"/>
      <c r="AQ114" s="27" t="inlineStr">
        <is>
          <t>B04-a 伪造complete/canCommit；B04-b 清除valid；B04-c 丢失executed；B04-d 提前释放entry</t>
        </is>
      </c>
      <c r="AR114" s="39" t="n"/>
      <c r="AS114" s="39">
        <f>IFERROR(AR114/Q114,0)</f>
        <v/>
      </c>
      <c r="AT114" s="39" t="n">
        <v>30</v>
      </c>
      <c r="AU114" s="39" t="n">
        <v>385</v>
      </c>
      <c r="AV114" s="39" t="inlineStr">
        <is>
          <t>常规</t>
        </is>
      </c>
      <c r="AW114" s="39" t="inlineStr">
        <is>
          <t>累计至少385，不机械扩展到2401</t>
        </is>
      </c>
    </row>
    <row r="115" ht="118.0500030517578" customHeight="1">
      <c r="A115" s="6" t="inlineStr">
        <is>
          <t>B04-F0-W7</t>
        </is>
      </c>
      <c r="B115" s="6" t="inlineStr">
        <is>
          <t>B04</t>
        </is>
      </c>
      <c r="C115" s="6" t="inlineStr">
        <is>
          <t>Int Dispatch / ROB</t>
        </is>
      </c>
      <c r="D115" s="6" t="inlineStr">
        <is>
          <t>ROB valid、issued、executed/complete、canCommit等生命周期状态。</t>
        </is>
      </c>
      <c r="E115" s="6" t="inlineStr">
        <is>
          <t>状态</t>
        </is>
      </c>
      <c r="F115" s="6" t="inlineStr">
        <is>
          <t>伪造complete/canCommit、清除valid、丢失executed或提前释放entry。清零、伪造、提前置位和延后清除分成独立子模型，每次运行只改变一种状态转移；记录前后状态机轨迹和关联动态指令。仅当错误状态参与仲裁/转移时计activated。触发：目标entry处于相邻生命周期状态。</t>
        </is>
      </c>
      <c r="G115" s="6" t="inlineStr">
        <is>
          <t>F0</t>
        </is>
      </c>
      <c r="H115" s="6" t="inlineStr">
        <is>
          <t>每次运行只注入1次；warm-up后在 eligible event 中均匀抽样</t>
        </is>
      </c>
      <c r="I115" s="6" t="inlineStr">
        <is>
          <t>W7 GAP-Selected</t>
        </is>
      </c>
      <c r="J115" s="6" t="inlineStr">
        <is>
          <t>GAP-Selected（公开通用）
执行定义与oracle：BFS、SSSP、PageRank；固定图和结果 hash；制造不规则依赖、长延迟和 ROB 压力</t>
        </is>
      </c>
      <c r="K115" s="6" t="inlineStr">
        <is>
          <t>目标entry处于相邻生命周期状态</t>
        </is>
      </c>
      <c r="L115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15" s="6" t="inlineStr">
        <is>
          <t>提前complete可能提交旧/未写回值并SDC；清除/丢失多为漏提交或Timeout</t>
        </is>
      </c>
      <c r="N115" s="6" t="inlineStr">
        <is>
          <t>状态位比数据字段更贴合ROB职责</t>
        </is>
      </c>
      <c r="O115" s="6" t="inlineStr">
        <is>
          <t>本方案结构化模型</t>
        </is>
      </c>
      <c r="P115" s="9" t="n"/>
      <c r="Q115" s="9" t="n"/>
      <c r="R115" s="9" t="n"/>
      <c r="S115" s="9" t="n"/>
      <c r="T115" s="9" t="n"/>
      <c r="U115" s="9" t="n"/>
      <c r="V115" s="9" t="n"/>
      <c r="W115" s="9" t="n"/>
      <c r="X115" s="12">
        <f>IF(OR(R115="",R115-AP115&lt;=0),"",AB115/(R115-AP115))</f>
        <v/>
      </c>
      <c r="Y115" s="12">
        <f>IFERROR(R115/AR115,0)</f>
        <v/>
      </c>
      <c r="Z115" s="9" t="inlineStr">
        <is>
          <t>待执行</t>
        </is>
      </c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12">
        <f>IF(OR(R115="",R115-AP115&lt;=0),"",AO115/(R115-AP115))</f>
        <v/>
      </c>
      <c r="AM115" s="11">
        <f>IF(R115="","",SUM(AC115:AF115)-(R115-AP115))</f>
        <v/>
      </c>
      <c r="AN115" s="11">
        <f>IF(R115="","",SUM(S115:W115)+AP115-R115)</f>
        <v/>
      </c>
      <c r="AO115" s="9" t="n"/>
      <c r="AP115" s="9" t="n"/>
      <c r="AQ115" s="27" t="inlineStr">
        <is>
          <t>B04-a 伪造complete/canCommit；B04-b 清除valid；B04-c 丢失executed；B04-d 提前释放entry</t>
        </is>
      </c>
      <c r="AR115" s="39" t="n"/>
      <c r="AS115" s="39">
        <f>IFERROR(AR115/Q115,0)</f>
        <v/>
      </c>
      <c r="AT115" s="39" t="n">
        <v>30</v>
      </c>
      <c r="AU115" s="39" t="n">
        <v>385</v>
      </c>
      <c r="AV115" s="39" t="inlineStr">
        <is>
          <t>常规</t>
        </is>
      </c>
      <c r="AW115" s="39" t="inlineStr">
        <is>
          <t>累计至少385，不机械扩展到2401</t>
        </is>
      </c>
    </row>
    <row r="116" ht="118.0500030517578" customHeight="1">
      <c r="A116" s="6" t="inlineStr">
        <is>
          <t>B04-F2-W5</t>
        </is>
      </c>
      <c r="B116" s="6" t="inlineStr">
        <is>
          <t>B04</t>
        </is>
      </c>
      <c r="C116" s="6" t="inlineStr">
        <is>
          <t>Int Dispatch / ROB</t>
        </is>
      </c>
      <c r="D116" s="6" t="inlineStr">
        <is>
          <t>ROB valid、issued、executed/complete、canCommit等生命周期状态。</t>
        </is>
      </c>
      <c r="E116" s="6" t="inlineStr">
        <is>
          <t>状态</t>
        </is>
      </c>
      <c r="F116" s="6" t="inlineStr">
        <is>
          <t>伪造complete/canCommit、清除valid、丢失executed或提前释放entry。清零、伪造、提前置位和延后清除分成独立子模型，每次运行只改变一种状态转移；记录前后状态机轨迹和关联动态指令。仅当错误状态参与仲裁/转移时计activated。触发：目标entry处于相邻生命周期状态。</t>
        </is>
      </c>
      <c r="G116" s="6" t="inlineStr">
        <is>
          <t>F2</t>
        </is>
      </c>
      <c r="H116" s="6" t="inlineStr">
        <is>
          <t>平均每100,000个 eligible events 注入1次，间隔加入±50%抖动</t>
        </is>
      </c>
      <c r="I116" s="6" t="inlineStr">
        <is>
          <t>W5 ROB-Recovery</t>
        </is>
      </c>
      <c r="J116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16" s="6" t="inlineStr">
        <is>
          <t>目标entry处于相邻生命周期状态</t>
        </is>
      </c>
      <c r="L116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16" s="6" t="inlineStr">
        <is>
          <t>提前complete可能提交旧/未写回值并SDC；清除/丢失多为漏提交或Timeout</t>
        </is>
      </c>
      <c r="N116" s="6" t="inlineStr">
        <is>
          <t>状态位比数据字段更贴合ROB职责</t>
        </is>
      </c>
      <c r="O116" s="6" t="inlineStr">
        <is>
          <t>本方案结构化模型</t>
        </is>
      </c>
      <c r="P116" s="9" t="n"/>
      <c r="Q116" s="9" t="n"/>
      <c r="R116" s="9" t="n"/>
      <c r="S116" s="9" t="n"/>
      <c r="T116" s="9" t="n"/>
      <c r="U116" s="9" t="n"/>
      <c r="V116" s="9" t="n"/>
      <c r="W116" s="9" t="n"/>
      <c r="X116" s="12">
        <f>IF(OR(R116="",R116-AP116&lt;=0),"",AB116/(R116-AP116))</f>
        <v/>
      </c>
      <c r="Y116" s="12">
        <f>IFERROR(R116/AR116,0)</f>
        <v/>
      </c>
      <c r="Z116" s="9" t="inlineStr">
        <is>
          <t>待执行</t>
        </is>
      </c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12">
        <f>IF(OR(R116="",R116-AP116&lt;=0),"",AO116/(R116-AP116))</f>
        <v/>
      </c>
      <c r="AM116" s="11">
        <f>IF(R116="","",SUM(AC116:AF116)-(R116-AP116))</f>
        <v/>
      </c>
      <c r="AN116" s="11">
        <f>IF(R116="","",SUM(S116:W116)+AP116-R116)</f>
        <v/>
      </c>
      <c r="AO116" s="9" t="n"/>
      <c r="AP116" s="9" t="n"/>
      <c r="AQ116" s="27" t="inlineStr">
        <is>
          <t>B04-a 伪造complete/canCommit；B04-b 清除valid；B04-c 丢失executed；B04-d 提前释放entry</t>
        </is>
      </c>
      <c r="AR116" s="39" t="n"/>
      <c r="AS116" s="39">
        <f>IFERROR(AR116/Q116,0)</f>
        <v/>
      </c>
      <c r="AT116" s="39" t="n">
        <v>30</v>
      </c>
      <c r="AU116" s="39" t="n">
        <v>385</v>
      </c>
      <c r="AV116" s="39" t="inlineStr">
        <is>
          <t>常规</t>
        </is>
      </c>
      <c r="AW116" s="39" t="inlineStr">
        <is>
          <t>累计至少385，不机械扩展到2401</t>
        </is>
      </c>
    </row>
    <row r="117" ht="118.0500030517578" customHeight="1">
      <c r="A117" s="6" t="inlineStr">
        <is>
          <t>B04-F2-W7</t>
        </is>
      </c>
      <c r="B117" s="6" t="inlineStr">
        <is>
          <t>B04</t>
        </is>
      </c>
      <c r="C117" s="6" t="inlineStr">
        <is>
          <t>Int Dispatch / ROB</t>
        </is>
      </c>
      <c r="D117" s="6" t="inlineStr">
        <is>
          <t>ROB valid、issued、executed/complete、canCommit等生命周期状态。</t>
        </is>
      </c>
      <c r="E117" s="6" t="inlineStr">
        <is>
          <t>状态</t>
        </is>
      </c>
      <c r="F117" s="6" t="inlineStr">
        <is>
          <t>伪造complete/canCommit、清除valid、丢失executed或提前释放entry。清零、伪造、提前置位和延后清除分成独立子模型，每次运行只改变一种状态转移；记录前后状态机轨迹和关联动态指令。仅当错误状态参与仲裁/转移时计activated。触发：目标entry处于相邻生命周期状态。</t>
        </is>
      </c>
      <c r="G117" s="6" t="inlineStr">
        <is>
          <t>F2</t>
        </is>
      </c>
      <c r="H117" s="6" t="inlineStr">
        <is>
          <t>平均每100,000个 eligible events 注入1次，间隔加入±50%抖动</t>
        </is>
      </c>
      <c r="I117" s="6" t="inlineStr">
        <is>
          <t>W7 GAP-Selected</t>
        </is>
      </c>
      <c r="J117" s="6" t="inlineStr">
        <is>
          <t>GAP-Selected（公开通用）
执行定义与oracle：BFS、SSSP、PageRank；固定图和结果 hash；制造不规则依赖、长延迟和 ROB 压力</t>
        </is>
      </c>
      <c r="K117" s="6" t="inlineStr">
        <is>
          <t>目标entry处于相邻生命周期状态</t>
        </is>
      </c>
      <c r="L117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17" s="6" t="inlineStr">
        <is>
          <t>提前complete可能提交旧/未写回值并SDC；清除/丢失多为漏提交或Timeout</t>
        </is>
      </c>
      <c r="N117" s="6" t="inlineStr">
        <is>
          <t>状态位比数据字段更贴合ROB职责</t>
        </is>
      </c>
      <c r="O117" s="6" t="inlineStr">
        <is>
          <t>本方案结构化模型</t>
        </is>
      </c>
      <c r="P117" s="9" t="n"/>
      <c r="Q117" s="9" t="n"/>
      <c r="R117" s="9" t="n"/>
      <c r="S117" s="9" t="n"/>
      <c r="T117" s="9" t="n"/>
      <c r="U117" s="9" t="n"/>
      <c r="V117" s="9" t="n"/>
      <c r="W117" s="9" t="n"/>
      <c r="X117" s="12">
        <f>IF(OR(R117="",R117-AP117&lt;=0),"",AB117/(R117-AP117))</f>
        <v/>
      </c>
      <c r="Y117" s="12">
        <f>IFERROR(R117/AR117,0)</f>
        <v/>
      </c>
      <c r="Z117" s="9" t="inlineStr">
        <is>
          <t>待执行</t>
        </is>
      </c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12">
        <f>IF(OR(R117="",R117-AP117&lt;=0),"",AO117/(R117-AP117))</f>
        <v/>
      </c>
      <c r="AM117" s="11">
        <f>IF(R117="","",SUM(AC117:AF117)-(R117-AP117))</f>
        <v/>
      </c>
      <c r="AN117" s="11">
        <f>IF(R117="","",SUM(S117:W117)+AP117-R117)</f>
        <v/>
      </c>
      <c r="AO117" s="9" t="n"/>
      <c r="AP117" s="9" t="n"/>
      <c r="AQ117" s="27" t="inlineStr">
        <is>
          <t>B04-a 伪造complete/canCommit；B04-b 清除valid；B04-c 丢失executed；B04-d 提前释放entry</t>
        </is>
      </c>
      <c r="AR117" s="39" t="n"/>
      <c r="AS117" s="39">
        <f>IFERROR(AR117/Q117,0)</f>
        <v/>
      </c>
      <c r="AT117" s="39" t="n">
        <v>30</v>
      </c>
      <c r="AU117" s="39" t="n">
        <v>385</v>
      </c>
      <c r="AV117" s="39" t="inlineStr">
        <is>
          <t>常规</t>
        </is>
      </c>
      <c r="AW117" s="39" t="inlineStr">
        <is>
          <t>累计至少385，不机械扩展到2401</t>
        </is>
      </c>
    </row>
    <row r="118" ht="118.0500030517578" customHeight="1">
      <c r="A118" s="6" t="inlineStr">
        <is>
          <t>B04-F6-W5</t>
        </is>
      </c>
      <c r="B118" s="6" t="inlineStr">
        <is>
          <t>B04</t>
        </is>
      </c>
      <c r="C118" s="6" t="inlineStr">
        <is>
          <t>Int Dispatch / ROB</t>
        </is>
      </c>
      <c r="D118" s="6" t="inlineStr">
        <is>
          <t>ROB valid、issued、executed/complete、canCommit等生命周期状态。</t>
        </is>
      </c>
      <c r="E118" s="6" t="inlineStr">
        <is>
          <t>状态</t>
        </is>
      </c>
      <c r="F118" s="6" t="inlineStr">
        <is>
          <t>伪造complete/canCommit、清除valid、丢失executed或提前释放entry。清零、伪造、提前置位和延后清除分成独立子模型，每次运行只改变一种状态转移；记录前后状态机轨迹和关联动态指令。仅当错误状态参与仲裁/转移时计activated。触发：目标entry处于相邻生命周期状态。</t>
        </is>
      </c>
      <c r="G118" s="6" t="inlineStr">
        <is>
          <t>F6</t>
        </is>
      </c>
      <c r="H118" s="6" t="inlineStr">
        <is>
          <t>首次出现指定稀有事件时注入1次，保证结构化模型被激活</t>
        </is>
      </c>
      <c r="I118" s="6" t="inlineStr">
        <is>
          <t>W5 ROB-Recovery</t>
        </is>
      </c>
      <c r="J118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18" s="6" t="inlineStr">
        <is>
          <t>目标entry处于相邻生命周期状态</t>
        </is>
      </c>
      <c r="L118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18" s="6" t="inlineStr">
        <is>
          <t>提前complete可能提交旧/未写回值并SDC；清除/丢失多为漏提交或Timeout</t>
        </is>
      </c>
      <c r="N118" s="6" t="inlineStr">
        <is>
          <t>状态位比数据字段更贴合ROB职责</t>
        </is>
      </c>
      <c r="O118" s="6" t="inlineStr">
        <is>
          <t>本方案结构化模型</t>
        </is>
      </c>
      <c r="P118" s="9" t="n"/>
      <c r="Q118" s="9" t="n"/>
      <c r="R118" s="9" t="n"/>
      <c r="S118" s="9" t="n"/>
      <c r="T118" s="9" t="n"/>
      <c r="U118" s="9" t="n"/>
      <c r="V118" s="9" t="n"/>
      <c r="W118" s="9" t="n"/>
      <c r="X118" s="12">
        <f>IF(OR(R118="",R118-AP118&lt;=0),"",AB118/(R118-AP118))</f>
        <v/>
      </c>
      <c r="Y118" s="12">
        <f>IFERROR(R118/AR118,0)</f>
        <v/>
      </c>
      <c r="Z118" s="9" t="inlineStr">
        <is>
          <t>待执行</t>
        </is>
      </c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12">
        <f>IF(OR(R118="",R118-AP118&lt;=0),"",AO118/(R118-AP118))</f>
        <v/>
      </c>
      <c r="AM118" s="11">
        <f>IF(R118="","",SUM(AC118:AF118)-(R118-AP118))</f>
        <v/>
      </c>
      <c r="AN118" s="11">
        <f>IF(R118="","",SUM(S118:W118)+AP118-R118)</f>
        <v/>
      </c>
      <c r="AO118" s="9" t="n"/>
      <c r="AP118" s="9" t="n"/>
      <c r="AQ118" s="27" t="inlineStr">
        <is>
          <t>B04-a 伪造complete/canCommit；B04-b 清除valid；B04-c 丢失executed；B04-d 提前释放entry</t>
        </is>
      </c>
      <c r="AR118" s="39" t="n"/>
      <c r="AS118" s="39">
        <f>IFERROR(AR118/Q118,0)</f>
        <v/>
      </c>
      <c r="AT118" s="39" t="n">
        <v>30</v>
      </c>
      <c r="AU118" s="39" t="n">
        <v>385</v>
      </c>
      <c r="AV118" s="39" t="inlineStr">
        <is>
          <t>常规</t>
        </is>
      </c>
      <c r="AW118" s="39" t="inlineStr">
        <is>
          <t>累计至少385，不机械扩展到2401</t>
        </is>
      </c>
    </row>
    <row r="119" ht="118.0500030517578" customHeight="1">
      <c r="A119" s="6" t="inlineStr">
        <is>
          <t>B04-F6-W7</t>
        </is>
      </c>
      <c r="B119" s="6" t="inlineStr">
        <is>
          <t>B04</t>
        </is>
      </c>
      <c r="C119" s="6" t="inlineStr">
        <is>
          <t>Int Dispatch / ROB</t>
        </is>
      </c>
      <c r="D119" s="6" t="inlineStr">
        <is>
          <t>ROB valid、issued、executed/complete、canCommit等生命周期状态。</t>
        </is>
      </c>
      <c r="E119" s="6" t="inlineStr">
        <is>
          <t>状态</t>
        </is>
      </c>
      <c r="F119" s="6" t="inlineStr">
        <is>
          <t>伪造complete/canCommit、清除valid、丢失executed或提前释放entry。清零、伪造、提前置位和延后清除分成独立子模型，每次运行只改变一种状态转移；记录前后状态机轨迹和关联动态指令。仅当错误状态参与仲裁/转移时计activated。触发：目标entry处于相邻生命周期状态。</t>
        </is>
      </c>
      <c r="G119" s="6" t="inlineStr">
        <is>
          <t>F6</t>
        </is>
      </c>
      <c r="H119" s="6" t="inlineStr">
        <is>
          <t>首次出现指定稀有事件时注入1次，保证结构化模型被激活</t>
        </is>
      </c>
      <c r="I119" s="6" t="inlineStr">
        <is>
          <t>W7 GAP-Selected</t>
        </is>
      </c>
      <c r="J119" s="6" t="inlineStr">
        <is>
          <t>GAP-Selected（公开通用）
执行定义与oracle：BFS、SSSP、PageRank；固定图和结果 hash；制造不规则依赖、长延迟和 ROB 压力</t>
        </is>
      </c>
      <c r="K119" s="6" t="inlineStr">
        <is>
          <t>目标entry处于相邻生命周期状态</t>
        </is>
      </c>
      <c r="L119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19" s="6" t="inlineStr">
        <is>
          <t>提前complete可能提交旧/未写回值并SDC；清除/丢失多为漏提交或Timeout</t>
        </is>
      </c>
      <c r="N119" s="6" t="inlineStr">
        <is>
          <t>状态位比数据字段更贴合ROB职责</t>
        </is>
      </c>
      <c r="O119" s="6" t="inlineStr">
        <is>
          <t>本方案结构化模型</t>
        </is>
      </c>
      <c r="P119" s="9" t="n"/>
      <c r="Q119" s="9" t="n"/>
      <c r="R119" s="9" t="n"/>
      <c r="S119" s="9" t="n"/>
      <c r="T119" s="9" t="n"/>
      <c r="U119" s="9" t="n"/>
      <c r="V119" s="9" t="n"/>
      <c r="W119" s="9" t="n"/>
      <c r="X119" s="12">
        <f>IF(OR(R119="",R119-AP119&lt;=0),"",AB119/(R119-AP119))</f>
        <v/>
      </c>
      <c r="Y119" s="12">
        <f>IFERROR(R119/AR119,0)</f>
        <v/>
      </c>
      <c r="Z119" s="9" t="inlineStr">
        <is>
          <t>待执行</t>
        </is>
      </c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12">
        <f>IF(OR(R119="",R119-AP119&lt;=0),"",AO119/(R119-AP119))</f>
        <v/>
      </c>
      <c r="AM119" s="11">
        <f>IF(R119="","",SUM(AC119:AF119)-(R119-AP119))</f>
        <v/>
      </c>
      <c r="AN119" s="11">
        <f>IF(R119="","",SUM(S119:W119)+AP119-R119)</f>
        <v/>
      </c>
      <c r="AO119" s="9" t="n"/>
      <c r="AP119" s="9" t="n"/>
      <c r="AQ119" s="27" t="inlineStr">
        <is>
          <t>B04-a 伪造complete/canCommit；B04-b 清除valid；B04-c 丢失executed；B04-d 提前释放entry</t>
        </is>
      </c>
      <c r="AR119" s="39" t="n"/>
      <c r="AS119" s="39">
        <f>IFERROR(AR119/Q119,0)</f>
        <v/>
      </c>
      <c r="AT119" s="39" t="n">
        <v>30</v>
      </c>
      <c r="AU119" s="39" t="n">
        <v>385</v>
      </c>
      <c r="AV119" s="39" t="inlineStr">
        <is>
          <t>常规</t>
        </is>
      </c>
      <c r="AW119" s="39" t="inlineStr">
        <is>
          <t>累计至少385，不机械扩展到2401</t>
        </is>
      </c>
    </row>
    <row r="120" ht="118.0500030517578" customHeight="1">
      <c r="A120" s="6" t="inlineStr">
        <is>
          <t>B05-F0-W5</t>
        </is>
      </c>
      <c r="B120" s="6" t="inlineStr">
        <is>
          <t>B05</t>
        </is>
      </c>
      <c r="C120" s="6" t="inlineStr">
        <is>
          <t>Int Dispatch / ROB</t>
        </is>
      </c>
      <c r="D120" s="6" t="inlineStr">
        <is>
          <t>ROB exception、mispredict、squashed、serialize等控制状态。</t>
        </is>
      </c>
      <c r="E120" s="6" t="inlineStr">
        <is>
          <t>状态</t>
        </is>
      </c>
      <c r="F120" s="6" t="inlineStr">
        <is>
          <t>丢失真实exception/mispredict，或给正常entry伪造标记；每类单独执行。清零、伪造、提前置位和延后清除分成独立子模型，每次运行只改变一种状态转移；记录前后状态机轨迹和关联动态指令。仅当错误状态参与仲裁/转移时计activated。触发：即将处理异常、分支恢复或序列化事件。</t>
        </is>
      </c>
      <c r="G120" s="6" t="inlineStr">
        <is>
          <t>F0</t>
        </is>
      </c>
      <c r="H120" s="6" t="inlineStr">
        <is>
          <t>每次运行只注入1次；warm-up后在 eligible event 中均匀抽样</t>
        </is>
      </c>
      <c r="I120" s="6" t="inlineStr">
        <is>
          <t>W5 ROB-Recovery</t>
        </is>
      </c>
      <c r="J120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20" s="6" t="inlineStr">
        <is>
          <t>即将处理异常、分支恢复或序列化事件</t>
        </is>
      </c>
      <c r="L120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20" s="6" t="inlineStr">
        <is>
          <t>丢失exception/错误路径squash可能静默提交；伪造标记多为额外冲刷或Crash</t>
        </is>
      </c>
      <c r="N120" s="6" t="inlineStr">
        <is>
          <t>覆盖精确异常和恢复，是ROB核心职责</t>
        </is>
      </c>
      <c r="O120" s="6" t="inlineStr">
        <is>
          <t>本方案结构化模型</t>
        </is>
      </c>
      <c r="P120" s="9" t="n"/>
      <c r="Q120" s="9" t="n"/>
      <c r="R120" s="9" t="n"/>
      <c r="S120" s="9" t="n"/>
      <c r="T120" s="9" t="n"/>
      <c r="U120" s="9" t="n"/>
      <c r="V120" s="9" t="n"/>
      <c r="W120" s="9" t="n"/>
      <c r="X120" s="12">
        <f>IF(OR(R120="",R120-AP120&lt;=0),"",AB120/(R120-AP120))</f>
        <v/>
      </c>
      <c r="Y120" s="12">
        <f>IFERROR(R120/AR120,0)</f>
        <v/>
      </c>
      <c r="Z120" s="9" t="inlineStr">
        <is>
          <t>待执行</t>
        </is>
      </c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12">
        <f>IF(OR(R120="",R120-AP120&lt;=0),"",AO120/(R120-AP120))</f>
        <v/>
      </c>
      <c r="AM120" s="11">
        <f>IF(R120="","",SUM(AC120:AF120)-(R120-AP120))</f>
        <v/>
      </c>
      <c r="AN120" s="11">
        <f>IF(R120="","",SUM(S120:W120)+AP120-R120)</f>
        <v/>
      </c>
      <c r="AO120" s="9" t="n"/>
      <c r="AP120" s="9" t="n"/>
      <c r="AQ120" s="27" t="inlineStr">
        <is>
          <t>B05-a 丢失真实exception；B05-b 丢失mispredict；B05-c 给正常entry伪造exception/mispredict；B05-d serialize标记误置</t>
        </is>
      </c>
      <c r="AR120" s="39" t="n"/>
      <c r="AS120" s="39">
        <f>IFERROR(AR120/Q120,0)</f>
        <v/>
      </c>
      <c r="AT120" s="39" t="n">
        <v>30</v>
      </c>
      <c r="AU120" s="39" t="n">
        <v>385</v>
      </c>
      <c r="AV120" s="39" t="inlineStr">
        <is>
          <t>常规</t>
        </is>
      </c>
      <c r="AW120" s="39" t="inlineStr">
        <is>
          <t>累计至少385，不机械扩展到2401</t>
        </is>
      </c>
    </row>
    <row r="121" ht="118.0500030517578" customHeight="1">
      <c r="A121" s="6" t="inlineStr">
        <is>
          <t>B05-F0-W1</t>
        </is>
      </c>
      <c r="B121" s="6" t="inlineStr">
        <is>
          <t>B05</t>
        </is>
      </c>
      <c r="C121" s="6" t="inlineStr">
        <is>
          <t>Int Dispatch / ROB</t>
        </is>
      </c>
      <c r="D121" s="6" t="inlineStr">
        <is>
          <t>ROB exception、mispredict、squashed、serialize等控制状态。</t>
        </is>
      </c>
      <c r="E121" s="6" t="inlineStr">
        <is>
          <t>状态</t>
        </is>
      </c>
      <c r="F121" s="6" t="inlineStr">
        <is>
          <t>丢失真实exception/mispredict，或给正常entry伪造标记；每类单独执行。清零、伪造、提前置位和延后清除分成独立子模型，每次运行只改变一种状态转移；记录前后状态机轨迹和关联动态指令。仅当错误状态参与仲裁/转移时计activated。触发：即将处理异常、分支恢复或序列化事件。</t>
        </is>
      </c>
      <c r="G121" s="6" t="inlineStr">
        <is>
          <t>F0</t>
        </is>
      </c>
      <c r="H121" s="6" t="inlineStr">
        <is>
          <t>每次运行只注入1次；warm-up后在 eligible event 中均匀抽样</t>
        </is>
      </c>
      <c r="I121" s="6" t="inlineStr">
        <is>
          <t>W1 MiBench-TC23</t>
        </is>
      </c>
      <c r="J121" s="6" t="inlineStr">
        <is>
          <t>MiBench-TC23（公开/论文复现）
执行定义与oracle：blowfish、patricia、fft、gsm、dijkstra、rijndael、sha、bitcount、edge、smooth；最大输入集；输出与 golden 比对</t>
        </is>
      </c>
      <c r="K121" s="6" t="inlineStr">
        <is>
          <t>即将处理异常、分支恢复或序列化事件</t>
        </is>
      </c>
      <c r="L121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21" s="6" t="inlineStr">
        <is>
          <t>丢失exception/错误路径squash可能静默提交；伪造标记多为额外冲刷或Crash</t>
        </is>
      </c>
      <c r="N121" s="6" t="inlineStr">
        <is>
          <t>覆盖精确异常和恢复，是ROB核心职责</t>
        </is>
      </c>
      <c r="O121" s="6" t="inlineStr">
        <is>
          <t>本方案结构化模型</t>
        </is>
      </c>
      <c r="P121" s="9" t="n"/>
      <c r="Q121" s="9" t="n"/>
      <c r="R121" s="9" t="n"/>
      <c r="S121" s="9" t="n"/>
      <c r="T121" s="9" t="n"/>
      <c r="U121" s="9" t="n"/>
      <c r="V121" s="9" t="n"/>
      <c r="W121" s="9" t="n"/>
      <c r="X121" s="12">
        <f>IF(OR(R121="",R121-AP121&lt;=0),"",AB121/(R121-AP121))</f>
        <v/>
      </c>
      <c r="Y121" s="12">
        <f>IFERROR(R121/AR121,0)</f>
        <v/>
      </c>
      <c r="Z121" s="9" t="inlineStr">
        <is>
          <t>待执行</t>
        </is>
      </c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12">
        <f>IF(OR(R121="",R121-AP121&lt;=0),"",AO121/(R121-AP121))</f>
        <v/>
      </c>
      <c r="AM121" s="11">
        <f>IF(R121="","",SUM(AC121:AF121)-(R121-AP121))</f>
        <v/>
      </c>
      <c r="AN121" s="11">
        <f>IF(R121="","",SUM(S121:W121)+AP121-R121)</f>
        <v/>
      </c>
      <c r="AO121" s="9" t="n"/>
      <c r="AP121" s="9" t="n"/>
      <c r="AQ121" s="27" t="inlineStr">
        <is>
          <t>B05-a 丢失真实exception；B05-b 丢失mispredict；B05-c 给正常entry伪造exception/mispredict；B05-d serialize标记误置</t>
        </is>
      </c>
      <c r="AR121" s="39" t="n"/>
      <c r="AS121" s="39">
        <f>IFERROR(AR121/Q121,0)</f>
        <v/>
      </c>
      <c r="AT121" s="39" t="n">
        <v>30</v>
      </c>
      <c r="AU121" s="39" t="n">
        <v>385</v>
      </c>
      <c r="AV121" s="39" t="inlineStr">
        <is>
          <t>常规</t>
        </is>
      </c>
      <c r="AW121" s="39" t="inlineStr">
        <is>
          <t>累计至少385，不机械扩展到2401</t>
        </is>
      </c>
    </row>
    <row r="122" ht="118.0500030517578" customHeight="1">
      <c r="A122" s="6" t="inlineStr">
        <is>
          <t>B05-F4-W5</t>
        </is>
      </c>
      <c r="B122" s="6" t="inlineStr">
        <is>
          <t>B05</t>
        </is>
      </c>
      <c r="C122" s="6" t="inlineStr">
        <is>
          <t>Int Dispatch / ROB</t>
        </is>
      </c>
      <c r="D122" s="6" t="inlineStr">
        <is>
          <t>ROB exception、mispredict、squashed、serialize等控制状态。</t>
        </is>
      </c>
      <c r="E122" s="6" t="inlineStr">
        <is>
          <t>状态</t>
        </is>
      </c>
      <c r="F122" s="6" t="inlineStr">
        <is>
          <t>丢失真实exception/mispredict，或给正常entry伪造标记；每类单独执行。清零、伪造、提前置位和延后清除分成独立子模型，每次运行只改变一种状态转移；记录前后状态机轨迹和关联动态指令。仅当错误状态参与仲裁/转移时计activated。触发：即将处理异常、分支恢复或序列化事件。</t>
        </is>
      </c>
      <c r="G122" s="6" t="inlineStr">
        <is>
          <t>F4</t>
        </is>
      </c>
      <c r="H122" s="6" t="inlineStr">
        <is>
          <t>每100,000个 eligible events 触发一次，连续污染2-4个 eligible events</t>
        </is>
      </c>
      <c r="I122" s="6" t="inlineStr">
        <is>
          <t>W5 ROB-Recovery</t>
        </is>
      </c>
      <c r="J122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22" s="6" t="inlineStr">
        <is>
          <t>即将处理异常、分支恢复或序列化事件</t>
        </is>
      </c>
      <c r="L122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22" s="6" t="inlineStr">
        <is>
          <t>丢失exception/错误路径squash可能静默提交；伪造标记多为额外冲刷或Crash</t>
        </is>
      </c>
      <c r="N122" s="6" t="inlineStr">
        <is>
          <t>覆盖精确异常和恢复，是ROB核心职责</t>
        </is>
      </c>
      <c r="O122" s="6" t="inlineStr">
        <is>
          <t>本方案结构化模型</t>
        </is>
      </c>
      <c r="P122" s="9" t="n"/>
      <c r="Q122" s="9" t="n"/>
      <c r="R122" s="9" t="n"/>
      <c r="S122" s="9" t="n"/>
      <c r="T122" s="9" t="n"/>
      <c r="U122" s="9" t="n"/>
      <c r="V122" s="9" t="n"/>
      <c r="W122" s="9" t="n"/>
      <c r="X122" s="12">
        <f>IF(OR(R122="",R122-AP122&lt;=0),"",AB122/(R122-AP122))</f>
        <v/>
      </c>
      <c r="Y122" s="12">
        <f>IFERROR(R122/AR122,0)</f>
        <v/>
      </c>
      <c r="Z122" s="9" t="inlineStr">
        <is>
          <t>待执行</t>
        </is>
      </c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12">
        <f>IF(OR(R122="",R122-AP122&lt;=0),"",AO122/(R122-AP122))</f>
        <v/>
      </c>
      <c r="AM122" s="11">
        <f>IF(R122="","",SUM(AC122:AF122)-(R122-AP122))</f>
        <v/>
      </c>
      <c r="AN122" s="11">
        <f>IF(R122="","",SUM(S122:W122)+AP122-R122)</f>
        <v/>
      </c>
      <c r="AO122" s="9" t="n"/>
      <c r="AP122" s="9" t="n"/>
      <c r="AQ122" s="27" t="inlineStr">
        <is>
          <t>B05-a 丢失真实exception；B05-b 丢失mispredict；B05-c 给正常entry伪造exception/mispredict；B05-d serialize标记误置</t>
        </is>
      </c>
      <c r="AR122" s="39" t="n"/>
      <c r="AS122" s="39">
        <f>IFERROR(AR122/Q122,0)</f>
        <v/>
      </c>
      <c r="AT122" s="39" t="n">
        <v>30</v>
      </c>
      <c r="AU122" s="39" t="n">
        <v>385</v>
      </c>
      <c r="AV122" s="39" t="inlineStr">
        <is>
          <t>常规</t>
        </is>
      </c>
      <c r="AW122" s="39" t="inlineStr">
        <is>
          <t>累计至少385，不机械扩展到2401</t>
        </is>
      </c>
    </row>
    <row r="123" ht="118.0500030517578" customHeight="1">
      <c r="A123" s="6" t="inlineStr">
        <is>
          <t>B05-F4-W1</t>
        </is>
      </c>
      <c r="B123" s="6" t="inlineStr">
        <is>
          <t>B05</t>
        </is>
      </c>
      <c r="C123" s="6" t="inlineStr">
        <is>
          <t>Int Dispatch / ROB</t>
        </is>
      </c>
      <c r="D123" s="6" t="inlineStr">
        <is>
          <t>ROB exception、mispredict、squashed、serialize等控制状态。</t>
        </is>
      </c>
      <c r="E123" s="6" t="inlineStr">
        <is>
          <t>状态</t>
        </is>
      </c>
      <c r="F123" s="6" t="inlineStr">
        <is>
          <t>丢失真实exception/mispredict，或给正常entry伪造标记；每类单独执行。清零、伪造、提前置位和延后清除分成独立子模型，每次运行只改变一种状态转移；记录前后状态机轨迹和关联动态指令。仅当错误状态参与仲裁/转移时计activated。触发：即将处理异常、分支恢复或序列化事件。</t>
        </is>
      </c>
      <c r="G123" s="6" t="inlineStr">
        <is>
          <t>F4</t>
        </is>
      </c>
      <c r="H123" s="6" t="inlineStr">
        <is>
          <t>每100,000个 eligible events 触发一次，连续污染2-4个 eligible events</t>
        </is>
      </c>
      <c r="I123" s="6" t="inlineStr">
        <is>
          <t>W1 MiBench-TC23</t>
        </is>
      </c>
      <c r="J123" s="6" t="inlineStr">
        <is>
          <t>MiBench-TC23（公开/论文复现）
执行定义与oracle：blowfish、patricia、fft、gsm、dijkstra、rijndael、sha、bitcount、edge、smooth；最大输入集；输出与 golden 比对</t>
        </is>
      </c>
      <c r="K123" s="6" t="inlineStr">
        <is>
          <t>即将处理异常、分支恢复或序列化事件</t>
        </is>
      </c>
      <c r="L123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23" s="6" t="inlineStr">
        <is>
          <t>丢失exception/错误路径squash可能静默提交；伪造标记多为额外冲刷或Crash</t>
        </is>
      </c>
      <c r="N123" s="6" t="inlineStr">
        <is>
          <t>覆盖精确异常和恢复，是ROB核心职责</t>
        </is>
      </c>
      <c r="O123" s="6" t="inlineStr">
        <is>
          <t>本方案结构化模型</t>
        </is>
      </c>
      <c r="P123" s="9" t="n"/>
      <c r="Q123" s="9" t="n"/>
      <c r="R123" s="9" t="n"/>
      <c r="S123" s="9" t="n"/>
      <c r="T123" s="9" t="n"/>
      <c r="U123" s="9" t="n"/>
      <c r="V123" s="9" t="n"/>
      <c r="W123" s="9" t="n"/>
      <c r="X123" s="12">
        <f>IF(OR(R123="",R123-AP123&lt;=0),"",AB123/(R123-AP123))</f>
        <v/>
      </c>
      <c r="Y123" s="12">
        <f>IFERROR(R123/AR123,0)</f>
        <v/>
      </c>
      <c r="Z123" s="9" t="inlineStr">
        <is>
          <t>待执行</t>
        </is>
      </c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12">
        <f>IF(OR(R123="",R123-AP123&lt;=0),"",AO123/(R123-AP123))</f>
        <v/>
      </c>
      <c r="AM123" s="11">
        <f>IF(R123="","",SUM(AC123:AF123)-(R123-AP123))</f>
        <v/>
      </c>
      <c r="AN123" s="11">
        <f>IF(R123="","",SUM(S123:W123)+AP123-R123)</f>
        <v/>
      </c>
      <c r="AO123" s="9" t="n"/>
      <c r="AP123" s="9" t="n"/>
      <c r="AQ123" s="27" t="inlineStr">
        <is>
          <t>B05-a 丢失真实exception；B05-b 丢失mispredict；B05-c 给正常entry伪造exception/mispredict；B05-d serialize标记误置</t>
        </is>
      </c>
      <c r="AR123" s="39" t="n"/>
      <c r="AS123" s="39">
        <f>IFERROR(AR123/Q123,0)</f>
        <v/>
      </c>
      <c r="AT123" s="39" t="n">
        <v>30</v>
      </c>
      <c r="AU123" s="39" t="n">
        <v>385</v>
      </c>
      <c r="AV123" s="39" t="inlineStr">
        <is>
          <t>常规</t>
        </is>
      </c>
      <c r="AW123" s="39" t="inlineStr">
        <is>
          <t>累计至少385，不机械扩展到2401</t>
        </is>
      </c>
    </row>
    <row r="124" ht="118.0500030517578" customHeight="1">
      <c r="A124" s="6" t="inlineStr">
        <is>
          <t>B05-F6-W5</t>
        </is>
      </c>
      <c r="B124" s="6" t="inlineStr">
        <is>
          <t>B05</t>
        </is>
      </c>
      <c r="C124" s="6" t="inlineStr">
        <is>
          <t>Int Dispatch / ROB</t>
        </is>
      </c>
      <c r="D124" s="6" t="inlineStr">
        <is>
          <t>ROB exception、mispredict、squashed、serialize等控制状态。</t>
        </is>
      </c>
      <c r="E124" s="6" t="inlineStr">
        <is>
          <t>状态</t>
        </is>
      </c>
      <c r="F124" s="6" t="inlineStr">
        <is>
          <t>丢失真实exception/mispredict，或给正常entry伪造标记；每类单独执行。清零、伪造、提前置位和延后清除分成独立子模型，每次运行只改变一种状态转移；记录前后状态机轨迹和关联动态指令。仅当错误状态参与仲裁/转移时计activated。触发：即将处理异常、分支恢复或序列化事件。</t>
        </is>
      </c>
      <c r="G124" s="6" t="inlineStr">
        <is>
          <t>F6</t>
        </is>
      </c>
      <c r="H124" s="6" t="inlineStr">
        <is>
          <t>首次出现指定稀有事件时注入1次，保证结构化模型被激活</t>
        </is>
      </c>
      <c r="I124" s="6" t="inlineStr">
        <is>
          <t>W5 ROB-Recovery</t>
        </is>
      </c>
      <c r="J124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24" s="6" t="inlineStr">
        <is>
          <t>即将处理异常、分支恢复或序列化事件</t>
        </is>
      </c>
      <c r="L124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24" s="6" t="inlineStr">
        <is>
          <t>丢失exception/错误路径squash可能静默提交；伪造标记多为额外冲刷或Crash</t>
        </is>
      </c>
      <c r="N124" s="6" t="inlineStr">
        <is>
          <t>覆盖精确异常和恢复，是ROB核心职责</t>
        </is>
      </c>
      <c r="O124" s="6" t="inlineStr">
        <is>
          <t>本方案结构化模型</t>
        </is>
      </c>
      <c r="P124" s="9" t="n"/>
      <c r="Q124" s="9" t="n"/>
      <c r="R124" s="9" t="n"/>
      <c r="S124" s="9" t="n"/>
      <c r="T124" s="9" t="n"/>
      <c r="U124" s="9" t="n"/>
      <c r="V124" s="9" t="n"/>
      <c r="W124" s="9" t="n"/>
      <c r="X124" s="12">
        <f>IF(OR(R124="",R124-AP124&lt;=0),"",AB124/(R124-AP124))</f>
        <v/>
      </c>
      <c r="Y124" s="12">
        <f>IFERROR(R124/AR124,0)</f>
        <v/>
      </c>
      <c r="Z124" s="9" t="inlineStr">
        <is>
          <t>待执行</t>
        </is>
      </c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12">
        <f>IF(OR(R124="",R124-AP124&lt;=0),"",AO124/(R124-AP124))</f>
        <v/>
      </c>
      <c r="AM124" s="11">
        <f>IF(R124="","",SUM(AC124:AF124)-(R124-AP124))</f>
        <v/>
      </c>
      <c r="AN124" s="11">
        <f>IF(R124="","",SUM(S124:W124)+AP124-R124)</f>
        <v/>
      </c>
      <c r="AO124" s="9" t="n"/>
      <c r="AP124" s="9" t="n"/>
      <c r="AQ124" s="27" t="inlineStr">
        <is>
          <t>B05-a 丢失真实exception；B05-b 丢失mispredict；B05-c 给正常entry伪造exception/mispredict；B05-d serialize标记误置</t>
        </is>
      </c>
      <c r="AR124" s="39" t="n"/>
      <c r="AS124" s="39">
        <f>IFERROR(AR124/Q124,0)</f>
        <v/>
      </c>
      <c r="AT124" s="39" t="n">
        <v>30</v>
      </c>
      <c r="AU124" s="39" t="n">
        <v>2401</v>
      </c>
      <c r="AV124" s="39" t="inlineStr">
        <is>
          <t>预登记重点</t>
        </is>
      </c>
      <c r="AW124" s="39" t="inlineStr">
        <is>
          <t>累计2401（含pilot与前385），不得序贯停止</t>
        </is>
      </c>
    </row>
    <row r="125" ht="118.0500030517578" customHeight="1">
      <c r="A125" s="6" t="inlineStr">
        <is>
          <t>B05-F6-W1</t>
        </is>
      </c>
      <c r="B125" s="6" t="inlineStr">
        <is>
          <t>B05</t>
        </is>
      </c>
      <c r="C125" s="6" t="inlineStr">
        <is>
          <t>Int Dispatch / ROB</t>
        </is>
      </c>
      <c r="D125" s="6" t="inlineStr">
        <is>
          <t>ROB exception、mispredict、squashed、serialize等控制状态。</t>
        </is>
      </c>
      <c r="E125" s="6" t="inlineStr">
        <is>
          <t>状态</t>
        </is>
      </c>
      <c r="F125" s="6" t="inlineStr">
        <is>
          <t>丢失真实exception/mispredict，或给正常entry伪造标记；每类单独执行。清零、伪造、提前置位和延后清除分成独立子模型，每次运行只改变一种状态转移；记录前后状态机轨迹和关联动态指令。仅当错误状态参与仲裁/转移时计activated。触发：即将处理异常、分支恢复或序列化事件。</t>
        </is>
      </c>
      <c r="G125" s="6" t="inlineStr">
        <is>
          <t>F6</t>
        </is>
      </c>
      <c r="H125" s="6" t="inlineStr">
        <is>
          <t>首次出现指定稀有事件时注入1次，保证结构化模型被激活</t>
        </is>
      </c>
      <c r="I125" s="6" t="inlineStr">
        <is>
          <t>W1 MiBench-TC23</t>
        </is>
      </c>
      <c r="J125" s="6" t="inlineStr">
        <is>
          <t>MiBench-TC23（公开/论文复现）
执行定义与oracle：blowfish、patricia、fft、gsm、dijkstra、rijndael、sha、bitcount、edge、smooth；最大输入集；输出与 golden 比对</t>
        </is>
      </c>
      <c r="K125" s="6" t="inlineStr">
        <is>
          <t>即将处理异常、分支恢复或序列化事件</t>
        </is>
      </c>
      <c r="L125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25" s="6" t="inlineStr">
        <is>
          <t>丢失exception/错误路径squash可能静默提交；伪造标记多为额外冲刷或Crash</t>
        </is>
      </c>
      <c r="N125" s="6" t="inlineStr">
        <is>
          <t>覆盖精确异常和恢复，是ROB核心职责</t>
        </is>
      </c>
      <c r="O125" s="6" t="inlineStr">
        <is>
          <t>本方案结构化模型</t>
        </is>
      </c>
      <c r="P125" s="9" t="n"/>
      <c r="Q125" s="9" t="n"/>
      <c r="R125" s="9" t="n"/>
      <c r="S125" s="9" t="n"/>
      <c r="T125" s="9" t="n"/>
      <c r="U125" s="9" t="n"/>
      <c r="V125" s="9" t="n"/>
      <c r="W125" s="9" t="n"/>
      <c r="X125" s="12">
        <f>IF(OR(R125="",R125-AP125&lt;=0),"",AB125/(R125-AP125))</f>
        <v/>
      </c>
      <c r="Y125" s="12">
        <f>IFERROR(R125/AR125,0)</f>
        <v/>
      </c>
      <c r="Z125" s="9" t="inlineStr">
        <is>
          <t>待执行</t>
        </is>
      </c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12">
        <f>IF(OR(R125="",R125-AP125&lt;=0),"",AO125/(R125-AP125))</f>
        <v/>
      </c>
      <c r="AM125" s="11">
        <f>IF(R125="","",SUM(AC125:AF125)-(R125-AP125))</f>
        <v/>
      </c>
      <c r="AN125" s="11">
        <f>IF(R125="","",SUM(S125:W125)+AP125-R125)</f>
        <v/>
      </c>
      <c r="AO125" s="9" t="n"/>
      <c r="AP125" s="9" t="n"/>
      <c r="AQ125" s="27" t="inlineStr">
        <is>
          <t>B05-a 丢失真实exception；B05-b 丢失mispredict；B05-c 给正常entry伪造exception/mispredict；B05-d serialize标记误置</t>
        </is>
      </c>
      <c r="AR125" s="39" t="n"/>
      <c r="AS125" s="39">
        <f>IFERROR(AR125/Q125,0)</f>
        <v/>
      </c>
      <c r="AT125" s="39" t="n">
        <v>30</v>
      </c>
      <c r="AU125" s="39" t="n">
        <v>385</v>
      </c>
      <c r="AV125" s="39" t="inlineStr">
        <is>
          <t>常规</t>
        </is>
      </c>
      <c r="AW125" s="39" t="inlineStr">
        <is>
          <t>累计至少385，不机械扩展到2401</t>
        </is>
      </c>
    </row>
    <row r="126" ht="118.0500030517578" customHeight="1">
      <c r="A126" s="6" t="inlineStr">
        <is>
          <t>B06-F0-W5</t>
        </is>
      </c>
      <c r="B126" s="6" t="inlineStr">
        <is>
          <t>B06</t>
        </is>
      </c>
      <c r="C126" s="6" t="inlineStr">
        <is>
          <t>Int Dispatch / ROB</t>
        </is>
      </c>
      <c r="D126" s="6" t="inlineStr">
        <is>
          <t>ROB head/tail指针、占用计数和wrap bit。</t>
        </is>
      </c>
      <c r="E126" s="6" t="inlineStr">
        <is>
          <t>状态/换值</t>
        </is>
      </c>
      <c r="F126" s="6" t="inlineStr">
        <is>
          <t>将head/tail换成另一当前合法索引，或翻转wrap/计数1 bit；子模型分开。从当前有效且生命周期合法的候选集合中选择另一个合法值；禁止空闲、越界或编码非法候选。保存source/target和候选集大小。仅当替换值被消费时计activated。触发：ROB占用非0且非满，最好跨wrap边界。</t>
        </is>
      </c>
      <c r="G126" s="6" t="inlineStr">
        <is>
          <t>F0</t>
        </is>
      </c>
      <c r="H126" s="6" t="inlineStr">
        <is>
          <t>每次运行只注入1次；warm-up后在 eligible event 中均匀抽样</t>
        </is>
      </c>
      <c r="I126" s="6" t="inlineStr">
        <is>
          <t>W5 ROB-Recovery</t>
        </is>
      </c>
      <c r="J126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26" s="6" t="inlineStr">
        <is>
          <t>ROB占用非0且非满，最好跨wrap边界</t>
        </is>
      </c>
      <c r="L126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26" s="6" t="inlineStr">
        <is>
          <t>head跳转可能漏/乱序提交；tail错误可能覆盖在飞entry；多数破坏守恒并Crash，但小距离错位可能SDC</t>
        </is>
      </c>
      <c r="N126" s="6" t="inlineStr">
        <is>
          <t>覆盖环形队列索引与边界</t>
        </is>
      </c>
      <c r="O126" s="6" t="inlineStr">
        <is>
          <t>本方案结构化模型</t>
        </is>
      </c>
      <c r="P126" s="9" t="n"/>
      <c r="Q126" s="9" t="n"/>
      <c r="R126" s="9" t="n"/>
      <c r="S126" s="9" t="n"/>
      <c r="T126" s="9" t="n"/>
      <c r="U126" s="9" t="n"/>
      <c r="V126" s="9" t="n"/>
      <c r="W126" s="9" t="n"/>
      <c r="X126" s="12">
        <f>IF(OR(R126="",R126-AP126&lt;=0),"",AB126/(R126-AP126))</f>
        <v/>
      </c>
      <c r="Y126" s="12">
        <f>IFERROR(R126/AR126,0)</f>
        <v/>
      </c>
      <c r="Z126" s="9" t="inlineStr">
        <is>
          <t>待执行</t>
        </is>
      </c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12">
        <f>IF(OR(R126="",R126-AP126&lt;=0),"",AO126/(R126-AP126))</f>
        <v/>
      </c>
      <c r="AM126" s="11">
        <f>IF(R126="","",SUM(AC126:AF126)-(R126-AP126))</f>
        <v/>
      </c>
      <c r="AN126" s="11">
        <f>IF(R126="","",SUM(S126:W126)+AP126-R126)</f>
        <v/>
      </c>
      <c r="AO126" s="9" t="n"/>
      <c r="AP126" s="9" t="n"/>
      <c r="AQ126" s="27" t="inlineStr">
        <is>
          <t>B06-a head索引换值；B06-b tail索引换值；B06-c wrap bit翻转；B06-d occupancy count翻转</t>
        </is>
      </c>
      <c r="AR126" s="39" t="n"/>
      <c r="AS126" s="39">
        <f>IFERROR(AR126/Q126,0)</f>
        <v/>
      </c>
      <c r="AT126" s="39" t="n">
        <v>30</v>
      </c>
      <c r="AU126" s="39" t="n">
        <v>385</v>
      </c>
      <c r="AV126" s="39" t="inlineStr">
        <is>
          <t>常规</t>
        </is>
      </c>
      <c r="AW126" s="39" t="inlineStr">
        <is>
          <t>累计至少385，不机械扩展到2401</t>
        </is>
      </c>
    </row>
    <row r="127" ht="118.0500030517578" customHeight="1">
      <c r="A127" s="6" t="inlineStr">
        <is>
          <t>B06-F0-W7</t>
        </is>
      </c>
      <c r="B127" s="6" t="inlineStr">
        <is>
          <t>B06</t>
        </is>
      </c>
      <c r="C127" s="6" t="inlineStr">
        <is>
          <t>Int Dispatch / ROB</t>
        </is>
      </c>
      <c r="D127" s="6" t="inlineStr">
        <is>
          <t>ROB head/tail指针、占用计数和wrap bit。</t>
        </is>
      </c>
      <c r="E127" s="6" t="inlineStr">
        <is>
          <t>状态/换值</t>
        </is>
      </c>
      <c r="F127" s="6" t="inlineStr">
        <is>
          <t>将head/tail换成另一当前合法索引，或翻转wrap/计数1 bit；子模型分开。从当前有效且生命周期合法的候选集合中选择另一个合法值；禁止空闲、越界或编码非法候选。保存source/target和候选集大小。仅当替换值被消费时计activated。触发：ROB占用非0且非满，最好跨wrap边界。</t>
        </is>
      </c>
      <c r="G127" s="6" t="inlineStr">
        <is>
          <t>F0</t>
        </is>
      </c>
      <c r="H127" s="6" t="inlineStr">
        <is>
          <t>每次运行只注入1次；warm-up后在 eligible event 中均匀抽样</t>
        </is>
      </c>
      <c r="I127" s="6" t="inlineStr">
        <is>
          <t>W7 GAP-Selected</t>
        </is>
      </c>
      <c r="J127" s="6" t="inlineStr">
        <is>
          <t>GAP-Selected（公开通用）
执行定义与oracle：BFS、SSSP、PageRank；固定图和结果 hash；制造不规则依赖、长延迟和 ROB 压力</t>
        </is>
      </c>
      <c r="K127" s="6" t="inlineStr">
        <is>
          <t>ROB占用非0且非满，最好跨wrap边界</t>
        </is>
      </c>
      <c r="L127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27" s="6" t="inlineStr">
        <is>
          <t>head跳转可能漏/乱序提交；tail错误可能覆盖在飞entry；多数破坏守恒并Crash，但小距离错位可能SDC</t>
        </is>
      </c>
      <c r="N127" s="6" t="inlineStr">
        <is>
          <t>覆盖环形队列索引与边界</t>
        </is>
      </c>
      <c r="O127" s="6" t="inlineStr">
        <is>
          <t>本方案结构化模型</t>
        </is>
      </c>
      <c r="P127" s="9" t="n"/>
      <c r="Q127" s="9" t="n"/>
      <c r="R127" s="9" t="n"/>
      <c r="S127" s="9" t="n"/>
      <c r="T127" s="9" t="n"/>
      <c r="U127" s="9" t="n"/>
      <c r="V127" s="9" t="n"/>
      <c r="W127" s="9" t="n"/>
      <c r="X127" s="12">
        <f>IF(OR(R127="",R127-AP127&lt;=0),"",AB127/(R127-AP127))</f>
        <v/>
      </c>
      <c r="Y127" s="12">
        <f>IFERROR(R127/AR127,0)</f>
        <v/>
      </c>
      <c r="Z127" s="9" t="inlineStr">
        <is>
          <t>待执行</t>
        </is>
      </c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12">
        <f>IF(OR(R127="",R127-AP127&lt;=0),"",AO127/(R127-AP127))</f>
        <v/>
      </c>
      <c r="AM127" s="11">
        <f>IF(R127="","",SUM(AC127:AF127)-(R127-AP127))</f>
        <v/>
      </c>
      <c r="AN127" s="11">
        <f>IF(R127="","",SUM(S127:W127)+AP127-R127)</f>
        <v/>
      </c>
      <c r="AO127" s="9" t="n"/>
      <c r="AP127" s="9" t="n"/>
      <c r="AQ127" s="27" t="inlineStr">
        <is>
          <t>B06-a head索引换值；B06-b tail索引换值；B06-c wrap bit翻转；B06-d occupancy count翻转</t>
        </is>
      </c>
      <c r="AR127" s="39" t="n"/>
      <c r="AS127" s="39">
        <f>IFERROR(AR127/Q127,0)</f>
        <v/>
      </c>
      <c r="AT127" s="39" t="n">
        <v>30</v>
      </c>
      <c r="AU127" s="39" t="n">
        <v>385</v>
      </c>
      <c r="AV127" s="39" t="inlineStr">
        <is>
          <t>常规</t>
        </is>
      </c>
      <c r="AW127" s="39" t="inlineStr">
        <is>
          <t>累计至少385，不机械扩展到2401</t>
        </is>
      </c>
    </row>
    <row r="128" ht="118.0500030517578" customHeight="1">
      <c r="A128" s="6" t="inlineStr">
        <is>
          <t>B06-F2-W5</t>
        </is>
      </c>
      <c r="B128" s="6" t="inlineStr">
        <is>
          <t>B06</t>
        </is>
      </c>
      <c r="C128" s="6" t="inlineStr">
        <is>
          <t>Int Dispatch / ROB</t>
        </is>
      </c>
      <c r="D128" s="6" t="inlineStr">
        <is>
          <t>ROB head/tail指针、占用计数和wrap bit。</t>
        </is>
      </c>
      <c r="E128" s="6" t="inlineStr">
        <is>
          <t>状态/换值</t>
        </is>
      </c>
      <c r="F128" s="6" t="inlineStr">
        <is>
          <t>将head/tail换成另一当前合法索引，或翻转wrap/计数1 bit；子模型分开。从当前有效且生命周期合法的候选集合中选择另一个合法值；禁止空闲、越界或编码非法候选。保存source/target和候选集大小。仅当替换值被消费时计activated。触发：ROB占用非0且非满，最好跨wrap边界。</t>
        </is>
      </c>
      <c r="G128" s="6" t="inlineStr">
        <is>
          <t>F2</t>
        </is>
      </c>
      <c r="H128" s="6" t="inlineStr">
        <is>
          <t>平均每100,000个 eligible events 注入1次，间隔加入±50%抖动</t>
        </is>
      </c>
      <c r="I128" s="6" t="inlineStr">
        <is>
          <t>W5 ROB-Recovery</t>
        </is>
      </c>
      <c r="J128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28" s="6" t="inlineStr">
        <is>
          <t>ROB占用非0且非满，最好跨wrap边界</t>
        </is>
      </c>
      <c r="L128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28" s="6" t="inlineStr">
        <is>
          <t>head跳转可能漏/乱序提交；tail错误可能覆盖在飞entry；多数破坏守恒并Crash，但小距离错位可能SDC</t>
        </is>
      </c>
      <c r="N128" s="6" t="inlineStr">
        <is>
          <t>覆盖环形队列索引与边界</t>
        </is>
      </c>
      <c r="O128" s="6" t="inlineStr">
        <is>
          <t>本方案结构化模型</t>
        </is>
      </c>
      <c r="P128" s="9" t="n"/>
      <c r="Q128" s="9" t="n"/>
      <c r="R128" s="9" t="n"/>
      <c r="S128" s="9" t="n"/>
      <c r="T128" s="9" t="n"/>
      <c r="U128" s="9" t="n"/>
      <c r="V128" s="9" t="n"/>
      <c r="W128" s="9" t="n"/>
      <c r="X128" s="12">
        <f>IF(OR(R128="",R128-AP128&lt;=0),"",AB128/(R128-AP128))</f>
        <v/>
      </c>
      <c r="Y128" s="12">
        <f>IFERROR(R128/AR128,0)</f>
        <v/>
      </c>
      <c r="Z128" s="9" t="inlineStr">
        <is>
          <t>待执行</t>
        </is>
      </c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12">
        <f>IF(OR(R128="",R128-AP128&lt;=0),"",AO128/(R128-AP128))</f>
        <v/>
      </c>
      <c r="AM128" s="11">
        <f>IF(R128="","",SUM(AC128:AF128)-(R128-AP128))</f>
        <v/>
      </c>
      <c r="AN128" s="11">
        <f>IF(R128="","",SUM(S128:W128)+AP128-R128)</f>
        <v/>
      </c>
      <c r="AO128" s="9" t="n"/>
      <c r="AP128" s="9" t="n"/>
      <c r="AQ128" s="27" t="inlineStr">
        <is>
          <t>B06-a head索引换值；B06-b tail索引换值；B06-c wrap bit翻转；B06-d occupancy count翻转</t>
        </is>
      </c>
      <c r="AR128" s="39" t="n"/>
      <c r="AS128" s="39">
        <f>IFERROR(AR128/Q128,0)</f>
        <v/>
      </c>
      <c r="AT128" s="39" t="n">
        <v>30</v>
      </c>
      <c r="AU128" s="39" t="n">
        <v>385</v>
      </c>
      <c r="AV128" s="39" t="inlineStr">
        <is>
          <t>常规</t>
        </is>
      </c>
      <c r="AW128" s="39" t="inlineStr">
        <is>
          <t>累计至少385，不机械扩展到2401</t>
        </is>
      </c>
    </row>
    <row r="129" ht="118.0500030517578" customHeight="1">
      <c r="A129" s="6" t="inlineStr">
        <is>
          <t>B06-F2-W7</t>
        </is>
      </c>
      <c r="B129" s="6" t="inlineStr">
        <is>
          <t>B06</t>
        </is>
      </c>
      <c r="C129" s="6" t="inlineStr">
        <is>
          <t>Int Dispatch / ROB</t>
        </is>
      </c>
      <c r="D129" s="6" t="inlineStr">
        <is>
          <t>ROB head/tail指针、占用计数和wrap bit。</t>
        </is>
      </c>
      <c r="E129" s="6" t="inlineStr">
        <is>
          <t>状态/换值</t>
        </is>
      </c>
      <c r="F129" s="6" t="inlineStr">
        <is>
          <t>将head/tail换成另一当前合法索引，或翻转wrap/计数1 bit；子模型分开。从当前有效且生命周期合法的候选集合中选择另一个合法值；禁止空闲、越界或编码非法候选。保存source/target和候选集大小。仅当替换值被消费时计activated。触发：ROB占用非0且非满，最好跨wrap边界。</t>
        </is>
      </c>
      <c r="G129" s="6" t="inlineStr">
        <is>
          <t>F2</t>
        </is>
      </c>
      <c r="H129" s="6" t="inlineStr">
        <is>
          <t>平均每100,000个 eligible events 注入1次，间隔加入±50%抖动</t>
        </is>
      </c>
      <c r="I129" s="6" t="inlineStr">
        <is>
          <t>W7 GAP-Selected</t>
        </is>
      </c>
      <c r="J129" s="6" t="inlineStr">
        <is>
          <t>GAP-Selected（公开通用）
执行定义与oracle：BFS、SSSP、PageRank；固定图和结果 hash；制造不规则依赖、长延迟和 ROB 压力</t>
        </is>
      </c>
      <c r="K129" s="6" t="inlineStr">
        <is>
          <t>ROB占用非0且非满，最好跨wrap边界</t>
        </is>
      </c>
      <c r="L129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29" s="6" t="inlineStr">
        <is>
          <t>head跳转可能漏/乱序提交；tail错误可能覆盖在飞entry；多数破坏守恒并Crash，但小距离错位可能SDC</t>
        </is>
      </c>
      <c r="N129" s="6" t="inlineStr">
        <is>
          <t>覆盖环形队列索引与边界</t>
        </is>
      </c>
      <c r="O129" s="6" t="inlineStr">
        <is>
          <t>本方案结构化模型</t>
        </is>
      </c>
      <c r="P129" s="9" t="n"/>
      <c r="Q129" s="9" t="n"/>
      <c r="R129" s="9" t="n"/>
      <c r="S129" s="9" t="n"/>
      <c r="T129" s="9" t="n"/>
      <c r="U129" s="9" t="n"/>
      <c r="V129" s="9" t="n"/>
      <c r="W129" s="9" t="n"/>
      <c r="X129" s="12">
        <f>IF(OR(R129="",R129-AP129&lt;=0),"",AB129/(R129-AP129))</f>
        <v/>
      </c>
      <c r="Y129" s="12">
        <f>IFERROR(R129/AR129,0)</f>
        <v/>
      </c>
      <c r="Z129" s="9" t="inlineStr">
        <is>
          <t>待执行</t>
        </is>
      </c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12">
        <f>IF(OR(R129="",R129-AP129&lt;=0),"",AO129/(R129-AP129))</f>
        <v/>
      </c>
      <c r="AM129" s="11">
        <f>IF(R129="","",SUM(AC129:AF129)-(R129-AP129))</f>
        <v/>
      </c>
      <c r="AN129" s="11">
        <f>IF(R129="","",SUM(S129:W129)+AP129-R129)</f>
        <v/>
      </c>
      <c r="AO129" s="9" t="n"/>
      <c r="AP129" s="9" t="n"/>
      <c r="AQ129" s="27" t="inlineStr">
        <is>
          <t>B06-a head索引换值；B06-b tail索引换值；B06-c wrap bit翻转；B06-d occupancy count翻转</t>
        </is>
      </c>
      <c r="AR129" s="39" t="n"/>
      <c r="AS129" s="39">
        <f>IFERROR(AR129/Q129,0)</f>
        <v/>
      </c>
      <c r="AT129" s="39" t="n">
        <v>30</v>
      </c>
      <c r="AU129" s="39" t="n">
        <v>385</v>
      </c>
      <c r="AV129" s="39" t="inlineStr">
        <is>
          <t>常规</t>
        </is>
      </c>
      <c r="AW129" s="39" t="inlineStr">
        <is>
          <t>累计至少385，不机械扩展到2401</t>
        </is>
      </c>
    </row>
    <row r="130" ht="118.0500030517578" customHeight="1">
      <c r="A130" s="6" t="inlineStr">
        <is>
          <t>B06-F6-W5</t>
        </is>
      </c>
      <c r="B130" s="6" t="inlineStr">
        <is>
          <t>B06</t>
        </is>
      </c>
      <c r="C130" s="6" t="inlineStr">
        <is>
          <t>Int Dispatch / ROB</t>
        </is>
      </c>
      <c r="D130" s="6" t="inlineStr">
        <is>
          <t>ROB head/tail指针、占用计数和wrap bit。</t>
        </is>
      </c>
      <c r="E130" s="6" t="inlineStr">
        <is>
          <t>状态/换值</t>
        </is>
      </c>
      <c r="F130" s="6" t="inlineStr">
        <is>
          <t>将head/tail换成另一当前合法索引，或翻转wrap/计数1 bit；子模型分开。从当前有效且生命周期合法的候选集合中选择另一个合法值；禁止空闲、越界或编码非法候选。保存source/target和候选集大小。仅当替换值被消费时计activated。触发：ROB占用非0且非满，最好跨wrap边界。</t>
        </is>
      </c>
      <c r="G130" s="6" t="inlineStr">
        <is>
          <t>F6</t>
        </is>
      </c>
      <c r="H130" s="6" t="inlineStr">
        <is>
          <t>首次出现指定稀有事件时注入1次，保证结构化模型被激活</t>
        </is>
      </c>
      <c r="I130" s="6" t="inlineStr">
        <is>
          <t>W5 ROB-Recovery</t>
        </is>
      </c>
      <c r="J130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30" s="6" t="inlineStr">
        <is>
          <t>ROB占用非0且非满，最好跨wrap边界</t>
        </is>
      </c>
      <c r="L130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30" s="6" t="inlineStr">
        <is>
          <t>head跳转可能漏/乱序提交；tail错误可能覆盖在飞entry；多数破坏守恒并Crash，但小距离错位可能SDC</t>
        </is>
      </c>
      <c r="N130" s="6" t="inlineStr">
        <is>
          <t>覆盖环形队列索引与边界</t>
        </is>
      </c>
      <c r="O130" s="6" t="inlineStr">
        <is>
          <t>本方案结构化模型</t>
        </is>
      </c>
      <c r="P130" s="9" t="n"/>
      <c r="Q130" s="9" t="n"/>
      <c r="R130" s="9" t="n"/>
      <c r="S130" s="9" t="n"/>
      <c r="T130" s="9" t="n"/>
      <c r="U130" s="9" t="n"/>
      <c r="V130" s="9" t="n"/>
      <c r="W130" s="9" t="n"/>
      <c r="X130" s="12">
        <f>IF(OR(R130="",R130-AP130&lt;=0),"",AB130/(R130-AP130))</f>
        <v/>
      </c>
      <c r="Y130" s="12">
        <f>IFERROR(R130/AR130,0)</f>
        <v/>
      </c>
      <c r="Z130" s="9" t="inlineStr">
        <is>
          <t>待执行</t>
        </is>
      </c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12">
        <f>IF(OR(R130="",R130-AP130&lt;=0),"",AO130/(R130-AP130))</f>
        <v/>
      </c>
      <c r="AM130" s="11">
        <f>IF(R130="","",SUM(AC130:AF130)-(R130-AP130))</f>
        <v/>
      </c>
      <c r="AN130" s="11">
        <f>IF(R130="","",SUM(S130:W130)+AP130-R130)</f>
        <v/>
      </c>
      <c r="AO130" s="9" t="n"/>
      <c r="AP130" s="9" t="n"/>
      <c r="AQ130" s="27" t="inlineStr">
        <is>
          <t>B06-a head索引换值；B06-b tail索引换值；B06-c wrap bit翻转；B06-d occupancy count翻转</t>
        </is>
      </c>
      <c r="AR130" s="39" t="n"/>
      <c r="AS130" s="39">
        <f>IFERROR(AR130/Q130,0)</f>
        <v/>
      </c>
      <c r="AT130" s="39" t="n">
        <v>30</v>
      </c>
      <c r="AU130" s="39" t="n">
        <v>385</v>
      </c>
      <c r="AV130" s="39" t="inlineStr">
        <is>
          <t>常规</t>
        </is>
      </c>
      <c r="AW130" s="39" t="inlineStr">
        <is>
          <t>累计至少385，不机械扩展到2401</t>
        </is>
      </c>
    </row>
    <row r="131" ht="118.0500030517578" customHeight="1">
      <c r="A131" s="6" t="inlineStr">
        <is>
          <t>B06-F6-W7</t>
        </is>
      </c>
      <c r="B131" s="6" t="inlineStr">
        <is>
          <t>B06</t>
        </is>
      </c>
      <c r="C131" s="6" t="inlineStr">
        <is>
          <t>Int Dispatch / ROB</t>
        </is>
      </c>
      <c r="D131" s="6" t="inlineStr">
        <is>
          <t>ROB head/tail指针、占用计数和wrap bit。</t>
        </is>
      </c>
      <c r="E131" s="6" t="inlineStr">
        <is>
          <t>状态/换值</t>
        </is>
      </c>
      <c r="F131" s="6" t="inlineStr">
        <is>
          <t>将head/tail换成另一当前合法索引，或翻转wrap/计数1 bit；子模型分开。从当前有效且生命周期合法的候选集合中选择另一个合法值；禁止空闲、越界或编码非法候选。保存source/target和候选集大小。仅当替换值被消费时计activated。触发：ROB占用非0且非满，最好跨wrap边界。</t>
        </is>
      </c>
      <c r="G131" s="6" t="inlineStr">
        <is>
          <t>F6</t>
        </is>
      </c>
      <c r="H131" s="6" t="inlineStr">
        <is>
          <t>首次出现指定稀有事件时注入1次，保证结构化模型被激活</t>
        </is>
      </c>
      <c r="I131" s="6" t="inlineStr">
        <is>
          <t>W7 GAP-Selected</t>
        </is>
      </c>
      <c r="J131" s="6" t="inlineStr">
        <is>
          <t>GAP-Selected（公开通用）
执行定义与oracle：BFS、SSSP、PageRank；固定图和结果 hash；制造不规则依赖、长延迟和 ROB 压力</t>
        </is>
      </c>
      <c r="K131" s="6" t="inlineStr">
        <is>
          <t>ROB占用非0且非满，最好跨wrap边界</t>
        </is>
      </c>
      <c r="L131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31" s="6" t="inlineStr">
        <is>
          <t>head跳转可能漏/乱序提交；tail错误可能覆盖在飞entry；多数破坏守恒并Crash，但小距离错位可能SDC</t>
        </is>
      </c>
      <c r="N131" s="6" t="inlineStr">
        <is>
          <t>覆盖环形队列索引与边界</t>
        </is>
      </c>
      <c r="O131" s="6" t="inlineStr">
        <is>
          <t>本方案结构化模型</t>
        </is>
      </c>
      <c r="P131" s="9" t="n"/>
      <c r="Q131" s="9" t="n"/>
      <c r="R131" s="9" t="n"/>
      <c r="S131" s="9" t="n"/>
      <c r="T131" s="9" t="n"/>
      <c r="U131" s="9" t="n"/>
      <c r="V131" s="9" t="n"/>
      <c r="W131" s="9" t="n"/>
      <c r="X131" s="12">
        <f>IF(OR(R131="",R131-AP131&lt;=0),"",AB131/(R131-AP131))</f>
        <v/>
      </c>
      <c r="Y131" s="12">
        <f>IFERROR(R131/AR131,0)</f>
        <v/>
      </c>
      <c r="Z131" s="9" t="inlineStr">
        <is>
          <t>待执行</t>
        </is>
      </c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12">
        <f>IF(OR(R131="",R131-AP131&lt;=0),"",AO131/(R131-AP131))</f>
        <v/>
      </c>
      <c r="AM131" s="11">
        <f>IF(R131="","",SUM(AC131:AF131)-(R131-AP131))</f>
        <v/>
      </c>
      <c r="AN131" s="11">
        <f>IF(R131="","",SUM(S131:W131)+AP131-R131)</f>
        <v/>
      </c>
      <c r="AO131" s="9" t="n"/>
      <c r="AP131" s="9" t="n"/>
      <c r="AQ131" s="27" t="inlineStr">
        <is>
          <t>B06-a head索引换值；B06-b tail索引换值；B06-c wrap bit翻转；B06-d occupancy count翻转</t>
        </is>
      </c>
      <c r="AR131" s="39" t="n"/>
      <c r="AS131" s="39">
        <f>IFERROR(AR131/Q131,0)</f>
        <v/>
      </c>
      <c r="AT131" s="39" t="n">
        <v>30</v>
      </c>
      <c r="AU131" s="39" t="n">
        <v>385</v>
      </c>
      <c r="AV131" s="39" t="inlineStr">
        <is>
          <t>常规</t>
        </is>
      </c>
      <c r="AW131" s="39" t="inlineStr">
        <is>
          <t>累计至少385，不机械扩展到2401</t>
        </is>
      </c>
    </row>
    <row r="132" ht="118.0500030517578" customHeight="1">
      <c r="A132" s="6" t="inlineStr">
        <is>
          <t>B07-F0-W5</t>
        </is>
      </c>
      <c r="B132" s="6" t="inlineStr">
        <is>
          <t>B07</t>
        </is>
      </c>
      <c r="C132" s="6" t="inlineStr">
        <is>
          <t>Int Dispatch / ROB</t>
        </is>
      </c>
      <c r="D132" s="6" t="inlineStr">
        <is>
          <t>dispatch steering：uop到整数IQ/FU类别、ROB slot和端口选择。</t>
        </is>
      </c>
      <c r="E132" s="6" t="inlineStr">
        <is>
          <t>换值</t>
        </is>
      </c>
      <c r="F132" s="6" t="inlineStr">
        <is>
          <t>把目标IQ/FU类别或dispatch lane换成另一支持该opClass的合法目的；不修改uop数据。从当前有效且生命周期合法的候选集合中选择另一个合法值；禁止空闲、越界或编码非法候选。保存source/target和候选集大小。仅当替换值被消费时计activated。触发：存在两个兼容dispatch目的或lane。</t>
        </is>
      </c>
      <c r="G132" s="6" t="inlineStr">
        <is>
          <t>F0</t>
        </is>
      </c>
      <c r="H132" s="6" t="inlineStr">
        <is>
          <t>每次运行只注入1次；warm-up后在 eligible event 中均匀抽样</t>
        </is>
      </c>
      <c r="I132" s="6" t="inlineStr">
        <is>
          <t>W5 ROB-Recovery</t>
        </is>
      </c>
      <c r="J132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32" s="6" t="inlineStr">
        <is>
          <t>存在两个兼容dispatch目的或lane</t>
        </is>
      </c>
      <c r="L132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32" s="6" t="inlineStr">
        <is>
          <t>兼容lane替换多为性能影响；不兼容但仍接受时可能错误执行或死锁</t>
        </is>
      </c>
      <c r="N132" s="6" t="inlineStr">
        <is>
          <t>区分资源选择错误与ROB存储错误</t>
        </is>
      </c>
      <c r="O132" s="6" t="inlineStr">
        <is>
          <t>IISWC15称支持IQ但无结果；本方案结构化模型</t>
        </is>
      </c>
      <c r="P132" s="9" t="n"/>
      <c r="Q132" s="9" t="n"/>
      <c r="R132" s="9" t="n"/>
      <c r="S132" s="9" t="n"/>
      <c r="T132" s="9" t="n"/>
      <c r="U132" s="9" t="n"/>
      <c r="V132" s="9" t="n"/>
      <c r="W132" s="9" t="n"/>
      <c r="X132" s="12">
        <f>IF(OR(R132="",R132-AP132&lt;=0),"",AB132/(R132-AP132))</f>
        <v/>
      </c>
      <c r="Y132" s="12">
        <f>IFERROR(R132/AR132,0)</f>
        <v/>
      </c>
      <c r="Z132" s="9" t="inlineStr">
        <is>
          <t>待执行</t>
        </is>
      </c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12">
        <f>IF(OR(R132="",R132-AP132&lt;=0),"",AO132/(R132-AP132))</f>
        <v/>
      </c>
      <c r="AM132" s="11">
        <f>IF(R132="","",SUM(AC132:AF132)-(R132-AP132))</f>
        <v/>
      </c>
      <c r="AN132" s="11">
        <f>IF(R132="","",SUM(S132:W132)+AP132-R132)</f>
        <v/>
      </c>
      <c r="AO132" s="9" t="n"/>
      <c r="AP132" s="9" t="n"/>
      <c r="AQ132" s="27" t="inlineStr">
        <is>
          <t>B07-a IQ类别合法换值；B07-b FU类别合法换值；B07-c dispatch lane合法换值；B07-d ROB slot合法换值</t>
        </is>
      </c>
      <c r="AR132" s="39" t="n"/>
      <c r="AS132" s="39">
        <f>IFERROR(AR132/Q132,0)</f>
        <v/>
      </c>
      <c r="AT132" s="39" t="n">
        <v>30</v>
      </c>
      <c r="AU132" s="39" t="n">
        <v>385</v>
      </c>
      <c r="AV132" s="39" t="inlineStr">
        <is>
          <t>常规</t>
        </is>
      </c>
      <c r="AW132" s="39" t="inlineStr">
        <is>
          <t>累计至少385，不机械扩展到2401</t>
        </is>
      </c>
    </row>
    <row r="133" ht="118.0500030517578" customHeight="1">
      <c r="A133" s="6" t="inlineStr">
        <is>
          <t>B07-F0-W6</t>
        </is>
      </c>
      <c r="B133" s="6" t="inlineStr">
        <is>
          <t>B07</t>
        </is>
      </c>
      <c r="C133" s="6" t="inlineStr">
        <is>
          <t>Int Dispatch / ROB</t>
        </is>
      </c>
      <c r="D133" s="6" t="inlineStr">
        <is>
          <t>dispatch steering：uop到整数IQ/FU类别、ROB slot和端口选择。</t>
        </is>
      </c>
      <c r="E133" s="6" t="inlineStr">
        <is>
          <t>换值</t>
        </is>
      </c>
      <c r="F133" s="6" t="inlineStr">
        <is>
          <t>把目标IQ/FU类别或dispatch lane换成另一支持该opClass的合法目的；不修改uop数据。从当前有效且生命周期合法的候选集合中选择另一个合法值；禁止空闲、越界或编码非法候选。保存source/target和候选集大小。仅当替换值被消费时计activated。触发：存在两个兼容dispatch目的或lane。</t>
        </is>
      </c>
      <c r="G133" s="6" t="inlineStr">
        <is>
          <t>F0</t>
        </is>
      </c>
      <c r="H133" s="6" t="inlineStr">
        <is>
          <t>每次运行只注入1次；warm-up后在 eligible event 中均匀抽样</t>
        </is>
      </c>
      <c r="I133" s="6" t="inlineStr">
        <is>
          <t>W6 CoreMark+Embench</t>
        </is>
      </c>
      <c r="J133" s="6" t="inlineStr">
        <is>
          <t>CoreMark+Embench（公开通用）
执行定义与oracle：CoreMark 与 Embench 全集；固定编译器/优化/输入；使用内置校验及输出 hash</t>
        </is>
      </c>
      <c r="K133" s="6" t="inlineStr">
        <is>
          <t>存在两个兼容dispatch目的或lane</t>
        </is>
      </c>
      <c r="L133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33" s="6" t="inlineStr">
        <is>
          <t>兼容lane替换多为性能影响；不兼容但仍接受时可能错误执行或死锁</t>
        </is>
      </c>
      <c r="N133" s="6" t="inlineStr">
        <is>
          <t>区分资源选择错误与ROB存储错误</t>
        </is>
      </c>
      <c r="O133" s="6" t="inlineStr">
        <is>
          <t>IISWC15称支持IQ但无结果；本方案结构化模型</t>
        </is>
      </c>
      <c r="P133" s="9" t="n"/>
      <c r="Q133" s="9" t="n"/>
      <c r="R133" s="9" t="n"/>
      <c r="S133" s="9" t="n"/>
      <c r="T133" s="9" t="n"/>
      <c r="U133" s="9" t="n"/>
      <c r="V133" s="9" t="n"/>
      <c r="W133" s="9" t="n"/>
      <c r="X133" s="12">
        <f>IF(OR(R133="",R133-AP133&lt;=0),"",AB133/(R133-AP133))</f>
        <v/>
      </c>
      <c r="Y133" s="12">
        <f>IFERROR(R133/AR133,0)</f>
        <v/>
      </c>
      <c r="Z133" s="9" t="inlineStr">
        <is>
          <t>待执行</t>
        </is>
      </c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12">
        <f>IF(OR(R133="",R133-AP133&lt;=0),"",AO133/(R133-AP133))</f>
        <v/>
      </c>
      <c r="AM133" s="11">
        <f>IF(R133="","",SUM(AC133:AF133)-(R133-AP133))</f>
        <v/>
      </c>
      <c r="AN133" s="11">
        <f>IF(R133="","",SUM(S133:W133)+AP133-R133)</f>
        <v/>
      </c>
      <c r="AO133" s="9" t="n"/>
      <c r="AP133" s="9" t="n"/>
      <c r="AQ133" s="27" t="inlineStr">
        <is>
          <t>B07-a IQ类别合法换值；B07-b FU类别合法换值；B07-c dispatch lane合法换值；B07-d ROB slot合法换值</t>
        </is>
      </c>
      <c r="AR133" s="39" t="n"/>
      <c r="AS133" s="39">
        <f>IFERROR(AR133/Q133,0)</f>
        <v/>
      </c>
      <c r="AT133" s="39" t="n">
        <v>30</v>
      </c>
      <c r="AU133" s="39" t="n">
        <v>385</v>
      </c>
      <c r="AV133" s="39" t="inlineStr">
        <is>
          <t>常规</t>
        </is>
      </c>
      <c r="AW133" s="39" t="inlineStr">
        <is>
          <t>累计至少385，不机械扩展到2401</t>
        </is>
      </c>
    </row>
    <row r="134" ht="118.0500030517578" customHeight="1">
      <c r="A134" s="6" t="inlineStr">
        <is>
          <t>B07-F2-W5</t>
        </is>
      </c>
      <c r="B134" s="6" t="inlineStr">
        <is>
          <t>B07</t>
        </is>
      </c>
      <c r="C134" s="6" t="inlineStr">
        <is>
          <t>Int Dispatch / ROB</t>
        </is>
      </c>
      <c r="D134" s="6" t="inlineStr">
        <is>
          <t>dispatch steering：uop到整数IQ/FU类别、ROB slot和端口选择。</t>
        </is>
      </c>
      <c r="E134" s="6" t="inlineStr">
        <is>
          <t>换值</t>
        </is>
      </c>
      <c r="F134" s="6" t="inlineStr">
        <is>
          <t>把目标IQ/FU类别或dispatch lane换成另一支持该opClass的合法目的；不修改uop数据。从当前有效且生命周期合法的候选集合中选择另一个合法值；禁止空闲、越界或编码非法候选。保存source/target和候选集大小。仅当替换值被消费时计activated。触发：存在两个兼容dispatch目的或lane。</t>
        </is>
      </c>
      <c r="G134" s="6" t="inlineStr">
        <is>
          <t>F2</t>
        </is>
      </c>
      <c r="H134" s="6" t="inlineStr">
        <is>
          <t>平均每100,000个 eligible events 注入1次，间隔加入±50%抖动</t>
        </is>
      </c>
      <c r="I134" s="6" t="inlineStr">
        <is>
          <t>W5 ROB-Recovery</t>
        </is>
      </c>
      <c r="J134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34" s="6" t="inlineStr">
        <is>
          <t>存在两个兼容dispatch目的或lane</t>
        </is>
      </c>
      <c r="L134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34" s="6" t="inlineStr">
        <is>
          <t>兼容lane替换多为性能影响；不兼容但仍接受时可能错误执行或死锁</t>
        </is>
      </c>
      <c r="N134" s="6" t="inlineStr">
        <is>
          <t>区分资源选择错误与ROB存储错误</t>
        </is>
      </c>
      <c r="O134" s="6" t="inlineStr">
        <is>
          <t>IISWC15称支持IQ但无结果；本方案结构化模型</t>
        </is>
      </c>
      <c r="P134" s="9" t="n"/>
      <c r="Q134" s="9" t="n"/>
      <c r="R134" s="9" t="n"/>
      <c r="S134" s="9" t="n"/>
      <c r="T134" s="9" t="n"/>
      <c r="U134" s="9" t="n"/>
      <c r="V134" s="9" t="n"/>
      <c r="W134" s="9" t="n"/>
      <c r="X134" s="12">
        <f>IF(OR(R134="",R134-AP134&lt;=0),"",AB134/(R134-AP134))</f>
        <v/>
      </c>
      <c r="Y134" s="12">
        <f>IFERROR(R134/AR134,0)</f>
        <v/>
      </c>
      <c r="Z134" s="9" t="inlineStr">
        <is>
          <t>待执行</t>
        </is>
      </c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12">
        <f>IF(OR(R134="",R134-AP134&lt;=0),"",AO134/(R134-AP134))</f>
        <v/>
      </c>
      <c r="AM134" s="11">
        <f>IF(R134="","",SUM(AC134:AF134)-(R134-AP134))</f>
        <v/>
      </c>
      <c r="AN134" s="11">
        <f>IF(R134="","",SUM(S134:W134)+AP134-R134)</f>
        <v/>
      </c>
      <c r="AO134" s="9" t="n"/>
      <c r="AP134" s="9" t="n"/>
      <c r="AQ134" s="27" t="inlineStr">
        <is>
          <t>B07-a IQ类别合法换值；B07-b FU类别合法换值；B07-c dispatch lane合法换值；B07-d ROB slot合法换值</t>
        </is>
      </c>
      <c r="AR134" s="39" t="n"/>
      <c r="AS134" s="39">
        <f>IFERROR(AR134/Q134,0)</f>
        <v/>
      </c>
      <c r="AT134" s="39" t="n">
        <v>30</v>
      </c>
      <c r="AU134" s="39" t="n">
        <v>385</v>
      </c>
      <c r="AV134" s="39" t="inlineStr">
        <is>
          <t>常规</t>
        </is>
      </c>
      <c r="AW134" s="39" t="inlineStr">
        <is>
          <t>累计至少385，不机械扩展到2401</t>
        </is>
      </c>
    </row>
    <row r="135" ht="118.0500030517578" customHeight="1">
      <c r="A135" s="6" t="inlineStr">
        <is>
          <t>B07-F2-W6</t>
        </is>
      </c>
      <c r="B135" s="6" t="inlineStr">
        <is>
          <t>B07</t>
        </is>
      </c>
      <c r="C135" s="6" t="inlineStr">
        <is>
          <t>Int Dispatch / ROB</t>
        </is>
      </c>
      <c r="D135" s="6" t="inlineStr">
        <is>
          <t>dispatch steering：uop到整数IQ/FU类别、ROB slot和端口选择。</t>
        </is>
      </c>
      <c r="E135" s="6" t="inlineStr">
        <is>
          <t>换值</t>
        </is>
      </c>
      <c r="F135" s="6" t="inlineStr">
        <is>
          <t>把目标IQ/FU类别或dispatch lane换成另一支持该opClass的合法目的；不修改uop数据。从当前有效且生命周期合法的候选集合中选择另一个合法值；禁止空闲、越界或编码非法候选。保存source/target和候选集大小。仅当替换值被消费时计activated。触发：存在两个兼容dispatch目的或lane。</t>
        </is>
      </c>
      <c r="G135" s="6" t="inlineStr">
        <is>
          <t>F2</t>
        </is>
      </c>
      <c r="H135" s="6" t="inlineStr">
        <is>
          <t>平均每100,000个 eligible events 注入1次，间隔加入±50%抖动</t>
        </is>
      </c>
      <c r="I135" s="6" t="inlineStr">
        <is>
          <t>W6 CoreMark+Embench</t>
        </is>
      </c>
      <c r="J135" s="6" t="inlineStr">
        <is>
          <t>CoreMark+Embench（公开通用）
执行定义与oracle：CoreMark 与 Embench 全集；固定编译器/优化/输入；使用内置校验及输出 hash</t>
        </is>
      </c>
      <c r="K135" s="6" t="inlineStr">
        <is>
          <t>存在两个兼容dispatch目的或lane</t>
        </is>
      </c>
      <c r="L135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35" s="6" t="inlineStr">
        <is>
          <t>兼容lane替换多为性能影响；不兼容但仍接受时可能错误执行或死锁</t>
        </is>
      </c>
      <c r="N135" s="6" t="inlineStr">
        <is>
          <t>区分资源选择错误与ROB存储错误</t>
        </is>
      </c>
      <c r="O135" s="6" t="inlineStr">
        <is>
          <t>IISWC15称支持IQ但无结果；本方案结构化模型</t>
        </is>
      </c>
      <c r="P135" s="9" t="n"/>
      <c r="Q135" s="9" t="n"/>
      <c r="R135" s="9" t="n"/>
      <c r="S135" s="9" t="n"/>
      <c r="T135" s="9" t="n"/>
      <c r="U135" s="9" t="n"/>
      <c r="V135" s="9" t="n"/>
      <c r="W135" s="9" t="n"/>
      <c r="X135" s="12">
        <f>IF(OR(R135="",R135-AP135&lt;=0),"",AB135/(R135-AP135))</f>
        <v/>
      </c>
      <c r="Y135" s="12">
        <f>IFERROR(R135/AR135,0)</f>
        <v/>
      </c>
      <c r="Z135" s="9" t="inlineStr">
        <is>
          <t>待执行</t>
        </is>
      </c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12">
        <f>IF(OR(R135="",R135-AP135&lt;=0),"",AO135/(R135-AP135))</f>
        <v/>
      </c>
      <c r="AM135" s="11">
        <f>IF(R135="","",SUM(AC135:AF135)-(R135-AP135))</f>
        <v/>
      </c>
      <c r="AN135" s="11">
        <f>IF(R135="","",SUM(S135:W135)+AP135-R135)</f>
        <v/>
      </c>
      <c r="AO135" s="9" t="n"/>
      <c r="AP135" s="9" t="n"/>
      <c r="AQ135" s="27" t="inlineStr">
        <is>
          <t>B07-a IQ类别合法换值；B07-b FU类别合法换值；B07-c dispatch lane合法换值；B07-d ROB slot合法换值</t>
        </is>
      </c>
      <c r="AR135" s="39" t="n"/>
      <c r="AS135" s="39">
        <f>IFERROR(AR135/Q135,0)</f>
        <v/>
      </c>
      <c r="AT135" s="39" t="n">
        <v>30</v>
      </c>
      <c r="AU135" s="39" t="n">
        <v>385</v>
      </c>
      <c r="AV135" s="39" t="inlineStr">
        <is>
          <t>常规</t>
        </is>
      </c>
      <c r="AW135" s="39" t="inlineStr">
        <is>
          <t>累计至少385，不机械扩展到2401</t>
        </is>
      </c>
    </row>
    <row r="136" ht="118.0500030517578" customHeight="1">
      <c r="A136" s="6" t="inlineStr">
        <is>
          <t>B07-F6-W5</t>
        </is>
      </c>
      <c r="B136" s="6" t="inlineStr">
        <is>
          <t>B07</t>
        </is>
      </c>
      <c r="C136" s="6" t="inlineStr">
        <is>
          <t>Int Dispatch / ROB</t>
        </is>
      </c>
      <c r="D136" s="6" t="inlineStr">
        <is>
          <t>dispatch steering：uop到整数IQ/FU类别、ROB slot和端口选择。</t>
        </is>
      </c>
      <c r="E136" s="6" t="inlineStr">
        <is>
          <t>换值</t>
        </is>
      </c>
      <c r="F136" s="6" t="inlineStr">
        <is>
          <t>把目标IQ/FU类别或dispatch lane换成另一支持该opClass的合法目的；不修改uop数据。从当前有效且生命周期合法的候选集合中选择另一个合法值；禁止空闲、越界或编码非法候选。保存source/target和候选集大小。仅当替换值被消费时计activated。触发：存在两个兼容dispatch目的或lane。</t>
        </is>
      </c>
      <c r="G136" s="6" t="inlineStr">
        <is>
          <t>F6</t>
        </is>
      </c>
      <c r="H136" s="6" t="inlineStr">
        <is>
          <t>首次出现指定稀有事件时注入1次，保证结构化模型被激活</t>
        </is>
      </c>
      <c r="I136" s="6" t="inlineStr">
        <is>
          <t>W5 ROB-Recovery</t>
        </is>
      </c>
      <c r="J136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36" s="6" t="inlineStr">
        <is>
          <t>存在两个兼容dispatch目的或lane</t>
        </is>
      </c>
      <c r="L136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36" s="6" t="inlineStr">
        <is>
          <t>兼容lane替换多为性能影响；不兼容但仍接受时可能错误执行或死锁</t>
        </is>
      </c>
      <c r="N136" s="6" t="inlineStr">
        <is>
          <t>区分资源选择错误与ROB存储错误</t>
        </is>
      </c>
      <c r="O136" s="6" t="inlineStr">
        <is>
          <t>IISWC15称支持IQ但无结果；本方案结构化模型</t>
        </is>
      </c>
      <c r="P136" s="9" t="n"/>
      <c r="Q136" s="9" t="n"/>
      <c r="R136" s="9" t="n"/>
      <c r="S136" s="9" t="n"/>
      <c r="T136" s="9" t="n"/>
      <c r="U136" s="9" t="n"/>
      <c r="V136" s="9" t="n"/>
      <c r="W136" s="9" t="n"/>
      <c r="X136" s="12">
        <f>IF(OR(R136="",R136-AP136&lt;=0),"",AB136/(R136-AP136))</f>
        <v/>
      </c>
      <c r="Y136" s="12">
        <f>IFERROR(R136/AR136,0)</f>
        <v/>
      </c>
      <c r="Z136" s="9" t="inlineStr">
        <is>
          <t>待执行</t>
        </is>
      </c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12">
        <f>IF(OR(R136="",R136-AP136&lt;=0),"",AO136/(R136-AP136))</f>
        <v/>
      </c>
      <c r="AM136" s="11">
        <f>IF(R136="","",SUM(AC136:AF136)-(R136-AP136))</f>
        <v/>
      </c>
      <c r="AN136" s="11">
        <f>IF(R136="","",SUM(S136:W136)+AP136-R136)</f>
        <v/>
      </c>
      <c r="AO136" s="9" t="n"/>
      <c r="AP136" s="9" t="n"/>
      <c r="AQ136" s="27" t="inlineStr">
        <is>
          <t>B07-a IQ类别合法换值；B07-b FU类别合法换值；B07-c dispatch lane合法换值；B07-d ROB slot合法换值</t>
        </is>
      </c>
      <c r="AR136" s="39" t="n"/>
      <c r="AS136" s="39">
        <f>IFERROR(AR136/Q136,0)</f>
        <v/>
      </c>
      <c r="AT136" s="39" t="n">
        <v>30</v>
      </c>
      <c r="AU136" s="39" t="n">
        <v>385</v>
      </c>
      <c r="AV136" s="39" t="inlineStr">
        <is>
          <t>常规</t>
        </is>
      </c>
      <c r="AW136" s="39" t="inlineStr">
        <is>
          <t>累计至少385，不机械扩展到2401</t>
        </is>
      </c>
    </row>
    <row r="137" ht="118.0500030517578" customHeight="1">
      <c r="A137" s="6" t="inlineStr">
        <is>
          <t>B07-F6-W6</t>
        </is>
      </c>
      <c r="B137" s="6" t="inlineStr">
        <is>
          <t>B07</t>
        </is>
      </c>
      <c r="C137" s="6" t="inlineStr">
        <is>
          <t>Int Dispatch / ROB</t>
        </is>
      </c>
      <c r="D137" s="6" t="inlineStr">
        <is>
          <t>dispatch steering：uop到整数IQ/FU类别、ROB slot和端口选择。</t>
        </is>
      </c>
      <c r="E137" s="6" t="inlineStr">
        <is>
          <t>换值</t>
        </is>
      </c>
      <c r="F137" s="6" t="inlineStr">
        <is>
          <t>把目标IQ/FU类别或dispatch lane换成另一支持该opClass的合法目的；不修改uop数据。从当前有效且生命周期合法的候选集合中选择另一个合法值；禁止空闲、越界或编码非法候选。保存source/target和候选集大小。仅当替换值被消费时计activated。触发：存在两个兼容dispatch目的或lane。</t>
        </is>
      </c>
      <c r="G137" s="6" t="inlineStr">
        <is>
          <t>F6</t>
        </is>
      </c>
      <c r="H137" s="6" t="inlineStr">
        <is>
          <t>首次出现指定稀有事件时注入1次，保证结构化模型被激活</t>
        </is>
      </c>
      <c r="I137" s="6" t="inlineStr">
        <is>
          <t>W6 CoreMark+Embench</t>
        </is>
      </c>
      <c r="J137" s="6" t="inlineStr">
        <is>
          <t>CoreMark+Embench（公开通用）
执行定义与oracle：CoreMark 与 Embench 全集；固定编译器/优化/输入；使用内置校验及输出 hash</t>
        </is>
      </c>
      <c r="K137" s="6" t="inlineStr">
        <is>
          <t>存在两个兼容dispatch目的或lane</t>
        </is>
      </c>
      <c r="L137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37" s="6" t="inlineStr">
        <is>
          <t>兼容lane替换多为性能影响；不兼容但仍接受时可能错误执行或死锁</t>
        </is>
      </c>
      <c r="N137" s="6" t="inlineStr">
        <is>
          <t>区分资源选择错误与ROB存储错误</t>
        </is>
      </c>
      <c r="O137" s="6" t="inlineStr">
        <is>
          <t>IISWC15称支持IQ但无结果；本方案结构化模型</t>
        </is>
      </c>
      <c r="P137" s="9" t="n"/>
      <c r="Q137" s="9" t="n"/>
      <c r="R137" s="9" t="n"/>
      <c r="S137" s="9" t="n"/>
      <c r="T137" s="9" t="n"/>
      <c r="U137" s="9" t="n"/>
      <c r="V137" s="9" t="n"/>
      <c r="W137" s="9" t="n"/>
      <c r="X137" s="12">
        <f>IF(OR(R137="",R137-AP137&lt;=0),"",AB137/(R137-AP137))</f>
        <v/>
      </c>
      <c r="Y137" s="12">
        <f>IFERROR(R137/AR137,0)</f>
        <v/>
      </c>
      <c r="Z137" s="9" t="inlineStr">
        <is>
          <t>待执行</t>
        </is>
      </c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12">
        <f>IF(OR(R137="",R137-AP137&lt;=0),"",AO137/(R137-AP137))</f>
        <v/>
      </c>
      <c r="AM137" s="11">
        <f>IF(R137="","",SUM(AC137:AF137)-(R137-AP137))</f>
        <v/>
      </c>
      <c r="AN137" s="11">
        <f>IF(R137="","",SUM(S137:W137)+AP137-R137)</f>
        <v/>
      </c>
      <c r="AO137" s="9" t="n"/>
      <c r="AP137" s="9" t="n"/>
      <c r="AQ137" s="27" t="inlineStr">
        <is>
          <t>B07-a IQ类别合法换值；B07-b FU类别合法换值；B07-c dispatch lane合法换值；B07-d ROB slot合法换值</t>
        </is>
      </c>
      <c r="AR137" s="39" t="n"/>
      <c r="AS137" s="39">
        <f>IFERROR(AR137/Q137,0)</f>
        <v/>
      </c>
      <c r="AT137" s="39" t="n">
        <v>30</v>
      </c>
      <c r="AU137" s="39" t="n">
        <v>385</v>
      </c>
      <c r="AV137" s="39" t="inlineStr">
        <is>
          <t>常规</t>
        </is>
      </c>
      <c r="AW137" s="39" t="inlineStr">
        <is>
          <t>累计至少385，不机械扩展到2401</t>
        </is>
      </c>
    </row>
    <row r="138" ht="118.0500030517578" customHeight="1">
      <c r="A138" s="6" t="inlineStr">
        <is>
          <t>B08-F0-W5</t>
        </is>
      </c>
      <c r="B138" s="6" t="inlineStr">
        <is>
          <t>B08</t>
        </is>
      </c>
      <c r="C138" s="6" t="inlineStr">
        <is>
          <t>Int Dispatch / ROB</t>
        </is>
      </c>
      <c r="D138" s="6" t="inlineStr">
        <is>
          <t>squash广播、ROB清除和恢复事件。</t>
        </is>
      </c>
      <c r="E138" s="6" t="inlineStr">
        <is>
          <t>时序</t>
        </is>
      </c>
      <c r="F138" s="6" t="inlineStr">
        <is>
          <t>squash提前/延后1拍、丢失一次或重复一次；绑定具体mispredict/exception。绑定一个动态指令/事件ID，提前、延后、丢失、重复分开执行；数据载荷保持正确。仅当下游因此读取旧值、漏发、重复或改变顺序时计activated。触发：发生mispredict或精确异常。</t>
        </is>
      </c>
      <c r="G138" s="6" t="inlineStr">
        <is>
          <t>F0</t>
        </is>
      </c>
      <c r="H138" s="6" t="inlineStr">
        <is>
          <t>每次运行只注入1次；warm-up后在 eligible event 中均匀抽样</t>
        </is>
      </c>
      <c r="I138" s="6" t="inlineStr">
        <is>
          <t>W5 ROB-Recovery</t>
        </is>
      </c>
      <c r="J138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38" s="6" t="inlineStr">
        <is>
          <t>发生mispredict或精确异常</t>
        </is>
      </c>
      <c r="L138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38" s="6" t="inlineStr">
        <is>
          <t>延后/丢失可能让错误路径结果进入完成/提交窗口；重复多为性能损失或资源状态破坏</t>
        </is>
      </c>
      <c r="N138" s="6" t="inlineStr">
        <is>
          <t>适配OoO投机恢复传播链</t>
        </is>
      </c>
      <c r="O138" s="6" t="inlineStr">
        <is>
          <t>MICRO24时延方法论；本方案结构化模型</t>
        </is>
      </c>
      <c r="P138" s="9" t="n"/>
      <c r="Q138" s="9" t="n"/>
      <c r="R138" s="9" t="n"/>
      <c r="S138" s="9" t="n"/>
      <c r="T138" s="9" t="n"/>
      <c r="U138" s="9" t="n"/>
      <c r="V138" s="9" t="n"/>
      <c r="W138" s="9" t="n"/>
      <c r="X138" s="12">
        <f>IF(OR(R138="",R138-AP138&lt;=0),"",AB138/(R138-AP138))</f>
        <v/>
      </c>
      <c r="Y138" s="12">
        <f>IFERROR(R138/AR138,0)</f>
        <v/>
      </c>
      <c r="Z138" s="9" t="inlineStr">
        <is>
          <t>待执行</t>
        </is>
      </c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12">
        <f>IF(OR(R138="",R138-AP138&lt;=0),"",AO138/(R138-AP138))</f>
        <v/>
      </c>
      <c r="AM138" s="11">
        <f>IF(R138="","",SUM(AC138:AF138)-(R138-AP138))</f>
        <v/>
      </c>
      <c r="AN138" s="11">
        <f>IF(R138="","",SUM(S138:W138)+AP138-R138)</f>
        <v/>
      </c>
      <c r="AO138" s="9" t="n"/>
      <c r="AP138" s="9" t="n"/>
      <c r="AQ138" s="27" t="inlineStr">
        <is>
          <t>B08-a squash提前1拍；B08-b squash延后1拍；B08-c squash丢失；B08-d squash重复</t>
        </is>
      </c>
      <c r="AR138" s="39" t="n"/>
      <c r="AS138" s="39">
        <f>IFERROR(AR138/Q138,0)</f>
        <v/>
      </c>
      <c r="AT138" s="39" t="n">
        <v>30</v>
      </c>
      <c r="AU138" s="39" t="n">
        <v>385</v>
      </c>
      <c r="AV138" s="39" t="inlineStr">
        <is>
          <t>常规</t>
        </is>
      </c>
      <c r="AW138" s="39" t="inlineStr">
        <is>
          <t>累计至少385，不机械扩展到2401</t>
        </is>
      </c>
    </row>
    <row r="139" ht="118.0500030517578" customHeight="1">
      <c r="A139" s="6" t="inlineStr">
        <is>
          <t>B08-F0-W7</t>
        </is>
      </c>
      <c r="B139" s="6" t="inlineStr">
        <is>
          <t>B08</t>
        </is>
      </c>
      <c r="C139" s="6" t="inlineStr">
        <is>
          <t>Int Dispatch / ROB</t>
        </is>
      </c>
      <c r="D139" s="6" t="inlineStr">
        <is>
          <t>squash广播、ROB清除和恢复事件。</t>
        </is>
      </c>
      <c r="E139" s="6" t="inlineStr">
        <is>
          <t>时序</t>
        </is>
      </c>
      <c r="F139" s="6" t="inlineStr">
        <is>
          <t>squash提前/延后1拍、丢失一次或重复一次；绑定具体mispredict/exception。绑定一个动态指令/事件ID，提前、延后、丢失、重复分开执行；数据载荷保持正确。仅当下游因此读取旧值、漏发、重复或改变顺序时计activated。触发：发生mispredict或精确异常。</t>
        </is>
      </c>
      <c r="G139" s="6" t="inlineStr">
        <is>
          <t>F0</t>
        </is>
      </c>
      <c r="H139" s="6" t="inlineStr">
        <is>
          <t>每次运行只注入1次；warm-up后在 eligible event 中均匀抽样</t>
        </is>
      </c>
      <c r="I139" s="6" t="inlineStr">
        <is>
          <t>W7 GAP-Selected</t>
        </is>
      </c>
      <c r="J139" s="6" t="inlineStr">
        <is>
          <t>GAP-Selected（公开通用）
执行定义与oracle：BFS、SSSP、PageRank；固定图和结果 hash；制造不规则依赖、长延迟和 ROB 压力</t>
        </is>
      </c>
      <c r="K139" s="6" t="inlineStr">
        <is>
          <t>发生mispredict或精确异常</t>
        </is>
      </c>
      <c r="L139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39" s="6" t="inlineStr">
        <is>
          <t>延后/丢失可能让错误路径结果进入完成/提交窗口；重复多为性能损失或资源状态破坏</t>
        </is>
      </c>
      <c r="N139" s="6" t="inlineStr">
        <is>
          <t>适配OoO投机恢复传播链</t>
        </is>
      </c>
      <c r="O139" s="6" t="inlineStr">
        <is>
          <t>MICRO24时延方法论；本方案结构化模型</t>
        </is>
      </c>
      <c r="P139" s="9" t="n"/>
      <c r="Q139" s="9" t="n"/>
      <c r="R139" s="9" t="n"/>
      <c r="S139" s="9" t="n"/>
      <c r="T139" s="9" t="n"/>
      <c r="U139" s="9" t="n"/>
      <c r="V139" s="9" t="n"/>
      <c r="W139" s="9" t="n"/>
      <c r="X139" s="12">
        <f>IF(OR(R139="",R139-AP139&lt;=0),"",AB139/(R139-AP139))</f>
        <v/>
      </c>
      <c r="Y139" s="12">
        <f>IFERROR(R139/AR139,0)</f>
        <v/>
      </c>
      <c r="Z139" s="9" t="inlineStr">
        <is>
          <t>待执行</t>
        </is>
      </c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12">
        <f>IF(OR(R139="",R139-AP139&lt;=0),"",AO139/(R139-AP139))</f>
        <v/>
      </c>
      <c r="AM139" s="11">
        <f>IF(R139="","",SUM(AC139:AF139)-(R139-AP139))</f>
        <v/>
      </c>
      <c r="AN139" s="11">
        <f>IF(R139="","",SUM(S139:W139)+AP139-R139)</f>
        <v/>
      </c>
      <c r="AO139" s="9" t="n"/>
      <c r="AP139" s="9" t="n"/>
      <c r="AQ139" s="27" t="inlineStr">
        <is>
          <t>B08-a squash提前1拍；B08-b squash延后1拍；B08-c squash丢失；B08-d squash重复</t>
        </is>
      </c>
      <c r="AR139" s="39" t="n"/>
      <c r="AS139" s="39">
        <f>IFERROR(AR139/Q139,0)</f>
        <v/>
      </c>
      <c r="AT139" s="39" t="n">
        <v>30</v>
      </c>
      <c r="AU139" s="39" t="n">
        <v>385</v>
      </c>
      <c r="AV139" s="39" t="inlineStr">
        <is>
          <t>常规</t>
        </is>
      </c>
      <c r="AW139" s="39" t="inlineStr">
        <is>
          <t>累计至少385，不机械扩展到2401</t>
        </is>
      </c>
    </row>
    <row r="140" ht="118.0500030517578" customHeight="1">
      <c r="A140" s="6" t="inlineStr">
        <is>
          <t>B08-F4-W5</t>
        </is>
      </c>
      <c r="B140" s="6" t="inlineStr">
        <is>
          <t>B08</t>
        </is>
      </c>
      <c r="C140" s="6" t="inlineStr">
        <is>
          <t>Int Dispatch / ROB</t>
        </is>
      </c>
      <c r="D140" s="6" t="inlineStr">
        <is>
          <t>squash广播、ROB清除和恢复事件。</t>
        </is>
      </c>
      <c r="E140" s="6" t="inlineStr">
        <is>
          <t>时序</t>
        </is>
      </c>
      <c r="F140" s="6" t="inlineStr">
        <is>
          <t>squash提前/延后1拍、丢失一次或重复一次；绑定具体mispredict/exception。绑定一个动态指令/事件ID，提前、延后、丢失、重复分开执行；数据载荷保持正确。仅当下游因此读取旧值、漏发、重复或改变顺序时计activated。触发：发生mispredict或精确异常。</t>
        </is>
      </c>
      <c r="G140" s="6" t="inlineStr">
        <is>
          <t>F4</t>
        </is>
      </c>
      <c r="H140" s="6" t="inlineStr">
        <is>
          <t>每100,000个 eligible events 触发一次，连续污染2-4个 eligible events</t>
        </is>
      </c>
      <c r="I140" s="6" t="inlineStr">
        <is>
          <t>W5 ROB-Recovery</t>
        </is>
      </c>
      <c r="J140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40" s="6" t="inlineStr">
        <is>
          <t>发生mispredict或精确异常</t>
        </is>
      </c>
      <c r="L140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40" s="6" t="inlineStr">
        <is>
          <t>延后/丢失可能让错误路径结果进入完成/提交窗口；重复多为性能损失或资源状态破坏</t>
        </is>
      </c>
      <c r="N140" s="6" t="inlineStr">
        <is>
          <t>适配OoO投机恢复传播链</t>
        </is>
      </c>
      <c r="O140" s="6" t="inlineStr">
        <is>
          <t>MICRO24时延方法论；本方案结构化模型</t>
        </is>
      </c>
      <c r="P140" s="9" t="n"/>
      <c r="Q140" s="9" t="n"/>
      <c r="R140" s="9" t="n"/>
      <c r="S140" s="9" t="n"/>
      <c r="T140" s="9" t="n"/>
      <c r="U140" s="9" t="n"/>
      <c r="V140" s="9" t="n"/>
      <c r="W140" s="9" t="n"/>
      <c r="X140" s="12">
        <f>IF(OR(R140="",R140-AP140&lt;=0),"",AB140/(R140-AP140))</f>
        <v/>
      </c>
      <c r="Y140" s="12">
        <f>IFERROR(R140/AR140,0)</f>
        <v/>
      </c>
      <c r="Z140" s="9" t="inlineStr">
        <is>
          <t>待执行</t>
        </is>
      </c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12">
        <f>IF(OR(R140="",R140-AP140&lt;=0),"",AO140/(R140-AP140))</f>
        <v/>
      </c>
      <c r="AM140" s="11">
        <f>IF(R140="","",SUM(AC140:AF140)-(R140-AP140))</f>
        <v/>
      </c>
      <c r="AN140" s="11">
        <f>IF(R140="","",SUM(S140:W140)+AP140-R140)</f>
        <v/>
      </c>
      <c r="AO140" s="9" t="n"/>
      <c r="AP140" s="9" t="n"/>
      <c r="AQ140" s="27" t="inlineStr">
        <is>
          <t>B08-a squash提前1拍；B08-b squash延后1拍；B08-c squash丢失；B08-d squash重复</t>
        </is>
      </c>
      <c r="AR140" s="39" t="n"/>
      <c r="AS140" s="39">
        <f>IFERROR(AR140/Q140,0)</f>
        <v/>
      </c>
      <c r="AT140" s="39" t="n">
        <v>30</v>
      </c>
      <c r="AU140" s="39" t="n">
        <v>385</v>
      </c>
      <c r="AV140" s="39" t="inlineStr">
        <is>
          <t>常规</t>
        </is>
      </c>
      <c r="AW140" s="39" t="inlineStr">
        <is>
          <t>累计至少385，不机械扩展到2401</t>
        </is>
      </c>
    </row>
    <row r="141" ht="118.0500030517578" customHeight="1">
      <c r="A141" s="6" t="inlineStr">
        <is>
          <t>B08-F4-W7</t>
        </is>
      </c>
      <c r="B141" s="6" t="inlineStr">
        <is>
          <t>B08</t>
        </is>
      </c>
      <c r="C141" s="6" t="inlineStr">
        <is>
          <t>Int Dispatch / ROB</t>
        </is>
      </c>
      <c r="D141" s="6" t="inlineStr">
        <is>
          <t>squash广播、ROB清除和恢复事件。</t>
        </is>
      </c>
      <c r="E141" s="6" t="inlineStr">
        <is>
          <t>时序</t>
        </is>
      </c>
      <c r="F141" s="6" t="inlineStr">
        <is>
          <t>squash提前/延后1拍、丢失一次或重复一次；绑定具体mispredict/exception。绑定一个动态指令/事件ID，提前、延后、丢失、重复分开执行；数据载荷保持正确。仅当下游因此读取旧值、漏发、重复或改变顺序时计activated。触发：发生mispredict或精确异常。</t>
        </is>
      </c>
      <c r="G141" s="6" t="inlineStr">
        <is>
          <t>F4</t>
        </is>
      </c>
      <c r="H141" s="6" t="inlineStr">
        <is>
          <t>每100,000个 eligible events 触发一次，连续污染2-4个 eligible events</t>
        </is>
      </c>
      <c r="I141" s="6" t="inlineStr">
        <is>
          <t>W7 GAP-Selected</t>
        </is>
      </c>
      <c r="J141" s="6" t="inlineStr">
        <is>
          <t>GAP-Selected（公开通用）
执行定义与oracle：BFS、SSSP、PageRank；固定图和结果 hash；制造不规则依赖、长延迟和 ROB 压力</t>
        </is>
      </c>
      <c r="K141" s="6" t="inlineStr">
        <is>
          <t>发生mispredict或精确异常</t>
        </is>
      </c>
      <c r="L141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41" s="6" t="inlineStr">
        <is>
          <t>延后/丢失可能让错误路径结果进入完成/提交窗口；重复多为性能损失或资源状态破坏</t>
        </is>
      </c>
      <c r="N141" s="6" t="inlineStr">
        <is>
          <t>适配OoO投机恢复传播链</t>
        </is>
      </c>
      <c r="O141" s="6" t="inlineStr">
        <is>
          <t>MICRO24时延方法论；本方案结构化模型</t>
        </is>
      </c>
      <c r="P141" s="9" t="n"/>
      <c r="Q141" s="9" t="n"/>
      <c r="R141" s="9" t="n"/>
      <c r="S141" s="9" t="n"/>
      <c r="T141" s="9" t="n"/>
      <c r="U141" s="9" t="n"/>
      <c r="V141" s="9" t="n"/>
      <c r="W141" s="9" t="n"/>
      <c r="X141" s="12">
        <f>IF(OR(R141="",R141-AP141&lt;=0),"",AB141/(R141-AP141))</f>
        <v/>
      </c>
      <c r="Y141" s="12">
        <f>IFERROR(R141/AR141,0)</f>
        <v/>
      </c>
      <c r="Z141" s="9" t="inlineStr">
        <is>
          <t>待执行</t>
        </is>
      </c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12">
        <f>IF(OR(R141="",R141-AP141&lt;=0),"",AO141/(R141-AP141))</f>
        <v/>
      </c>
      <c r="AM141" s="11">
        <f>IF(R141="","",SUM(AC141:AF141)-(R141-AP141))</f>
        <v/>
      </c>
      <c r="AN141" s="11">
        <f>IF(R141="","",SUM(S141:W141)+AP141-R141)</f>
        <v/>
      </c>
      <c r="AO141" s="9" t="n"/>
      <c r="AP141" s="9" t="n"/>
      <c r="AQ141" s="27" t="inlineStr">
        <is>
          <t>B08-a squash提前1拍；B08-b squash延后1拍；B08-c squash丢失；B08-d squash重复</t>
        </is>
      </c>
      <c r="AR141" s="39" t="n"/>
      <c r="AS141" s="39">
        <f>IFERROR(AR141/Q141,0)</f>
        <v/>
      </c>
      <c r="AT141" s="39" t="n">
        <v>30</v>
      </c>
      <c r="AU141" s="39" t="n">
        <v>385</v>
      </c>
      <c r="AV141" s="39" t="inlineStr">
        <is>
          <t>常规</t>
        </is>
      </c>
      <c r="AW141" s="39" t="inlineStr">
        <is>
          <t>累计至少385，不机械扩展到2401</t>
        </is>
      </c>
    </row>
    <row r="142" ht="118.0500030517578" customHeight="1">
      <c r="A142" s="6" t="inlineStr">
        <is>
          <t>B08-F6-W5</t>
        </is>
      </c>
      <c r="B142" s="6" t="inlineStr">
        <is>
          <t>B08</t>
        </is>
      </c>
      <c r="C142" s="6" t="inlineStr">
        <is>
          <t>Int Dispatch / ROB</t>
        </is>
      </c>
      <c r="D142" s="6" t="inlineStr">
        <is>
          <t>squash广播、ROB清除和恢复事件。</t>
        </is>
      </c>
      <c r="E142" s="6" t="inlineStr">
        <is>
          <t>时序</t>
        </is>
      </c>
      <c r="F142" s="6" t="inlineStr">
        <is>
          <t>squash提前/延后1拍、丢失一次或重复一次；绑定具体mispredict/exception。绑定一个动态指令/事件ID，提前、延后、丢失、重复分开执行；数据载荷保持正确。仅当下游因此读取旧值、漏发、重复或改变顺序时计activated。触发：发生mispredict或精确异常。</t>
        </is>
      </c>
      <c r="G142" s="6" t="inlineStr">
        <is>
          <t>F6</t>
        </is>
      </c>
      <c r="H142" s="6" t="inlineStr">
        <is>
          <t>首次出现指定稀有事件时注入1次，保证结构化模型被激活</t>
        </is>
      </c>
      <c r="I142" s="6" t="inlineStr">
        <is>
          <t>W5 ROB-Recovery</t>
        </is>
      </c>
      <c r="J142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42" s="6" t="inlineStr">
        <is>
          <t>发生mispredict或精确异常</t>
        </is>
      </c>
      <c r="L142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42" s="6" t="inlineStr">
        <is>
          <t>延后/丢失可能让错误路径结果进入完成/提交窗口；重复多为性能损失或资源状态破坏</t>
        </is>
      </c>
      <c r="N142" s="6" t="inlineStr">
        <is>
          <t>适配OoO投机恢复传播链</t>
        </is>
      </c>
      <c r="O142" s="6" t="inlineStr">
        <is>
          <t>MICRO24时延方法论；本方案结构化模型</t>
        </is>
      </c>
      <c r="P142" s="9" t="n"/>
      <c r="Q142" s="9" t="n"/>
      <c r="R142" s="9" t="n"/>
      <c r="S142" s="9" t="n"/>
      <c r="T142" s="9" t="n"/>
      <c r="U142" s="9" t="n"/>
      <c r="V142" s="9" t="n"/>
      <c r="W142" s="9" t="n"/>
      <c r="X142" s="12">
        <f>IF(OR(R142="",R142-AP142&lt;=0),"",AB142/(R142-AP142))</f>
        <v/>
      </c>
      <c r="Y142" s="12">
        <f>IFERROR(R142/AR142,0)</f>
        <v/>
      </c>
      <c r="Z142" s="9" t="inlineStr">
        <is>
          <t>待执行</t>
        </is>
      </c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12">
        <f>IF(OR(R142="",R142-AP142&lt;=0),"",AO142/(R142-AP142))</f>
        <v/>
      </c>
      <c r="AM142" s="11">
        <f>IF(R142="","",SUM(AC142:AF142)-(R142-AP142))</f>
        <v/>
      </c>
      <c r="AN142" s="11">
        <f>IF(R142="","",SUM(S142:W142)+AP142-R142)</f>
        <v/>
      </c>
      <c r="AO142" s="9" t="n"/>
      <c r="AP142" s="9" t="n"/>
      <c r="AQ142" s="27" t="inlineStr">
        <is>
          <t>B08-a squash提前1拍；B08-b squash延后1拍；B08-c squash丢失；B08-d squash重复</t>
        </is>
      </c>
      <c r="AR142" s="39" t="n"/>
      <c r="AS142" s="39">
        <f>IFERROR(AR142/Q142,0)</f>
        <v/>
      </c>
      <c r="AT142" s="39" t="n">
        <v>30</v>
      </c>
      <c r="AU142" s="39" t="n">
        <v>385</v>
      </c>
      <c r="AV142" s="39" t="inlineStr">
        <is>
          <t>常规</t>
        </is>
      </c>
      <c r="AW142" s="39" t="inlineStr">
        <is>
          <t>累计至少385，不机械扩展到2401</t>
        </is>
      </c>
    </row>
    <row r="143" ht="118.0500030517578" customHeight="1">
      <c r="A143" s="6" t="inlineStr">
        <is>
          <t>B08-F6-W7</t>
        </is>
      </c>
      <c r="B143" s="6" t="inlineStr">
        <is>
          <t>B08</t>
        </is>
      </c>
      <c r="C143" s="6" t="inlineStr">
        <is>
          <t>Int Dispatch / ROB</t>
        </is>
      </c>
      <c r="D143" s="6" t="inlineStr">
        <is>
          <t>squash广播、ROB清除和恢复事件。</t>
        </is>
      </c>
      <c r="E143" s="6" t="inlineStr">
        <is>
          <t>时序</t>
        </is>
      </c>
      <c r="F143" s="6" t="inlineStr">
        <is>
          <t>squash提前/延后1拍、丢失一次或重复一次；绑定具体mispredict/exception。绑定一个动态指令/事件ID，提前、延后、丢失、重复分开执行；数据载荷保持正确。仅当下游因此读取旧值、漏发、重复或改变顺序时计activated。触发：发生mispredict或精确异常。</t>
        </is>
      </c>
      <c r="G143" s="6" t="inlineStr">
        <is>
          <t>F6</t>
        </is>
      </c>
      <c r="H143" s="6" t="inlineStr">
        <is>
          <t>首次出现指定稀有事件时注入1次，保证结构化模型被激活</t>
        </is>
      </c>
      <c r="I143" s="6" t="inlineStr">
        <is>
          <t>W7 GAP-Selected</t>
        </is>
      </c>
      <c r="J143" s="6" t="inlineStr">
        <is>
          <t>GAP-Selected（公开通用）
执行定义与oracle：BFS、SSSP、PageRank；固定图和结果 hash；制造不规则依赖、长延迟和 ROB 压力</t>
        </is>
      </c>
      <c r="K143" s="6" t="inlineStr">
        <is>
          <t>发生mispredict或精确异常</t>
        </is>
      </c>
      <c r="L143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43" s="6" t="inlineStr">
        <is>
          <t>延后/丢失可能让错误路径结果进入完成/提交窗口；重复多为性能损失或资源状态破坏</t>
        </is>
      </c>
      <c r="N143" s="6" t="inlineStr">
        <is>
          <t>适配OoO投机恢复传播链</t>
        </is>
      </c>
      <c r="O143" s="6" t="inlineStr">
        <is>
          <t>MICRO24时延方法论；本方案结构化模型</t>
        </is>
      </c>
      <c r="P143" s="9" t="n"/>
      <c r="Q143" s="9" t="n"/>
      <c r="R143" s="9" t="n"/>
      <c r="S143" s="9" t="n"/>
      <c r="T143" s="9" t="n"/>
      <c r="U143" s="9" t="n"/>
      <c r="V143" s="9" t="n"/>
      <c r="W143" s="9" t="n"/>
      <c r="X143" s="12">
        <f>IF(OR(R143="",R143-AP143&lt;=0),"",AB143/(R143-AP143))</f>
        <v/>
      </c>
      <c r="Y143" s="12">
        <f>IFERROR(R143/AR143,0)</f>
        <v/>
      </c>
      <c r="Z143" s="9" t="inlineStr">
        <is>
          <t>待执行</t>
        </is>
      </c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12">
        <f>IF(OR(R143="",R143-AP143&lt;=0),"",AO143/(R143-AP143))</f>
        <v/>
      </c>
      <c r="AM143" s="11">
        <f>IF(R143="","",SUM(AC143:AF143)-(R143-AP143))</f>
        <v/>
      </c>
      <c r="AN143" s="11">
        <f>IF(R143="","",SUM(S143:W143)+AP143-R143)</f>
        <v/>
      </c>
      <c r="AO143" s="9" t="n"/>
      <c r="AP143" s="9" t="n"/>
      <c r="AQ143" s="27" t="inlineStr">
        <is>
          <t>B08-a squash提前1拍；B08-b squash延后1拍；B08-c squash丢失；B08-d squash重复</t>
        </is>
      </c>
      <c r="AR143" s="39" t="n"/>
      <c r="AS143" s="39">
        <f>IFERROR(AR143/Q143,0)</f>
        <v/>
      </c>
      <c r="AT143" s="39" t="n">
        <v>30</v>
      </c>
      <c r="AU143" s="39" t="n">
        <v>385</v>
      </c>
      <c r="AV143" s="39" t="inlineStr">
        <is>
          <t>常规</t>
        </is>
      </c>
      <c r="AW143" s="39" t="inlineStr">
        <is>
          <t>累计至少385，不机械扩展到2401</t>
        </is>
      </c>
    </row>
    <row r="144" ht="118.0500030517578" customHeight="1">
      <c r="A144" s="6" t="inlineStr">
        <is>
          <t>B09-F0-W5</t>
        </is>
      </c>
      <c r="B144" s="6" t="inlineStr">
        <is>
          <t>B09</t>
        </is>
      </c>
      <c r="C144" s="6" t="inlineStr">
        <is>
          <t>Int Dispatch / ROB</t>
        </is>
      </c>
      <c r="D144" s="6" t="inlineStr">
        <is>
          <t>commit grant、ROB pop、old-dest释放和架构状态更新的同一提交事件。</t>
        </is>
      </c>
      <c r="E144" s="6" t="inlineStr">
        <is>
          <t>时序</t>
        </is>
      </c>
      <c r="F144" s="6" t="inlineStr">
        <is>
          <t>让其中一个子事件提前、延后、丢失或重复，其他载荷保持正确。绑定一个动态指令/事件ID，提前、延后、丢失、重复分开执行；数据载荷保持正确。仅当下游因此读取旧值、漏发、重复或改变顺序时计activated。触发：ROB head已complete并可提交。</t>
        </is>
      </c>
      <c r="G144" s="6" t="inlineStr">
        <is>
          <t>F0</t>
        </is>
      </c>
      <c r="H144" s="6" t="inlineStr">
        <is>
          <t>每次运行只注入1次；warm-up后在 eligible event 中均匀抽样</t>
        </is>
      </c>
      <c r="I144" s="6" t="inlineStr">
        <is>
          <t>W5 ROB-Recovery</t>
        </is>
      </c>
      <c r="J144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44" s="6" t="inlineStr">
        <is>
          <t>ROB head已complete并可提交</t>
        </is>
      </c>
      <c r="L144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44" s="6" t="inlineStr">
        <is>
          <t>重复/漏提交副作用是高风险SDC；只延后通常性能下降；错误释放会延迟传播</t>
        </is>
      </c>
      <c r="N144" s="6" t="inlineStr">
        <is>
          <t>直接监控提交事务原子性</t>
        </is>
      </c>
      <c r="O144" s="6" t="inlineStr">
        <is>
          <t>本方案结构化模型</t>
        </is>
      </c>
      <c r="P144" s="9" t="n"/>
      <c r="Q144" s="9" t="n"/>
      <c r="R144" s="9" t="n"/>
      <c r="S144" s="9" t="n"/>
      <c r="T144" s="9" t="n"/>
      <c r="U144" s="9" t="n"/>
      <c r="V144" s="9" t="n"/>
      <c r="W144" s="9" t="n"/>
      <c r="X144" s="12">
        <f>IF(OR(R144="",R144-AP144&lt;=0),"",AB144/(R144-AP144))</f>
        <v/>
      </c>
      <c r="Y144" s="12">
        <f>IFERROR(R144/AR144,0)</f>
        <v/>
      </c>
      <c r="Z144" s="9" t="inlineStr">
        <is>
          <t>待执行</t>
        </is>
      </c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12">
        <f>IF(OR(R144="",R144-AP144&lt;=0),"",AO144/(R144-AP144))</f>
        <v/>
      </c>
      <c r="AM144" s="11">
        <f>IF(R144="","",SUM(AC144:AF144)-(R144-AP144))</f>
        <v/>
      </c>
      <c r="AN144" s="11">
        <f>IF(R144="","",SUM(S144:W144)+AP144-R144)</f>
        <v/>
      </c>
      <c r="AO144" s="9" t="n"/>
      <c r="AP144" s="9" t="n"/>
      <c r="AQ144" s="27" t="inlineStr">
        <is>
          <t>B09-a commit grant提前/延后；B09-b ROB pop丢失/重复；B09-c old-dest释放提前/延后；B09-d 架构状态更新丢失/重复</t>
        </is>
      </c>
      <c r="AR144" s="39" t="n"/>
      <c r="AS144" s="39">
        <f>IFERROR(AR144/Q144,0)</f>
        <v/>
      </c>
      <c r="AT144" s="39" t="n">
        <v>30</v>
      </c>
      <c r="AU144" s="39" t="n">
        <v>385</v>
      </c>
      <c r="AV144" s="39" t="inlineStr">
        <is>
          <t>常规</t>
        </is>
      </c>
      <c r="AW144" s="39" t="inlineStr">
        <is>
          <t>累计至少385，不机械扩展到2401</t>
        </is>
      </c>
    </row>
    <row r="145" ht="118.0500030517578" customHeight="1">
      <c r="A145" s="6" t="inlineStr">
        <is>
          <t>B09-F0-W1</t>
        </is>
      </c>
      <c r="B145" s="6" t="inlineStr">
        <is>
          <t>B09</t>
        </is>
      </c>
      <c r="C145" s="6" t="inlineStr">
        <is>
          <t>Int Dispatch / ROB</t>
        </is>
      </c>
      <c r="D145" s="6" t="inlineStr">
        <is>
          <t>commit grant、ROB pop、old-dest释放和架构状态更新的同一提交事件。</t>
        </is>
      </c>
      <c r="E145" s="6" t="inlineStr">
        <is>
          <t>时序</t>
        </is>
      </c>
      <c r="F145" s="6" t="inlineStr">
        <is>
          <t>让其中一个子事件提前、延后、丢失或重复，其他载荷保持正确。绑定一个动态指令/事件ID，提前、延后、丢失、重复分开执行；数据载荷保持正确。仅当下游因此读取旧值、漏发、重复或改变顺序时计activated。触发：ROB head已complete并可提交。</t>
        </is>
      </c>
      <c r="G145" s="6" t="inlineStr">
        <is>
          <t>F0</t>
        </is>
      </c>
      <c r="H145" s="6" t="inlineStr">
        <is>
          <t>每次运行只注入1次；warm-up后在 eligible event 中均匀抽样</t>
        </is>
      </c>
      <c r="I145" s="6" t="inlineStr">
        <is>
          <t>W1 MiBench-TC23</t>
        </is>
      </c>
      <c r="J145" s="6" t="inlineStr">
        <is>
          <t>MiBench-TC23（公开/论文复现）
执行定义与oracle：blowfish、patricia、fft、gsm、dijkstra、rijndael、sha、bitcount、edge、smooth；最大输入集；输出与 golden 比对</t>
        </is>
      </c>
      <c r="K145" s="6" t="inlineStr">
        <is>
          <t>ROB head已complete并可提交</t>
        </is>
      </c>
      <c r="L145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45" s="6" t="inlineStr">
        <is>
          <t>重复/漏提交副作用是高风险SDC；只延后通常性能下降；错误释放会延迟传播</t>
        </is>
      </c>
      <c r="N145" s="6" t="inlineStr">
        <is>
          <t>直接监控提交事务原子性</t>
        </is>
      </c>
      <c r="O145" s="6" t="inlineStr">
        <is>
          <t>本方案结构化模型</t>
        </is>
      </c>
      <c r="P145" s="9" t="n"/>
      <c r="Q145" s="9" t="n"/>
      <c r="R145" s="9" t="n"/>
      <c r="S145" s="9" t="n"/>
      <c r="T145" s="9" t="n"/>
      <c r="U145" s="9" t="n"/>
      <c r="V145" s="9" t="n"/>
      <c r="W145" s="9" t="n"/>
      <c r="X145" s="12">
        <f>IF(OR(R145="",R145-AP145&lt;=0),"",AB145/(R145-AP145))</f>
        <v/>
      </c>
      <c r="Y145" s="12">
        <f>IFERROR(R145/AR145,0)</f>
        <v/>
      </c>
      <c r="Z145" s="9" t="inlineStr">
        <is>
          <t>待执行</t>
        </is>
      </c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12">
        <f>IF(OR(R145="",R145-AP145&lt;=0),"",AO145/(R145-AP145))</f>
        <v/>
      </c>
      <c r="AM145" s="11">
        <f>IF(R145="","",SUM(AC145:AF145)-(R145-AP145))</f>
        <v/>
      </c>
      <c r="AN145" s="11">
        <f>IF(R145="","",SUM(S145:W145)+AP145-R145)</f>
        <v/>
      </c>
      <c r="AO145" s="9" t="n"/>
      <c r="AP145" s="9" t="n"/>
      <c r="AQ145" s="27" t="inlineStr">
        <is>
          <t>B09-a commit grant提前/延后；B09-b ROB pop丢失/重复；B09-c old-dest释放提前/延后；B09-d 架构状态更新丢失/重复</t>
        </is>
      </c>
      <c r="AR145" s="39" t="n"/>
      <c r="AS145" s="39">
        <f>IFERROR(AR145/Q145,0)</f>
        <v/>
      </c>
      <c r="AT145" s="39" t="n">
        <v>30</v>
      </c>
      <c r="AU145" s="39" t="n">
        <v>385</v>
      </c>
      <c r="AV145" s="39" t="inlineStr">
        <is>
          <t>常规</t>
        </is>
      </c>
      <c r="AW145" s="39" t="inlineStr">
        <is>
          <t>累计至少385，不机械扩展到2401</t>
        </is>
      </c>
    </row>
    <row r="146" ht="118.0500030517578" customHeight="1">
      <c r="A146" s="6" t="inlineStr">
        <is>
          <t>B09-F4-W5</t>
        </is>
      </c>
      <c r="B146" s="6" t="inlineStr">
        <is>
          <t>B09</t>
        </is>
      </c>
      <c r="C146" s="6" t="inlineStr">
        <is>
          <t>Int Dispatch / ROB</t>
        </is>
      </c>
      <c r="D146" s="6" t="inlineStr">
        <is>
          <t>commit grant、ROB pop、old-dest释放和架构状态更新的同一提交事件。</t>
        </is>
      </c>
      <c r="E146" s="6" t="inlineStr">
        <is>
          <t>时序</t>
        </is>
      </c>
      <c r="F146" s="6" t="inlineStr">
        <is>
          <t>让其中一个子事件提前、延后、丢失或重复，其他载荷保持正确。绑定一个动态指令/事件ID，提前、延后、丢失、重复分开执行；数据载荷保持正确。仅当下游因此读取旧值、漏发、重复或改变顺序时计activated。触发：ROB head已complete并可提交。</t>
        </is>
      </c>
      <c r="G146" s="6" t="inlineStr">
        <is>
          <t>F4</t>
        </is>
      </c>
      <c r="H146" s="6" t="inlineStr">
        <is>
          <t>每100,000个 eligible events 触发一次，连续污染2-4个 eligible events</t>
        </is>
      </c>
      <c r="I146" s="6" t="inlineStr">
        <is>
          <t>W5 ROB-Recovery</t>
        </is>
      </c>
      <c r="J146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46" s="6" t="inlineStr">
        <is>
          <t>ROB head已complete并可提交</t>
        </is>
      </c>
      <c r="L146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46" s="6" t="inlineStr">
        <is>
          <t>重复/漏提交副作用是高风险SDC；只延后通常性能下降；错误释放会延迟传播</t>
        </is>
      </c>
      <c r="N146" s="6" t="inlineStr">
        <is>
          <t>直接监控提交事务原子性</t>
        </is>
      </c>
      <c r="O146" s="6" t="inlineStr">
        <is>
          <t>本方案结构化模型</t>
        </is>
      </c>
      <c r="P146" s="9" t="n"/>
      <c r="Q146" s="9" t="n"/>
      <c r="R146" s="9" t="n"/>
      <c r="S146" s="9" t="n"/>
      <c r="T146" s="9" t="n"/>
      <c r="U146" s="9" t="n"/>
      <c r="V146" s="9" t="n"/>
      <c r="W146" s="9" t="n"/>
      <c r="X146" s="12">
        <f>IF(OR(R146="",R146-AP146&lt;=0),"",AB146/(R146-AP146))</f>
        <v/>
      </c>
      <c r="Y146" s="12">
        <f>IFERROR(R146/AR146,0)</f>
        <v/>
      </c>
      <c r="Z146" s="9" t="inlineStr">
        <is>
          <t>待执行</t>
        </is>
      </c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12">
        <f>IF(OR(R146="",R146-AP146&lt;=0),"",AO146/(R146-AP146))</f>
        <v/>
      </c>
      <c r="AM146" s="11">
        <f>IF(R146="","",SUM(AC146:AF146)-(R146-AP146))</f>
        <v/>
      </c>
      <c r="AN146" s="11">
        <f>IF(R146="","",SUM(S146:W146)+AP146-R146)</f>
        <v/>
      </c>
      <c r="AO146" s="9" t="n"/>
      <c r="AP146" s="9" t="n"/>
      <c r="AQ146" s="27" t="inlineStr">
        <is>
          <t>B09-a commit grant提前/延后；B09-b ROB pop丢失/重复；B09-c old-dest释放提前/延后；B09-d 架构状态更新丢失/重复</t>
        </is>
      </c>
      <c r="AR146" s="39" t="n"/>
      <c r="AS146" s="39">
        <f>IFERROR(AR146/Q146,0)</f>
        <v/>
      </c>
      <c r="AT146" s="39" t="n">
        <v>30</v>
      </c>
      <c r="AU146" s="39" t="n">
        <v>385</v>
      </c>
      <c r="AV146" s="39" t="inlineStr">
        <is>
          <t>常规</t>
        </is>
      </c>
      <c r="AW146" s="39" t="inlineStr">
        <is>
          <t>累计至少385，不机械扩展到2401</t>
        </is>
      </c>
    </row>
    <row r="147" ht="118.0500030517578" customHeight="1">
      <c r="A147" s="6" t="inlineStr">
        <is>
          <t>B09-F4-W1</t>
        </is>
      </c>
      <c r="B147" s="6" t="inlineStr">
        <is>
          <t>B09</t>
        </is>
      </c>
      <c r="C147" s="6" t="inlineStr">
        <is>
          <t>Int Dispatch / ROB</t>
        </is>
      </c>
      <c r="D147" s="6" t="inlineStr">
        <is>
          <t>commit grant、ROB pop、old-dest释放和架构状态更新的同一提交事件。</t>
        </is>
      </c>
      <c r="E147" s="6" t="inlineStr">
        <is>
          <t>时序</t>
        </is>
      </c>
      <c r="F147" s="6" t="inlineStr">
        <is>
          <t>让其中一个子事件提前、延后、丢失或重复，其他载荷保持正确。绑定一个动态指令/事件ID，提前、延后、丢失、重复分开执行；数据载荷保持正确。仅当下游因此读取旧值、漏发、重复或改变顺序时计activated。触发：ROB head已complete并可提交。</t>
        </is>
      </c>
      <c r="G147" s="6" t="inlineStr">
        <is>
          <t>F4</t>
        </is>
      </c>
      <c r="H147" s="6" t="inlineStr">
        <is>
          <t>每100,000个 eligible events 触发一次，连续污染2-4个 eligible events</t>
        </is>
      </c>
      <c r="I147" s="6" t="inlineStr">
        <is>
          <t>W1 MiBench-TC23</t>
        </is>
      </c>
      <c r="J147" s="6" t="inlineStr">
        <is>
          <t>MiBench-TC23（公开/论文复现）
执行定义与oracle：blowfish、patricia、fft、gsm、dijkstra、rijndael、sha、bitcount、edge、smooth；最大输入集；输出与 golden 比对</t>
        </is>
      </c>
      <c r="K147" s="6" t="inlineStr">
        <is>
          <t>ROB head已complete并可提交</t>
        </is>
      </c>
      <c r="L147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47" s="6" t="inlineStr">
        <is>
          <t>重复/漏提交副作用是高风险SDC；只延后通常性能下降；错误释放会延迟传播</t>
        </is>
      </c>
      <c r="N147" s="6" t="inlineStr">
        <is>
          <t>直接监控提交事务原子性</t>
        </is>
      </c>
      <c r="O147" s="6" t="inlineStr">
        <is>
          <t>本方案结构化模型</t>
        </is>
      </c>
      <c r="P147" s="9" t="n"/>
      <c r="Q147" s="9" t="n"/>
      <c r="R147" s="9" t="n"/>
      <c r="S147" s="9" t="n"/>
      <c r="T147" s="9" t="n"/>
      <c r="U147" s="9" t="n"/>
      <c r="V147" s="9" t="n"/>
      <c r="W147" s="9" t="n"/>
      <c r="X147" s="12">
        <f>IF(OR(R147="",R147-AP147&lt;=0),"",AB147/(R147-AP147))</f>
        <v/>
      </c>
      <c r="Y147" s="12">
        <f>IFERROR(R147/AR147,0)</f>
        <v/>
      </c>
      <c r="Z147" s="9" t="inlineStr">
        <is>
          <t>待执行</t>
        </is>
      </c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12">
        <f>IF(OR(R147="",R147-AP147&lt;=0),"",AO147/(R147-AP147))</f>
        <v/>
      </c>
      <c r="AM147" s="11">
        <f>IF(R147="","",SUM(AC147:AF147)-(R147-AP147))</f>
        <v/>
      </c>
      <c r="AN147" s="11">
        <f>IF(R147="","",SUM(S147:W147)+AP147-R147)</f>
        <v/>
      </c>
      <c r="AO147" s="9" t="n"/>
      <c r="AP147" s="9" t="n"/>
      <c r="AQ147" s="27" t="inlineStr">
        <is>
          <t>B09-a commit grant提前/延后；B09-b ROB pop丢失/重复；B09-c old-dest释放提前/延后；B09-d 架构状态更新丢失/重复</t>
        </is>
      </c>
      <c r="AR147" s="39" t="n"/>
      <c r="AS147" s="39">
        <f>IFERROR(AR147/Q147,0)</f>
        <v/>
      </c>
      <c r="AT147" s="39" t="n">
        <v>30</v>
      </c>
      <c r="AU147" s="39" t="n">
        <v>2401</v>
      </c>
      <c r="AV147" s="39" t="inlineStr">
        <is>
          <t>预登记重点</t>
        </is>
      </c>
      <c r="AW147" s="39" t="inlineStr">
        <is>
          <t>累计2401（含pilot与前385），不得序贯停止</t>
        </is>
      </c>
    </row>
    <row r="148" ht="118.0500030517578" customHeight="1">
      <c r="A148" s="6" t="inlineStr">
        <is>
          <t>B09-F6-W5</t>
        </is>
      </c>
      <c r="B148" s="6" t="inlineStr">
        <is>
          <t>B09</t>
        </is>
      </c>
      <c r="C148" s="6" t="inlineStr">
        <is>
          <t>Int Dispatch / ROB</t>
        </is>
      </c>
      <c r="D148" s="6" t="inlineStr">
        <is>
          <t>commit grant、ROB pop、old-dest释放和架构状态更新的同一提交事件。</t>
        </is>
      </c>
      <c r="E148" s="6" t="inlineStr">
        <is>
          <t>时序</t>
        </is>
      </c>
      <c r="F148" s="6" t="inlineStr">
        <is>
          <t>让其中一个子事件提前、延后、丢失或重复，其他载荷保持正确。绑定一个动态指令/事件ID，提前、延后、丢失、重复分开执行；数据载荷保持正确。仅当下游因此读取旧值、漏发、重复或改变顺序时计activated。触发：ROB head已complete并可提交。</t>
        </is>
      </c>
      <c r="G148" s="6" t="inlineStr">
        <is>
          <t>F6</t>
        </is>
      </c>
      <c r="H148" s="6" t="inlineStr">
        <is>
          <t>首次出现指定稀有事件时注入1次，保证结构化模型被激活</t>
        </is>
      </c>
      <c r="I148" s="6" t="inlineStr">
        <is>
          <t>W5 ROB-Recovery</t>
        </is>
      </c>
      <c r="J148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48" s="6" t="inlineStr">
        <is>
          <t>ROB head已complete并可提交</t>
        </is>
      </c>
      <c r="L148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48" s="6" t="inlineStr">
        <is>
          <t>重复/漏提交副作用是高风险SDC；只延后通常性能下降；错误释放会延迟传播</t>
        </is>
      </c>
      <c r="N148" s="6" t="inlineStr">
        <is>
          <t>直接监控提交事务原子性</t>
        </is>
      </c>
      <c r="O148" s="6" t="inlineStr">
        <is>
          <t>本方案结构化模型</t>
        </is>
      </c>
      <c r="P148" s="9" t="n"/>
      <c r="Q148" s="9" t="n"/>
      <c r="R148" s="9" t="n"/>
      <c r="S148" s="9" t="n"/>
      <c r="T148" s="9" t="n"/>
      <c r="U148" s="9" t="n"/>
      <c r="V148" s="9" t="n"/>
      <c r="W148" s="9" t="n"/>
      <c r="X148" s="12">
        <f>IF(OR(R148="",R148-AP148&lt;=0),"",AB148/(R148-AP148))</f>
        <v/>
      </c>
      <c r="Y148" s="12">
        <f>IFERROR(R148/AR148,0)</f>
        <v/>
      </c>
      <c r="Z148" s="9" t="inlineStr">
        <is>
          <t>待执行</t>
        </is>
      </c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12">
        <f>IF(OR(R148="",R148-AP148&lt;=0),"",AO148/(R148-AP148))</f>
        <v/>
      </c>
      <c r="AM148" s="11">
        <f>IF(R148="","",SUM(AC148:AF148)-(R148-AP148))</f>
        <v/>
      </c>
      <c r="AN148" s="11">
        <f>IF(R148="","",SUM(S148:W148)+AP148-R148)</f>
        <v/>
      </c>
      <c r="AO148" s="9" t="n"/>
      <c r="AP148" s="9" t="n"/>
      <c r="AQ148" s="27" t="inlineStr">
        <is>
          <t>B09-a commit grant提前/延后；B09-b ROB pop丢失/重复；B09-c old-dest释放提前/延后；B09-d 架构状态更新丢失/重复</t>
        </is>
      </c>
      <c r="AR148" s="39" t="n"/>
      <c r="AS148" s="39">
        <f>IFERROR(AR148/Q148,0)</f>
        <v/>
      </c>
      <c r="AT148" s="39" t="n">
        <v>30</v>
      </c>
      <c r="AU148" s="39" t="n">
        <v>385</v>
      </c>
      <c r="AV148" s="39" t="inlineStr">
        <is>
          <t>常规</t>
        </is>
      </c>
      <c r="AW148" s="39" t="inlineStr">
        <is>
          <t>累计至少385，不机械扩展到2401</t>
        </is>
      </c>
    </row>
    <row r="149" ht="118.0500030517578" customHeight="1">
      <c r="A149" s="6" t="inlineStr">
        <is>
          <t>B09-F6-W1</t>
        </is>
      </c>
      <c r="B149" s="6" t="inlineStr">
        <is>
          <t>B09</t>
        </is>
      </c>
      <c r="C149" s="6" t="inlineStr">
        <is>
          <t>Int Dispatch / ROB</t>
        </is>
      </c>
      <c r="D149" s="6" t="inlineStr">
        <is>
          <t>commit grant、ROB pop、old-dest释放和架构状态更新的同一提交事件。</t>
        </is>
      </c>
      <c r="E149" s="6" t="inlineStr">
        <is>
          <t>时序</t>
        </is>
      </c>
      <c r="F149" s="6" t="inlineStr">
        <is>
          <t>让其中一个子事件提前、延后、丢失或重复，其他载荷保持正确。绑定一个动态指令/事件ID，提前、延后、丢失、重复分开执行；数据载荷保持正确。仅当下游因此读取旧值、漏发、重复或改变顺序时计activated。触发：ROB head已complete并可提交。</t>
        </is>
      </c>
      <c r="G149" s="6" t="inlineStr">
        <is>
          <t>F6</t>
        </is>
      </c>
      <c r="H149" s="6" t="inlineStr">
        <is>
          <t>首次出现指定稀有事件时注入1次，保证结构化模型被激活</t>
        </is>
      </c>
      <c r="I149" s="6" t="inlineStr">
        <is>
          <t>W1 MiBench-TC23</t>
        </is>
      </c>
      <c r="J149" s="6" t="inlineStr">
        <is>
          <t>MiBench-TC23（公开/论文复现）
执行定义与oracle：blowfish、patricia、fft、gsm、dijkstra、rijndael、sha、bitcount、edge、smooth；最大输入集；输出与 golden 比对</t>
        </is>
      </c>
      <c r="K149" s="6" t="inlineStr">
        <is>
          <t>ROB head已complete并可提交</t>
        </is>
      </c>
      <c r="L149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49" s="6" t="inlineStr">
        <is>
          <t>重复/漏提交副作用是高风险SDC；只延后通常性能下降；错误释放会延迟传播</t>
        </is>
      </c>
      <c r="N149" s="6" t="inlineStr">
        <is>
          <t>直接监控提交事务原子性</t>
        </is>
      </c>
      <c r="O149" s="6" t="inlineStr">
        <is>
          <t>本方案结构化模型</t>
        </is>
      </c>
      <c r="P149" s="9" t="n"/>
      <c r="Q149" s="9" t="n"/>
      <c r="R149" s="9" t="n"/>
      <c r="S149" s="9" t="n"/>
      <c r="T149" s="9" t="n"/>
      <c r="U149" s="9" t="n"/>
      <c r="V149" s="9" t="n"/>
      <c r="W149" s="9" t="n"/>
      <c r="X149" s="12">
        <f>IF(OR(R149="",R149-AP149&lt;=0),"",AB149/(R149-AP149))</f>
        <v/>
      </c>
      <c r="Y149" s="12">
        <f>IFERROR(R149/AR149,0)</f>
        <v/>
      </c>
      <c r="Z149" s="9" t="inlineStr">
        <is>
          <t>待执行</t>
        </is>
      </c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12">
        <f>IF(OR(R149="",R149-AP149&lt;=0),"",AO149/(R149-AP149))</f>
        <v/>
      </c>
      <c r="AM149" s="11">
        <f>IF(R149="","",SUM(AC149:AF149)-(R149-AP149))</f>
        <v/>
      </c>
      <c r="AN149" s="11">
        <f>IF(R149="","",SUM(S149:W149)+AP149-R149)</f>
        <v/>
      </c>
      <c r="AO149" s="9" t="n"/>
      <c r="AP149" s="9" t="n"/>
      <c r="AQ149" s="27" t="inlineStr">
        <is>
          <t>B09-a commit grant提前/延后；B09-b ROB pop丢失/重复；B09-c old-dest释放提前/延后；B09-d 架构状态更新丢失/重复</t>
        </is>
      </c>
      <c r="AR149" s="39" t="n"/>
      <c r="AS149" s="39">
        <f>IFERROR(AR149/Q149,0)</f>
        <v/>
      </c>
      <c r="AT149" s="39" t="n">
        <v>30</v>
      </c>
      <c r="AU149" s="39" t="n">
        <v>385</v>
      </c>
      <c r="AV149" s="39" t="inlineStr">
        <is>
          <t>常规</t>
        </is>
      </c>
      <c r="AW149" s="39" t="inlineStr">
        <is>
          <t>累计至少385，不机械扩展到2401</t>
        </is>
      </c>
    </row>
    <row r="150" ht="118.0500030517578" customHeight="1">
      <c r="A150" s="6" t="inlineStr">
        <is>
          <t>B10-F5-W5</t>
        </is>
      </c>
      <c r="B150" s="6" t="inlineStr">
        <is>
          <t>B10</t>
        </is>
      </c>
      <c r="C150" s="6" t="inlineStr">
        <is>
          <t>Int Dispatch / ROB</t>
        </is>
      </c>
      <c r="D150" s="6" t="inlineStr">
        <is>
          <t>ROB entry固定bit或状态掩码，持续影响复用该物理entry的多条指令。</t>
        </is>
      </c>
      <c r="E150" s="6" t="inlineStr">
        <is>
          <t>卡死</t>
        </is>
      </c>
      <c r="F150" s="6" t="inlineStr">
        <is>
          <t>选择PC/tag/complete/valid bit实施stuck-at-0/1。warm-up后固定一个bit/控制位，分别做stuck-at-0和stuck-at-1，每次经过均施加到结束；正确值本来等于卡死值时不增加activated。触发：warm-up后该物理ROB slot每次被分配。</t>
        </is>
      </c>
      <c r="G150" s="6" t="inlineStr">
        <is>
          <t>F5</t>
        </is>
      </c>
      <c r="H150" s="6" t="inlineStr">
        <is>
          <t>warm-up后第一个 eligible event 起持续至运行结束；每次运行只选1 bit/字段</t>
        </is>
      </c>
      <c r="I150" s="6" t="inlineStr">
        <is>
          <t>W5 ROB-Recovery</t>
        </is>
      </c>
      <c r="J150" s="6" t="inlineStr">
        <is>
          <t>ROB-Recovery（自设定向负载）
执行定义与oracle：深 ROB、长/短延迟混合、连续 mispredict、精确异常、squash 后重分派；逐提交 PC/opcode/目的和值比较</t>
        </is>
      </c>
      <c r="K150" s="6" t="inlineStr">
        <is>
          <t>warm-up后该物理ROB slot每次被分配</t>
        </is>
      </c>
      <c r="L150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50" s="6" t="inlineStr">
        <is>
          <t>状态位卡死多为周期性Crash/Timeout；tag低位卡死可能形成重复、输入相关SDC</t>
        </is>
      </c>
      <c r="N150" s="6" t="inlineStr">
        <is>
          <t>覆盖永久缺陷和entry复用效应</t>
        </is>
      </c>
      <c r="O150" s="6" t="inlineStr">
        <is>
          <t>CHAOS26 stuck-at方法；TC23仅瞬态</t>
        </is>
      </c>
      <c r="P150" s="9" t="n"/>
      <c r="Q150" s="9" t="n"/>
      <c r="R150" s="9" t="n"/>
      <c r="S150" s="9" t="n"/>
      <c r="T150" s="9" t="n"/>
      <c r="U150" s="9" t="n"/>
      <c r="V150" s="9" t="n"/>
      <c r="W150" s="9" t="n"/>
      <c r="X150" s="12">
        <f>IF(OR(R150="",R150-AP150&lt;=0),"",AB150/(R150-AP150))</f>
        <v/>
      </c>
      <c r="Y150" s="12">
        <f>IFERROR(R150/AR150,0)</f>
        <v/>
      </c>
      <c r="Z150" s="9" t="inlineStr">
        <is>
          <t>待执行</t>
        </is>
      </c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12">
        <f>IF(OR(R150="",R150-AP150&lt;=0),"",AO150/(R150-AP150))</f>
        <v/>
      </c>
      <c r="AM150" s="11">
        <f>IF(R150="","",SUM(AC150:AF150)-(R150-AP150))</f>
        <v/>
      </c>
      <c r="AN150" s="11">
        <f>IF(R150="","",SUM(S150:W150)+AP150-R150)</f>
        <v/>
      </c>
      <c r="AO150" s="9" t="n"/>
      <c r="AP150" s="9" t="n"/>
      <c r="AQ150" s="27" t="inlineStr">
        <is>
          <t>B10-a PC bit stuck-at-0/1；B10-b tag bit stuck-at-0/1；B10-c complete bit stuck-at-0/1；B10-d valid bit stuck-at-0/1</t>
        </is>
      </c>
      <c r="AR150" s="39" t="n"/>
      <c r="AS150" s="39">
        <f>IFERROR(AR150/Q150,0)</f>
        <v/>
      </c>
      <c r="AT150" s="39" t="n">
        <v>30</v>
      </c>
      <c r="AU150" s="39" t="n">
        <v>385</v>
      </c>
      <c r="AV150" s="39" t="inlineStr">
        <is>
          <t>常规</t>
        </is>
      </c>
      <c r="AW150" s="39" t="inlineStr">
        <is>
          <t>累计至少385，不机械扩展到2401</t>
        </is>
      </c>
    </row>
    <row r="151" ht="118.0500030517578" customHeight="1">
      <c r="A151" s="6" t="inlineStr">
        <is>
          <t>B10-F5-W7</t>
        </is>
      </c>
      <c r="B151" s="6" t="inlineStr">
        <is>
          <t>B10</t>
        </is>
      </c>
      <c r="C151" s="6" t="inlineStr">
        <is>
          <t>Int Dispatch / ROB</t>
        </is>
      </c>
      <c r="D151" s="6" t="inlineStr">
        <is>
          <t>ROB entry固定bit或状态掩码，持续影响复用该物理entry的多条指令。</t>
        </is>
      </c>
      <c r="E151" s="6" t="inlineStr">
        <is>
          <t>卡死</t>
        </is>
      </c>
      <c r="F151" s="6" t="inlineStr">
        <is>
          <t>选择PC/tag/complete/valid bit实施stuck-at-0/1。warm-up后固定一个bit/控制位，分别做stuck-at-0和stuck-at-1，每次经过均施加到结束；正确值本来等于卡死值时不增加activated。触发：warm-up后该物理ROB slot每次被分配。</t>
        </is>
      </c>
      <c r="G151" s="6" t="inlineStr">
        <is>
          <t>F5</t>
        </is>
      </c>
      <c r="H151" s="6" t="inlineStr">
        <is>
          <t>warm-up后第一个 eligible event 起持续至运行结束；每次运行只选1 bit/字段</t>
        </is>
      </c>
      <c r="I151" s="6" t="inlineStr">
        <is>
          <t>W7 GAP-Selected</t>
        </is>
      </c>
      <c r="J151" s="6" t="inlineStr">
        <is>
          <t>GAP-Selected（公开通用）
执行定义与oracle：BFS、SSSP、PageRank；固定图和结果 hash；制造不规则依赖、长延迟和 ROB 压力</t>
        </is>
      </c>
      <c r="K151" s="6" t="inlineStr">
        <is>
          <t>warm-up后该物理ROB slot每次被分配</t>
        </is>
      </c>
      <c r="L151" s="6" t="inlineStr">
        <is>
          <t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t>
        </is>
      </c>
      <c r="M151" s="6" t="inlineStr">
        <is>
          <t>状态位卡死多为周期性Crash/Timeout；tag低位卡死可能形成重复、输入相关SDC</t>
        </is>
      </c>
      <c r="N151" s="6" t="inlineStr">
        <is>
          <t>覆盖永久缺陷和entry复用效应</t>
        </is>
      </c>
      <c r="O151" s="6" t="inlineStr">
        <is>
          <t>CHAOS26 stuck-at方法；TC23仅瞬态</t>
        </is>
      </c>
      <c r="P151" s="9" t="n"/>
      <c r="Q151" s="9" t="n"/>
      <c r="R151" s="9" t="n"/>
      <c r="S151" s="9" t="n"/>
      <c r="T151" s="9" t="n"/>
      <c r="U151" s="9" t="n"/>
      <c r="V151" s="9" t="n"/>
      <c r="W151" s="9" t="n"/>
      <c r="X151" s="12">
        <f>IF(OR(R151="",R151-AP151&lt;=0),"",AB151/(R151-AP151))</f>
        <v/>
      </c>
      <c r="Y151" s="12">
        <f>IFERROR(R151/AR151,0)</f>
        <v/>
      </c>
      <c r="Z151" s="9" t="inlineStr">
        <is>
          <t>待执行</t>
        </is>
      </c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12">
        <f>IF(OR(R151="",R151-AP151&lt;=0),"",AO151/(R151-AP151))</f>
        <v/>
      </c>
      <c r="AM151" s="11">
        <f>IF(R151="","",SUM(AC151:AF151)-(R151-AP151))</f>
        <v/>
      </c>
      <c r="AN151" s="11">
        <f>IF(R151="","",SUM(S151:W151)+AP151-R151)</f>
        <v/>
      </c>
      <c r="AO151" s="9" t="n"/>
      <c r="AP151" s="9" t="n"/>
      <c r="AQ151" s="27" t="inlineStr">
        <is>
          <t>B10-a PC bit stuck-at-0/1；B10-b tag bit stuck-at-0/1；B10-c complete bit stuck-at-0/1；B10-d valid bit stuck-at-0/1</t>
        </is>
      </c>
      <c r="AR151" s="39" t="n"/>
      <c r="AS151" s="39">
        <f>IFERROR(AR151/Q151,0)</f>
        <v/>
      </c>
      <c r="AT151" s="39" t="n">
        <v>30</v>
      </c>
      <c r="AU151" s="39" t="n">
        <v>385</v>
      </c>
      <c r="AV151" s="39" t="inlineStr">
        <is>
          <t>常规</t>
        </is>
      </c>
      <c r="AW151" s="39" t="inlineStr">
        <is>
          <t>累计至少385，不机械扩展到2401</t>
        </is>
      </c>
    </row>
    <row r="152" ht="118.0500030517578" customHeight="1">
      <c r="A152" s="6" t="inlineStr">
        <is>
          <t>FD01-F0-W8</t>
        </is>
      </c>
      <c r="B152" s="6" t="inlineStr">
        <is>
          <t>FD01</t>
        </is>
      </c>
      <c r="C152" s="6" t="inlineStr">
        <is>
          <t>FP/SIMD Decode</t>
        </is>
      </c>
      <c r="D152" s="6" t="inlineStr">
        <is>
          <t>FP/SIMD指令字锁存器，在译码前保存32-bit A64编码。</t>
        </is>
      </c>
      <c r="E152" s="6" t="inlineStr">
        <is>
          <t>单比特翻转</t>
        </is>
      </c>
      <c r="F152" s="6" t="inlineStr">
        <is>
          <t>在FP/SIMD译码读取前翻转指令字1 bit，按opcode/register/lane/immediate分层。每次运行只选一个当前有效字段，在字段内均匀抽1 bit做XOR；保存动态指令ID、原值、故障值和bit编号。仅当故障字段被下游读取/选择/用于状态转移时计activated。触发：有效FP或AdvSIMD指令进入decode。</t>
        </is>
      </c>
      <c r="G152" s="6" t="inlineStr">
        <is>
          <t>F0</t>
        </is>
      </c>
      <c r="H152" s="6" t="inlineStr">
        <is>
          <t>每次运行只注入1次；warm-up后在 eligible event 中均匀抽样</t>
        </is>
      </c>
      <c r="I152" s="6" t="inlineStr">
        <is>
          <t>W8 FP-ScalarProbe</t>
        </is>
      </c>
      <c r="J152" s="6" t="inlineStr">
        <is>
          <t>FP-ScalarProbe（自设定向负载）
执行定义与oracle：FP32/FP64 add/mul/div/sqrt/FMA、NaN/Inf/±0/subnormal、四种舍入、FP exception；位级结果与 FPSR/FPCR oracle</t>
        </is>
      </c>
      <c r="K152" s="6" t="inlineStr">
        <is>
          <t>有效FP或AdvSIMD指令进入decode</t>
        </is>
      </c>
      <c r="L152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52" s="6" t="inlineStr">
        <is>
          <t>opcode位多导致类别/illegal；lane和寄存器位更可能产生逐lane静默错误</t>
        </is>
      </c>
      <c r="N152" s="6" t="inlineStr">
        <is>
          <t>建立FP/SIMD译码瞬态基线</t>
        </is>
      </c>
      <c r="O152" s="6" t="inlineStr">
        <is>
          <t>MICRO24整数decoder机制类比；无直接FP结果</t>
        </is>
      </c>
      <c r="P152" s="9" t="n"/>
      <c r="Q152" s="9" t="n"/>
      <c r="R152" s="9" t="n"/>
      <c r="S152" s="9" t="n"/>
      <c r="T152" s="9" t="n"/>
      <c r="U152" s="9" t="n"/>
      <c r="V152" s="9" t="n"/>
      <c r="W152" s="9" t="n"/>
      <c r="X152" s="12">
        <f>IF(OR(R152="",R152-AP152&lt;=0),"",AB152/(R152-AP152))</f>
        <v/>
      </c>
      <c r="Y152" s="12">
        <f>IFERROR(R152/AR152,0)</f>
        <v/>
      </c>
      <c r="Z152" s="9" t="inlineStr">
        <is>
          <t>待执行</t>
        </is>
      </c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12">
        <f>IF(OR(R152="",R152-AP152&lt;=0),"",AO152/(R152-AP152))</f>
        <v/>
      </c>
      <c r="AM152" s="11">
        <f>IF(R152="","",SUM(AC152:AF152)-(R152-AP152))</f>
        <v/>
      </c>
      <c r="AN152" s="11">
        <f>IF(R152="","",SUM(S152:W152)+AP152-R152)</f>
        <v/>
      </c>
      <c r="AO152" s="9" t="n"/>
      <c r="AP152" s="9" t="n"/>
      <c r="AQ152" s="27" t="inlineStr">
        <is>
          <t>FD01-a opcode字段单bit；FD01-b V寄存器字段单bit；FD01-c lane字段单bit；FD01-d immediate字段单bit</t>
        </is>
      </c>
      <c r="AR152" s="39" t="n"/>
      <c r="AS152" s="39">
        <f>IFERROR(AR152/Q152,0)</f>
        <v/>
      </c>
      <c r="AT152" s="39" t="n">
        <v>30</v>
      </c>
      <c r="AU152" s="39" t="n">
        <v>2401</v>
      </c>
      <c r="AV152" s="39" t="inlineStr">
        <is>
          <t>预登记重点</t>
        </is>
      </c>
      <c r="AW152" s="39" t="inlineStr">
        <is>
          <t>累计2401（含pilot与前385），不得序贯停止</t>
        </is>
      </c>
    </row>
    <row r="153" ht="118.0500030517578" customHeight="1">
      <c r="A153" s="6" t="inlineStr">
        <is>
          <t>FD01-F0-W9</t>
        </is>
      </c>
      <c r="B153" s="6" t="inlineStr">
        <is>
          <t>FD01</t>
        </is>
      </c>
      <c r="C153" s="6" t="inlineStr">
        <is>
          <t>FP/SIMD Decode</t>
        </is>
      </c>
      <c r="D153" s="6" t="inlineStr">
        <is>
          <t>FP/SIMD指令字锁存器，在译码前保存32-bit A64编码。</t>
        </is>
      </c>
      <c r="E153" s="6" t="inlineStr">
        <is>
          <t>单比特翻转</t>
        </is>
      </c>
      <c r="F153" s="6" t="inlineStr">
        <is>
          <t>在FP/SIMD译码读取前翻转指令字1 bit，按opcode/register/lane/immediate分层。每次运行只选一个当前有效字段，在字段内均匀抽1 bit做XOR；保存动态指令ID、原值、故障值和bit编号。仅当故障字段被下游读取/选择/用于状态转移时计activated。触发：有效FP或AdvSIMD指令进入decode。</t>
        </is>
      </c>
      <c r="G153" s="6" t="inlineStr">
        <is>
          <t>F0</t>
        </is>
      </c>
      <c r="H153" s="6" t="inlineStr">
        <is>
          <t>每次运行只注入1次；warm-up后在 eligible event 中均匀抽样</t>
        </is>
      </c>
      <c r="I153" s="6" t="inlineStr">
        <is>
          <t>W9 NEON-LaneProbe</t>
        </is>
      </c>
      <c r="J153" s="6" t="inlineStr">
        <is>
          <t>NEON-LaneProbe（自设定向负载）
执行定义与oracle：8/16/32/64-bit lane、整数/浮点 AdvSIMD、lane extract/insert、widen/narrow、permute、reduce；逐 lane 比对</t>
        </is>
      </c>
      <c r="K153" s="6" t="inlineStr">
        <is>
          <t>有效FP或AdvSIMD指令进入decode</t>
        </is>
      </c>
      <c r="L153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53" s="6" t="inlineStr">
        <is>
          <t>opcode位多导致类别/illegal；lane和寄存器位更可能产生逐lane静默错误</t>
        </is>
      </c>
      <c r="N153" s="6" t="inlineStr">
        <is>
          <t>建立FP/SIMD译码瞬态基线</t>
        </is>
      </c>
      <c r="O153" s="6" t="inlineStr">
        <is>
          <t>MICRO24整数decoder机制类比；无直接FP结果</t>
        </is>
      </c>
      <c r="P153" s="9" t="n"/>
      <c r="Q153" s="9" t="n"/>
      <c r="R153" s="9" t="n"/>
      <c r="S153" s="9" t="n"/>
      <c r="T153" s="9" t="n"/>
      <c r="U153" s="9" t="n"/>
      <c r="V153" s="9" t="n"/>
      <c r="W153" s="9" t="n"/>
      <c r="X153" s="12">
        <f>IF(OR(R153="",R153-AP153&lt;=0),"",AB153/(R153-AP153))</f>
        <v/>
      </c>
      <c r="Y153" s="12">
        <f>IFERROR(R153/AR153,0)</f>
        <v/>
      </c>
      <c r="Z153" s="9" t="inlineStr">
        <is>
          <t>待执行</t>
        </is>
      </c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12">
        <f>IF(OR(R153="",R153-AP153&lt;=0),"",AO153/(R153-AP153))</f>
        <v/>
      </c>
      <c r="AM153" s="11">
        <f>IF(R153="","",SUM(AC153:AF153)-(R153-AP153))</f>
        <v/>
      </c>
      <c r="AN153" s="11">
        <f>IF(R153="","",SUM(S153:W153)+AP153-R153)</f>
        <v/>
      </c>
      <c r="AO153" s="9" t="n"/>
      <c r="AP153" s="9" t="n"/>
      <c r="AQ153" s="27" t="inlineStr">
        <is>
          <t>FD01-a opcode字段单bit；FD01-b V寄存器字段单bit；FD01-c lane字段单bit；FD01-d immediate字段单bit</t>
        </is>
      </c>
      <c r="AR153" s="39" t="n"/>
      <c r="AS153" s="39">
        <f>IFERROR(AR153/Q153,0)</f>
        <v/>
      </c>
      <c r="AT153" s="39" t="n">
        <v>30</v>
      </c>
      <c r="AU153" s="39" t="n">
        <v>385</v>
      </c>
      <c r="AV153" s="39" t="inlineStr">
        <is>
          <t>常规</t>
        </is>
      </c>
      <c r="AW153" s="39" t="inlineStr">
        <is>
          <t>累计至少385，不机械扩展到2401</t>
        </is>
      </c>
    </row>
    <row r="154" ht="118.0500030517578" customHeight="1">
      <c r="A154" s="6" t="inlineStr">
        <is>
          <t>FD01-F1-W8</t>
        </is>
      </c>
      <c r="B154" s="6" t="inlineStr">
        <is>
          <t>FD01</t>
        </is>
      </c>
      <c r="C154" s="6" t="inlineStr">
        <is>
          <t>FP/SIMD Decode</t>
        </is>
      </c>
      <c r="D154" s="6" t="inlineStr">
        <is>
          <t>FP/SIMD指令字锁存器，在译码前保存32-bit A64编码。</t>
        </is>
      </c>
      <c r="E154" s="6" t="inlineStr">
        <is>
          <t>单比特翻转</t>
        </is>
      </c>
      <c r="F154" s="6" t="inlineStr">
        <is>
          <t>在FP/SIMD译码读取前翻转指令字1 bit，按opcode/register/lane/immediate分层。每次运行只选一个当前有效字段，在字段内均匀抽1 bit做XOR；保存动态指令ID、原值、故障值和bit编号。仅当故障字段被下游读取/选择/用于状态转移时计activated。触发：有效FP或AdvSIMD指令进入decode。</t>
        </is>
      </c>
      <c r="G154" s="6" t="inlineStr">
        <is>
          <t>F1</t>
        </is>
      </c>
      <c r="H154" s="6" t="inlineStr">
        <is>
          <t>平均每1,000,000个 eligible events 注入1次，间隔加入±50%抖动</t>
        </is>
      </c>
      <c r="I154" s="6" t="inlineStr">
        <is>
          <t>W8 FP-ScalarProbe</t>
        </is>
      </c>
      <c r="J154" s="6" t="inlineStr">
        <is>
          <t>FP-ScalarProbe（自设定向负载）
执行定义与oracle：FP32/FP64 add/mul/div/sqrt/FMA、NaN/Inf/±0/subnormal、四种舍入、FP exception；位级结果与 FPSR/FPCR oracle</t>
        </is>
      </c>
      <c r="K154" s="6" t="inlineStr">
        <is>
          <t>有效FP或AdvSIMD指令进入decode</t>
        </is>
      </c>
      <c r="L154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54" s="6" t="inlineStr">
        <is>
          <t>opcode位多导致类别/illegal；lane和寄存器位更可能产生逐lane静默错误</t>
        </is>
      </c>
      <c r="N154" s="6" t="inlineStr">
        <is>
          <t>建立FP/SIMD译码瞬态基线</t>
        </is>
      </c>
      <c r="O154" s="6" t="inlineStr">
        <is>
          <t>MICRO24整数decoder机制类比；无直接FP结果</t>
        </is>
      </c>
      <c r="P154" s="9" t="n"/>
      <c r="Q154" s="9" t="n"/>
      <c r="R154" s="9" t="n"/>
      <c r="S154" s="9" t="n"/>
      <c r="T154" s="9" t="n"/>
      <c r="U154" s="9" t="n"/>
      <c r="V154" s="9" t="n"/>
      <c r="W154" s="9" t="n"/>
      <c r="X154" s="12">
        <f>IF(OR(R154="",R154-AP154&lt;=0),"",AB154/(R154-AP154))</f>
        <v/>
      </c>
      <c r="Y154" s="12">
        <f>IFERROR(R154/AR154,0)</f>
        <v/>
      </c>
      <c r="Z154" s="9" t="inlineStr">
        <is>
          <t>待执行</t>
        </is>
      </c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12">
        <f>IF(OR(R154="",R154-AP154&lt;=0),"",AO154/(R154-AP154))</f>
        <v/>
      </c>
      <c r="AM154" s="11">
        <f>IF(R154="","",SUM(AC154:AF154)-(R154-AP154))</f>
        <v/>
      </c>
      <c r="AN154" s="11">
        <f>IF(R154="","",SUM(S154:W154)+AP154-R154)</f>
        <v/>
      </c>
      <c r="AO154" s="9" t="n"/>
      <c r="AP154" s="9" t="n"/>
      <c r="AQ154" s="27" t="inlineStr">
        <is>
          <t>FD01-a opcode字段单bit；FD01-b V寄存器字段单bit；FD01-c lane字段单bit；FD01-d immediate字段单bit</t>
        </is>
      </c>
      <c r="AR154" s="39" t="n"/>
      <c r="AS154" s="39">
        <f>IFERROR(AR154/Q154,0)</f>
        <v/>
      </c>
      <c r="AT154" s="39" t="n">
        <v>30</v>
      </c>
      <c r="AU154" s="39" t="n">
        <v>385</v>
      </c>
      <c r="AV154" s="39" t="inlineStr">
        <is>
          <t>常规</t>
        </is>
      </c>
      <c r="AW154" s="39" t="inlineStr">
        <is>
          <t>累计至少385，不机械扩展到2401</t>
        </is>
      </c>
    </row>
    <row r="155" ht="118.0500030517578" customHeight="1">
      <c r="A155" s="6" t="inlineStr">
        <is>
          <t>FD01-F1-W9</t>
        </is>
      </c>
      <c r="B155" s="6" t="inlineStr">
        <is>
          <t>FD01</t>
        </is>
      </c>
      <c r="C155" s="6" t="inlineStr">
        <is>
          <t>FP/SIMD Decode</t>
        </is>
      </c>
      <c r="D155" s="6" t="inlineStr">
        <is>
          <t>FP/SIMD指令字锁存器，在译码前保存32-bit A64编码。</t>
        </is>
      </c>
      <c r="E155" s="6" t="inlineStr">
        <is>
          <t>单比特翻转</t>
        </is>
      </c>
      <c r="F155" s="6" t="inlineStr">
        <is>
          <t>在FP/SIMD译码读取前翻转指令字1 bit，按opcode/register/lane/immediate分层。每次运行只选一个当前有效字段，在字段内均匀抽1 bit做XOR；保存动态指令ID、原值、故障值和bit编号。仅当故障字段被下游读取/选择/用于状态转移时计activated。触发：有效FP或AdvSIMD指令进入decode。</t>
        </is>
      </c>
      <c r="G155" s="6" t="inlineStr">
        <is>
          <t>F1</t>
        </is>
      </c>
      <c r="H155" s="6" t="inlineStr">
        <is>
          <t>平均每1,000,000个 eligible events 注入1次，间隔加入±50%抖动</t>
        </is>
      </c>
      <c r="I155" s="6" t="inlineStr">
        <is>
          <t>W9 NEON-LaneProbe</t>
        </is>
      </c>
      <c r="J155" s="6" t="inlineStr">
        <is>
          <t>NEON-LaneProbe（自设定向负载）
执行定义与oracle：8/16/32/64-bit lane、整数/浮点 AdvSIMD、lane extract/insert、widen/narrow、permute、reduce；逐 lane 比对</t>
        </is>
      </c>
      <c r="K155" s="6" t="inlineStr">
        <is>
          <t>有效FP或AdvSIMD指令进入decode</t>
        </is>
      </c>
      <c r="L155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55" s="6" t="inlineStr">
        <is>
          <t>opcode位多导致类别/illegal；lane和寄存器位更可能产生逐lane静默错误</t>
        </is>
      </c>
      <c r="N155" s="6" t="inlineStr">
        <is>
          <t>建立FP/SIMD译码瞬态基线</t>
        </is>
      </c>
      <c r="O155" s="6" t="inlineStr">
        <is>
          <t>MICRO24整数decoder机制类比；无直接FP结果</t>
        </is>
      </c>
      <c r="P155" s="9" t="n"/>
      <c r="Q155" s="9" t="n"/>
      <c r="R155" s="9" t="n"/>
      <c r="S155" s="9" t="n"/>
      <c r="T155" s="9" t="n"/>
      <c r="U155" s="9" t="n"/>
      <c r="V155" s="9" t="n"/>
      <c r="W155" s="9" t="n"/>
      <c r="X155" s="12">
        <f>IF(OR(R155="",R155-AP155&lt;=0),"",AB155/(R155-AP155))</f>
        <v/>
      </c>
      <c r="Y155" s="12">
        <f>IFERROR(R155/AR155,0)</f>
        <v/>
      </c>
      <c r="Z155" s="9" t="inlineStr">
        <is>
          <t>待执行</t>
        </is>
      </c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12">
        <f>IF(OR(R155="",R155-AP155&lt;=0),"",AO155/(R155-AP155))</f>
        <v/>
      </c>
      <c r="AM155" s="11">
        <f>IF(R155="","",SUM(AC155:AF155)-(R155-AP155))</f>
        <v/>
      </c>
      <c r="AN155" s="11">
        <f>IF(R155="","",SUM(S155:W155)+AP155-R155)</f>
        <v/>
      </c>
      <c r="AO155" s="9" t="n"/>
      <c r="AP155" s="9" t="n"/>
      <c r="AQ155" s="27" t="inlineStr">
        <is>
          <t>FD01-a opcode字段单bit；FD01-b V寄存器字段单bit；FD01-c lane字段单bit；FD01-d immediate字段单bit</t>
        </is>
      </c>
      <c r="AR155" s="39" t="n"/>
      <c r="AS155" s="39">
        <f>IFERROR(AR155/Q155,0)</f>
        <v/>
      </c>
      <c r="AT155" s="39" t="n">
        <v>30</v>
      </c>
      <c r="AU155" s="39" t="n">
        <v>385</v>
      </c>
      <c r="AV155" s="39" t="inlineStr">
        <is>
          <t>常规</t>
        </is>
      </c>
      <c r="AW155" s="39" t="inlineStr">
        <is>
          <t>累计至少385，不机械扩展到2401</t>
        </is>
      </c>
    </row>
    <row r="156" ht="118.0500030517578" customHeight="1">
      <c r="A156" s="6" t="inlineStr">
        <is>
          <t>FD01-F2-W8</t>
        </is>
      </c>
      <c r="B156" s="6" t="inlineStr">
        <is>
          <t>FD01</t>
        </is>
      </c>
      <c r="C156" s="6" t="inlineStr">
        <is>
          <t>FP/SIMD Decode</t>
        </is>
      </c>
      <c r="D156" s="6" t="inlineStr">
        <is>
          <t>FP/SIMD指令字锁存器，在译码前保存32-bit A64编码。</t>
        </is>
      </c>
      <c r="E156" s="6" t="inlineStr">
        <is>
          <t>单比特翻转</t>
        </is>
      </c>
      <c r="F156" s="6" t="inlineStr">
        <is>
          <t>在FP/SIMD译码读取前翻转指令字1 bit，按opcode/register/lane/immediate分层。每次运行只选一个当前有效字段，在字段内均匀抽1 bit做XOR；保存动态指令ID、原值、故障值和bit编号。仅当故障字段被下游读取/选择/用于状态转移时计activated。触发：有效FP或AdvSIMD指令进入decode。</t>
        </is>
      </c>
      <c r="G156" s="6" t="inlineStr">
        <is>
          <t>F2</t>
        </is>
      </c>
      <c r="H156" s="6" t="inlineStr">
        <is>
          <t>平均每100,000个 eligible events 注入1次，间隔加入±50%抖动</t>
        </is>
      </c>
      <c r="I156" s="6" t="inlineStr">
        <is>
          <t>W8 FP-ScalarProbe</t>
        </is>
      </c>
      <c r="J156" s="6" t="inlineStr">
        <is>
          <t>FP-ScalarProbe（自设定向负载）
执行定义与oracle：FP32/FP64 add/mul/div/sqrt/FMA、NaN/Inf/±0/subnormal、四种舍入、FP exception；位级结果与 FPSR/FPCR oracle</t>
        </is>
      </c>
      <c r="K156" s="6" t="inlineStr">
        <is>
          <t>有效FP或AdvSIMD指令进入decode</t>
        </is>
      </c>
      <c r="L156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56" s="6" t="inlineStr">
        <is>
          <t>opcode位多导致类别/illegal；lane和寄存器位更可能产生逐lane静默错误</t>
        </is>
      </c>
      <c r="N156" s="6" t="inlineStr">
        <is>
          <t>建立FP/SIMD译码瞬态基线</t>
        </is>
      </c>
      <c r="O156" s="6" t="inlineStr">
        <is>
          <t>MICRO24整数decoder机制类比；无直接FP结果</t>
        </is>
      </c>
      <c r="P156" s="9" t="n"/>
      <c r="Q156" s="9" t="n"/>
      <c r="R156" s="9" t="n"/>
      <c r="S156" s="9" t="n"/>
      <c r="T156" s="9" t="n"/>
      <c r="U156" s="9" t="n"/>
      <c r="V156" s="9" t="n"/>
      <c r="W156" s="9" t="n"/>
      <c r="X156" s="12">
        <f>IF(OR(R156="",R156-AP156&lt;=0),"",AB156/(R156-AP156))</f>
        <v/>
      </c>
      <c r="Y156" s="12">
        <f>IFERROR(R156/AR156,0)</f>
        <v/>
      </c>
      <c r="Z156" s="9" t="inlineStr">
        <is>
          <t>待执行</t>
        </is>
      </c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12">
        <f>IF(OR(R156="",R156-AP156&lt;=0),"",AO156/(R156-AP156))</f>
        <v/>
      </c>
      <c r="AM156" s="11">
        <f>IF(R156="","",SUM(AC156:AF156)-(R156-AP156))</f>
        <v/>
      </c>
      <c r="AN156" s="11">
        <f>IF(R156="","",SUM(S156:W156)+AP156-R156)</f>
        <v/>
      </c>
      <c r="AO156" s="9" t="n"/>
      <c r="AP156" s="9" t="n"/>
      <c r="AQ156" s="27" t="inlineStr">
        <is>
          <t>FD01-a opcode字段单bit；FD01-b V寄存器字段单bit；FD01-c lane字段单bit；FD01-d immediate字段单bit</t>
        </is>
      </c>
      <c r="AR156" s="39" t="n"/>
      <c r="AS156" s="39">
        <f>IFERROR(AR156/Q156,0)</f>
        <v/>
      </c>
      <c r="AT156" s="39" t="n">
        <v>30</v>
      </c>
      <c r="AU156" s="39" t="n">
        <v>385</v>
      </c>
      <c r="AV156" s="39" t="inlineStr">
        <is>
          <t>常规</t>
        </is>
      </c>
      <c r="AW156" s="39" t="inlineStr">
        <is>
          <t>累计至少385，不机械扩展到2401</t>
        </is>
      </c>
    </row>
    <row r="157" ht="118.0500030517578" customHeight="1">
      <c r="A157" s="6" t="inlineStr">
        <is>
          <t>FD01-F2-W9</t>
        </is>
      </c>
      <c r="B157" s="6" t="inlineStr">
        <is>
          <t>FD01</t>
        </is>
      </c>
      <c r="C157" s="6" t="inlineStr">
        <is>
          <t>FP/SIMD Decode</t>
        </is>
      </c>
      <c r="D157" s="6" t="inlineStr">
        <is>
          <t>FP/SIMD指令字锁存器，在译码前保存32-bit A64编码。</t>
        </is>
      </c>
      <c r="E157" s="6" t="inlineStr">
        <is>
          <t>单比特翻转</t>
        </is>
      </c>
      <c r="F157" s="6" t="inlineStr">
        <is>
          <t>在FP/SIMD译码读取前翻转指令字1 bit，按opcode/register/lane/immediate分层。每次运行只选一个当前有效字段，在字段内均匀抽1 bit做XOR；保存动态指令ID、原值、故障值和bit编号。仅当故障字段被下游读取/选择/用于状态转移时计activated。触发：有效FP或AdvSIMD指令进入decode。</t>
        </is>
      </c>
      <c r="G157" s="6" t="inlineStr">
        <is>
          <t>F2</t>
        </is>
      </c>
      <c r="H157" s="6" t="inlineStr">
        <is>
          <t>平均每100,000个 eligible events 注入1次，间隔加入±50%抖动</t>
        </is>
      </c>
      <c r="I157" s="6" t="inlineStr">
        <is>
          <t>W9 NEON-LaneProbe</t>
        </is>
      </c>
      <c r="J157" s="6" t="inlineStr">
        <is>
          <t>NEON-LaneProbe（自设定向负载）
执行定义与oracle：8/16/32/64-bit lane、整数/浮点 AdvSIMD、lane extract/insert、widen/narrow、permute、reduce；逐 lane 比对</t>
        </is>
      </c>
      <c r="K157" s="6" t="inlineStr">
        <is>
          <t>有效FP或AdvSIMD指令进入decode</t>
        </is>
      </c>
      <c r="L157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57" s="6" t="inlineStr">
        <is>
          <t>opcode位多导致类别/illegal；lane和寄存器位更可能产生逐lane静默错误</t>
        </is>
      </c>
      <c r="N157" s="6" t="inlineStr">
        <is>
          <t>建立FP/SIMD译码瞬态基线</t>
        </is>
      </c>
      <c r="O157" s="6" t="inlineStr">
        <is>
          <t>MICRO24整数decoder机制类比；无直接FP结果</t>
        </is>
      </c>
      <c r="P157" s="9" t="n"/>
      <c r="Q157" s="9" t="n"/>
      <c r="R157" s="9" t="n"/>
      <c r="S157" s="9" t="n"/>
      <c r="T157" s="9" t="n"/>
      <c r="U157" s="9" t="n"/>
      <c r="V157" s="9" t="n"/>
      <c r="W157" s="9" t="n"/>
      <c r="X157" s="12">
        <f>IF(OR(R157="",R157-AP157&lt;=0),"",AB157/(R157-AP157))</f>
        <v/>
      </c>
      <c r="Y157" s="12">
        <f>IFERROR(R157/AR157,0)</f>
        <v/>
      </c>
      <c r="Z157" s="9" t="inlineStr">
        <is>
          <t>待执行</t>
        </is>
      </c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12">
        <f>IF(OR(R157="",R157-AP157&lt;=0),"",AO157/(R157-AP157))</f>
        <v/>
      </c>
      <c r="AM157" s="11">
        <f>IF(R157="","",SUM(AC157:AF157)-(R157-AP157))</f>
        <v/>
      </c>
      <c r="AN157" s="11">
        <f>IF(R157="","",SUM(S157:W157)+AP157-R157)</f>
        <v/>
      </c>
      <c r="AO157" s="9" t="n"/>
      <c r="AP157" s="9" t="n"/>
      <c r="AQ157" s="27" t="inlineStr">
        <is>
          <t>FD01-a opcode字段单bit；FD01-b V寄存器字段单bit；FD01-c lane字段单bit；FD01-d immediate字段单bit</t>
        </is>
      </c>
      <c r="AR157" s="39" t="n"/>
      <c r="AS157" s="39">
        <f>IFERROR(AR157/Q157,0)</f>
        <v/>
      </c>
      <c r="AT157" s="39" t="n">
        <v>30</v>
      </c>
      <c r="AU157" s="39" t="n">
        <v>385</v>
      </c>
      <c r="AV157" s="39" t="inlineStr">
        <is>
          <t>常规</t>
        </is>
      </c>
      <c r="AW157" s="39" t="inlineStr">
        <is>
          <t>累计至少385，不机械扩展到2401</t>
        </is>
      </c>
    </row>
    <row r="158" ht="118.0500030517578" customHeight="1">
      <c r="A158" s="6" t="inlineStr">
        <is>
          <t>FD02-F0-W8</t>
        </is>
      </c>
      <c r="B158" s="6" t="inlineStr">
        <is>
          <t>FD02</t>
        </is>
      </c>
      <c r="C158" s="6" t="inlineStr">
        <is>
          <t>FP/SIMD Decode</t>
        </is>
      </c>
      <c r="D158" s="6" t="inlineStr">
        <is>
          <t>同一FP/SIMD指令字锁存器。</t>
        </is>
      </c>
      <c r="E158" s="6" t="inlineStr">
        <is>
          <t>双比特翻转</t>
        </is>
      </c>
      <c r="F158" s="6" t="inlineStr">
        <is>
          <t>同一指令字双bit翻转，区分同字段与跨字段。同一字段同时翻转2个不同bit，50%相邻、50%非相邻；两bit在同一事件生效，不与其他字段叠加。保存bit距离和原/故障值。仅当字段被消费时计activated。触发：有效FP或AdvSIMD指令进入decode。</t>
        </is>
      </c>
      <c r="G158" s="6" t="inlineStr">
        <is>
          <t>F0</t>
        </is>
      </c>
      <c r="H158" s="6" t="inlineStr">
        <is>
          <t>每次运行只注入1次；warm-up后在 eligible event 中均匀抽样</t>
        </is>
      </c>
      <c r="I158" s="6" t="inlineStr">
        <is>
          <t>W8 FP-ScalarProbe</t>
        </is>
      </c>
      <c r="J158" s="6" t="inlineStr">
        <is>
          <t>FP-ScalarProbe（自设定向负载）
执行定义与oracle：FP32/FP64 add/mul/div/sqrt/FMA、NaN/Inf/±0/subnormal、四种舍入、FP exception；位级结果与 FPSR/FPCR oracle</t>
        </is>
      </c>
      <c r="K158" s="6" t="inlineStr">
        <is>
          <t>有效FP或AdvSIMD指令进入decode</t>
        </is>
      </c>
      <c r="L158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58" s="6" t="inlineStr">
        <is>
          <t>跨字段错误可能同时改变操作和lane布局，结果更极化</t>
        </is>
      </c>
      <c r="N158" s="6" t="inlineStr">
        <is>
          <t>覆盖MBU和多状态位错误</t>
        </is>
      </c>
      <c r="O158" s="6" t="inlineStr">
        <is>
          <t>MICRO24/CHAOS26类比</t>
        </is>
      </c>
      <c r="P158" s="9" t="n"/>
      <c r="Q158" s="9" t="n"/>
      <c r="R158" s="9" t="n"/>
      <c r="S158" s="9" t="n"/>
      <c r="T158" s="9" t="n"/>
      <c r="U158" s="9" t="n"/>
      <c r="V158" s="9" t="n"/>
      <c r="W158" s="9" t="n"/>
      <c r="X158" s="12">
        <f>IF(OR(R158="",R158-AP158&lt;=0),"",AB158/(R158-AP158))</f>
        <v/>
      </c>
      <c r="Y158" s="12">
        <f>IFERROR(R158/AR158,0)</f>
        <v/>
      </c>
      <c r="Z158" s="9" t="inlineStr">
        <is>
          <t>待执行</t>
        </is>
      </c>
      <c r="AA158" s="9" t="inlineStr">
        <is>
          <t>[2026-10-12 过渡回填|0201(huawei0201,172.168.178.81)|HEAD bf3d284|binary 1a618953|触发=F0等价(cycle1000 warm-up,max_faults1,首个eligible)] 跨负载部分证据备注:子模型 FD02-a(同字段相邻双bit,fp_bitflip2_adj,decode)已于非矩阵负载 polybench/gemm 完成 385 样本(attempted 385/activated 385/Masked 166/Crash 143/SDC 219（Data Corruption 76+RAS-silent Crash 143）;证据:runs/formal_FD02a_gemm/c0000/results.jsonl)。本行矩阵负载 W8 FP-ScalarProbe 未运行,不关闭本 RunID。；[2026-10-12 SDC口径修正] 跨负载证据仅修正分类口径，仍不关闭本RunID</t>
        </is>
      </c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12">
        <f>IF(OR(R158="",R158-AP158&lt;=0),"",AO158/(R158-AP158))</f>
        <v/>
      </c>
      <c r="AM158" s="11">
        <f>IF(R158="","",SUM(AC158:AF158)-(R158-AP158))</f>
        <v/>
      </c>
      <c r="AN158" s="11">
        <f>IF(R158="","",SUM(S158:W158)+AP158-R158)</f>
        <v/>
      </c>
      <c r="AO158" s="9" t="n"/>
      <c r="AP158" s="9" t="n"/>
      <c r="AQ158" s="27" t="inlineStr">
        <is>
          <t>FD02-a 同字段相邻双bit；FD02-b 同字段非相邻双bit；FD02-c opcode/lane跨字段双bit</t>
        </is>
      </c>
      <c r="AR158" s="39" t="n"/>
      <c r="AS158" s="39">
        <f>IFERROR(AR158/Q158,0)</f>
        <v/>
      </c>
      <c r="AT158" s="39" t="n">
        <v>30</v>
      </c>
      <c r="AU158" s="39" t="n">
        <v>385</v>
      </c>
      <c r="AV158" s="39" t="inlineStr">
        <is>
          <t>常规</t>
        </is>
      </c>
      <c r="AW158" s="39" t="inlineStr">
        <is>
          <t>累计至少385，不机械扩展到2401</t>
        </is>
      </c>
    </row>
    <row r="159" ht="118.0500030517578" customHeight="1">
      <c r="A159" s="6" t="inlineStr">
        <is>
          <t>FD02-F0-W9</t>
        </is>
      </c>
      <c r="B159" s="6" t="inlineStr">
        <is>
          <t>FD02</t>
        </is>
      </c>
      <c r="C159" s="6" t="inlineStr">
        <is>
          <t>FP/SIMD Decode</t>
        </is>
      </c>
      <c r="D159" s="6" t="inlineStr">
        <is>
          <t>同一FP/SIMD指令字锁存器。</t>
        </is>
      </c>
      <c r="E159" s="6" t="inlineStr">
        <is>
          <t>双比特翻转</t>
        </is>
      </c>
      <c r="F159" s="6" t="inlineStr">
        <is>
          <t>同一指令字双bit翻转，区分同字段与跨字段。同一字段同时翻转2个不同bit，50%相邻、50%非相邻；两bit在同一事件生效，不与其他字段叠加。保存bit距离和原/故障值。仅当字段被消费时计activated。触发：有效FP或AdvSIMD指令进入decode。</t>
        </is>
      </c>
      <c r="G159" s="6" t="inlineStr">
        <is>
          <t>F0</t>
        </is>
      </c>
      <c r="H159" s="6" t="inlineStr">
        <is>
          <t>每次运行只注入1次；warm-up后在 eligible event 中均匀抽样</t>
        </is>
      </c>
      <c r="I159" s="6" t="inlineStr">
        <is>
          <t>W9 NEON-LaneProbe</t>
        </is>
      </c>
      <c r="J159" s="6" t="inlineStr">
        <is>
          <t>NEON-LaneProbe（自设定向负载）
执行定义与oracle：8/16/32/64-bit lane、整数/浮点 AdvSIMD、lane extract/insert、widen/narrow、permute、reduce；逐 lane 比对</t>
        </is>
      </c>
      <c r="K159" s="6" t="inlineStr">
        <is>
          <t>有效FP或AdvSIMD指令进入decode</t>
        </is>
      </c>
      <c r="L159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59" s="6" t="inlineStr">
        <is>
          <t>跨字段错误可能同时改变操作和lane布局，结果更极化</t>
        </is>
      </c>
      <c r="N159" s="6" t="inlineStr">
        <is>
          <t>覆盖MBU和多状态位错误</t>
        </is>
      </c>
      <c r="O159" s="6" t="inlineStr">
        <is>
          <t>MICRO24/CHAOS26类比</t>
        </is>
      </c>
      <c r="P159" s="9" t="n"/>
      <c r="Q159" s="9" t="n"/>
      <c r="R159" s="9" t="n"/>
      <c r="S159" s="9" t="n"/>
      <c r="T159" s="9" t="n"/>
      <c r="U159" s="9" t="n"/>
      <c r="V159" s="9" t="n"/>
      <c r="W159" s="9" t="n"/>
      <c r="X159" s="12">
        <f>IF(OR(R159="",R159-AP159&lt;=0),"",AB159/(R159-AP159))</f>
        <v/>
      </c>
      <c r="Y159" s="12">
        <f>IFERROR(R159/AR159,0)</f>
        <v/>
      </c>
      <c r="Z159" s="9" t="inlineStr">
        <is>
          <t>待执行</t>
        </is>
      </c>
      <c r="AA159" s="9" t="inlineStr">
        <is>
          <t>[2026-10-12 过渡回填|0201(huawei0201,172.168.178.81)|HEAD bf3d284|binary 1a618953|触发=F0等价(cycle1000 warm-up,max_faults1,首个eligible)] 跨负载部分证据备注:子模型 FD02-a 同上(gemm 385 样本,Masked 166/Crash 143/SDC 219（Data Corruption 76+RAS-silent Crash 143）)。本行矩阵负载 W9 NEON-LaneProbe 未运行,不关闭本 RunID。证据:runs/formal_FD02a_gemm/c0000/results.jsonl。；[2026-10-12 SDC口径修正] 跨负载证据仅修正分类口径，仍不关闭本RunID</t>
        </is>
      </c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12">
        <f>IF(OR(R159="",R159-AP159&lt;=0),"",AO159/(R159-AP159))</f>
        <v/>
      </c>
      <c r="AM159" s="11">
        <f>IF(R159="","",SUM(AC159:AF159)-(R159-AP159))</f>
        <v/>
      </c>
      <c r="AN159" s="11">
        <f>IF(R159="","",SUM(S159:W159)+AP159-R159)</f>
        <v/>
      </c>
      <c r="AO159" s="9" t="n"/>
      <c r="AP159" s="9" t="n"/>
      <c r="AQ159" s="27" t="inlineStr">
        <is>
          <t>FD02-a 同字段相邻双bit；FD02-b 同字段非相邻双bit；FD02-c opcode/lane跨字段双bit</t>
        </is>
      </c>
      <c r="AR159" s="39" t="n"/>
      <c r="AS159" s="39">
        <f>IFERROR(AR159/Q159,0)</f>
        <v/>
      </c>
      <c r="AT159" s="39" t="n">
        <v>30</v>
      </c>
      <c r="AU159" s="39" t="n">
        <v>385</v>
      </c>
      <c r="AV159" s="39" t="inlineStr">
        <is>
          <t>常规</t>
        </is>
      </c>
      <c r="AW159" s="39" t="inlineStr">
        <is>
          <t>累计至少385，不机械扩展到2401</t>
        </is>
      </c>
    </row>
    <row r="160" ht="118.0500030517578" customHeight="1">
      <c r="A160" s="6" t="inlineStr">
        <is>
          <t>FD02-F2-W8</t>
        </is>
      </c>
      <c r="B160" s="6" t="inlineStr">
        <is>
          <t>FD02</t>
        </is>
      </c>
      <c r="C160" s="6" t="inlineStr">
        <is>
          <t>FP/SIMD Decode</t>
        </is>
      </c>
      <c r="D160" s="6" t="inlineStr">
        <is>
          <t>同一FP/SIMD指令字锁存器。</t>
        </is>
      </c>
      <c r="E160" s="6" t="inlineStr">
        <is>
          <t>双比特翻转</t>
        </is>
      </c>
      <c r="F160" s="6" t="inlineStr">
        <is>
          <t>同一指令字双bit翻转，区分同字段与跨字段。同一字段同时翻转2个不同bit，50%相邻、50%非相邻；两bit在同一事件生效，不与其他字段叠加。保存bit距离和原/故障值。仅当字段被消费时计activated。触发：有效FP或AdvSIMD指令进入decode。</t>
        </is>
      </c>
      <c r="G160" s="6" t="inlineStr">
        <is>
          <t>F2</t>
        </is>
      </c>
      <c r="H160" s="6" t="inlineStr">
        <is>
          <t>平均每100,000个 eligible events 注入1次，间隔加入±50%抖动</t>
        </is>
      </c>
      <c r="I160" s="6" t="inlineStr">
        <is>
          <t>W8 FP-ScalarProbe</t>
        </is>
      </c>
      <c r="J160" s="6" t="inlineStr">
        <is>
          <t>FP-ScalarProbe（自设定向负载）
执行定义与oracle：FP32/FP64 add/mul/div/sqrt/FMA、NaN/Inf/±0/subnormal、四种舍入、FP exception；位级结果与 FPSR/FPCR oracle</t>
        </is>
      </c>
      <c r="K160" s="6" t="inlineStr">
        <is>
          <t>有效FP或AdvSIMD指令进入decode</t>
        </is>
      </c>
      <c r="L160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60" s="6" t="inlineStr">
        <is>
          <t>跨字段错误可能同时改变操作和lane布局，结果更极化</t>
        </is>
      </c>
      <c r="N160" s="6" t="inlineStr">
        <is>
          <t>覆盖MBU和多状态位错误</t>
        </is>
      </c>
      <c r="O160" s="6" t="inlineStr">
        <is>
          <t>MICRO24/CHAOS26类比</t>
        </is>
      </c>
      <c r="P160" s="9" t="n"/>
      <c r="Q160" s="9" t="n"/>
      <c r="R160" s="9" t="n"/>
      <c r="S160" s="9" t="n"/>
      <c r="T160" s="9" t="n"/>
      <c r="U160" s="9" t="n"/>
      <c r="V160" s="9" t="n"/>
      <c r="W160" s="9" t="n"/>
      <c r="X160" s="12">
        <f>IF(OR(R160="",R160-AP160&lt;=0),"",AB160/(R160-AP160))</f>
        <v/>
      </c>
      <c r="Y160" s="12">
        <f>IFERROR(R160/AR160,0)</f>
        <v/>
      </c>
      <c r="Z160" s="9" t="inlineStr">
        <is>
          <t>待执行</t>
        </is>
      </c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12">
        <f>IF(OR(R160="",R160-AP160&lt;=0),"",AO160/(R160-AP160))</f>
        <v/>
      </c>
      <c r="AM160" s="11">
        <f>IF(R160="","",SUM(AC160:AF160)-(R160-AP160))</f>
        <v/>
      </c>
      <c r="AN160" s="11">
        <f>IF(R160="","",SUM(S160:W160)+AP160-R160)</f>
        <v/>
      </c>
      <c r="AO160" s="9" t="n"/>
      <c r="AP160" s="9" t="n"/>
      <c r="AQ160" s="27" t="inlineStr">
        <is>
          <t>FD02-a 同字段相邻双bit；FD02-b 同字段非相邻双bit；FD02-c opcode/lane跨字段双bit</t>
        </is>
      </c>
      <c r="AR160" s="39" t="n"/>
      <c r="AS160" s="39">
        <f>IFERROR(AR160/Q160,0)</f>
        <v/>
      </c>
      <c r="AT160" s="39" t="n">
        <v>30</v>
      </c>
      <c r="AU160" s="39" t="n">
        <v>385</v>
      </c>
      <c r="AV160" s="39" t="inlineStr">
        <is>
          <t>常规</t>
        </is>
      </c>
      <c r="AW160" s="39" t="inlineStr">
        <is>
          <t>累计至少385，不机械扩展到2401</t>
        </is>
      </c>
    </row>
    <row r="161" ht="118.0500030517578" customHeight="1">
      <c r="A161" s="6" t="inlineStr">
        <is>
          <t>FD02-F2-W9</t>
        </is>
      </c>
      <c r="B161" s="6" t="inlineStr">
        <is>
          <t>FD02</t>
        </is>
      </c>
      <c r="C161" s="6" t="inlineStr">
        <is>
          <t>FP/SIMD Decode</t>
        </is>
      </c>
      <c r="D161" s="6" t="inlineStr">
        <is>
          <t>同一FP/SIMD指令字锁存器。</t>
        </is>
      </c>
      <c r="E161" s="6" t="inlineStr">
        <is>
          <t>双比特翻转</t>
        </is>
      </c>
      <c r="F161" s="6" t="inlineStr">
        <is>
          <t>同一指令字双bit翻转，区分同字段与跨字段。同一字段同时翻转2个不同bit，50%相邻、50%非相邻；两bit在同一事件生效，不与其他字段叠加。保存bit距离和原/故障值。仅当字段被消费时计activated。触发：有效FP或AdvSIMD指令进入decode。</t>
        </is>
      </c>
      <c r="G161" s="6" t="inlineStr">
        <is>
          <t>F2</t>
        </is>
      </c>
      <c r="H161" s="6" t="inlineStr">
        <is>
          <t>平均每100,000个 eligible events 注入1次，间隔加入±50%抖动</t>
        </is>
      </c>
      <c r="I161" s="6" t="inlineStr">
        <is>
          <t>W9 NEON-LaneProbe</t>
        </is>
      </c>
      <c r="J161" s="6" t="inlineStr">
        <is>
          <t>NEON-LaneProbe（自设定向负载）
执行定义与oracle：8/16/32/64-bit lane、整数/浮点 AdvSIMD、lane extract/insert、widen/narrow、permute、reduce；逐 lane 比对</t>
        </is>
      </c>
      <c r="K161" s="6" t="inlineStr">
        <is>
          <t>有效FP或AdvSIMD指令进入decode</t>
        </is>
      </c>
      <c r="L161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61" s="6" t="inlineStr">
        <is>
          <t>跨字段错误可能同时改变操作和lane布局，结果更极化</t>
        </is>
      </c>
      <c r="N161" s="6" t="inlineStr">
        <is>
          <t>覆盖MBU和多状态位错误</t>
        </is>
      </c>
      <c r="O161" s="6" t="inlineStr">
        <is>
          <t>MICRO24/CHAOS26类比</t>
        </is>
      </c>
      <c r="P161" s="9" t="n"/>
      <c r="Q161" s="9" t="n"/>
      <c r="R161" s="9" t="n"/>
      <c r="S161" s="9" t="n"/>
      <c r="T161" s="9" t="n"/>
      <c r="U161" s="9" t="n"/>
      <c r="V161" s="9" t="n"/>
      <c r="W161" s="9" t="n"/>
      <c r="X161" s="12">
        <f>IF(OR(R161="",R161-AP161&lt;=0),"",AB161/(R161-AP161))</f>
        <v/>
      </c>
      <c r="Y161" s="12">
        <f>IFERROR(R161/AR161,0)</f>
        <v/>
      </c>
      <c r="Z161" s="9" t="inlineStr">
        <is>
          <t>待执行</t>
        </is>
      </c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12">
        <f>IF(OR(R161="",R161-AP161&lt;=0),"",AO161/(R161-AP161))</f>
        <v/>
      </c>
      <c r="AM161" s="11">
        <f>IF(R161="","",SUM(AC161:AF161)-(R161-AP161))</f>
        <v/>
      </c>
      <c r="AN161" s="11">
        <f>IF(R161="","",SUM(S161:W161)+AP161-R161)</f>
        <v/>
      </c>
      <c r="AO161" s="9" t="n"/>
      <c r="AP161" s="9" t="n"/>
      <c r="AQ161" s="27" t="inlineStr">
        <is>
          <t>FD02-a 同字段相邻双bit；FD02-b 同字段非相邻双bit；FD02-c opcode/lane跨字段双bit</t>
        </is>
      </c>
      <c r="AR161" s="39" t="n"/>
      <c r="AS161" s="39">
        <f>IFERROR(AR161/Q161,0)</f>
        <v/>
      </c>
      <c r="AT161" s="39" t="n">
        <v>30</v>
      </c>
      <c r="AU161" s="39" t="n">
        <v>385</v>
      </c>
      <c r="AV161" s="39" t="inlineStr">
        <is>
          <t>常规</t>
        </is>
      </c>
      <c r="AW161" s="39" t="inlineStr">
        <is>
          <t>累计至少385，不机械扩展到2401</t>
        </is>
      </c>
    </row>
    <row r="162" ht="118.0500030517578" customHeight="1">
      <c r="A162" s="6" t="inlineStr">
        <is>
          <t>FD03-F0-W8</t>
        </is>
      </c>
      <c r="B162" s="6" t="inlineStr">
        <is>
          <t>FD03</t>
        </is>
      </c>
      <c r="C162" s="6" t="inlineStr">
        <is>
          <t>FP/SIMD Decode</t>
        </is>
      </c>
      <c r="D162" s="6" t="inlineStr">
        <is>
          <t>FP/SIMD opClass与具体操作选择输出。</t>
        </is>
      </c>
      <c r="E162" s="6" t="inlineStr">
        <is>
          <t>换值</t>
        </is>
      </c>
      <c r="F162" s="6" t="inlineStr">
        <is>
          <t>在操作数布局兼容的集合内做合法替换，如FADD↔FSUB、ADD↔SUB、MIN↔MAX。从当前有效且生命周期合法的候选集合中选择另一个合法值；禁止空闲、越界或编码非法候选。保存source/target和候选集大小。仅当替换值被消费时计activated。触发：存在同布局合法候选opClass。</t>
        </is>
      </c>
      <c r="G162" s="6" t="inlineStr">
        <is>
          <t>F0</t>
        </is>
      </c>
      <c r="H162" s="6" t="inlineStr">
        <is>
          <t>每次运行只注入1次；warm-up后在 eligible event 中均匀抽样</t>
        </is>
      </c>
      <c r="I162" s="6" t="inlineStr">
        <is>
          <t>W8 FP-ScalarProbe</t>
        </is>
      </c>
      <c r="J162" s="6" t="inlineStr">
        <is>
          <t>FP-ScalarProbe（自设定向负载）
执行定义与oracle：FP32/FP64 add/mul/div/sqrt/FMA、NaN/Inf/±0/subnormal、四种舍入、FP exception；位级结果与 FPSR/FPCR oracle</t>
        </is>
      </c>
      <c r="K162" s="6" t="inlineStr">
        <is>
          <t>存在同布局合法候选opClass</t>
        </is>
      </c>
      <c r="L162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62" s="6" t="inlineStr">
        <is>
          <t>合法算子替换通常无异常且易SDC；除零/sqrt等跨延迟替换还会改变完成时序</t>
        </is>
      </c>
      <c r="N162" s="6" t="inlineStr">
        <is>
          <t>研究合法但错误语义</t>
        </is>
      </c>
      <c r="O162" s="6" t="inlineStr">
        <is>
          <t>本方案结构化模型</t>
        </is>
      </c>
      <c r="P162" s="9" t="n"/>
      <c r="Q162" s="9" t="n"/>
      <c r="R162" s="9" t="n"/>
      <c r="S162" s="9" t="n"/>
      <c r="T162" s="9" t="n"/>
      <c r="U162" s="9" t="n"/>
      <c r="V162" s="9" t="n"/>
      <c r="W162" s="9" t="n"/>
      <c r="X162" s="12">
        <f>IF(OR(R162="",R162-AP162&lt;=0),"",AB162/(R162-AP162))</f>
        <v/>
      </c>
      <c r="Y162" s="12">
        <f>IFERROR(R162/AR162,0)</f>
        <v/>
      </c>
      <c r="Z162" s="9" t="inlineStr">
        <is>
          <t>待执行</t>
        </is>
      </c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12">
        <f>IF(OR(R162="",R162-AP162&lt;=0),"",AO162/(R162-AP162))</f>
        <v/>
      </c>
      <c r="AM162" s="11">
        <f>IF(R162="","",SUM(AC162:AF162)-(R162-AP162))</f>
        <v/>
      </c>
      <c r="AN162" s="11">
        <f>IF(R162="","",SUM(S162:W162)+AP162-R162)</f>
        <v/>
      </c>
      <c r="AO162" s="9" t="n"/>
      <c r="AP162" s="9" t="n"/>
      <c r="AQ162" s="27" t="inlineStr">
        <is>
          <t>FD03-a FADD↔FSUB；FD03-b ADD↔SUB；FD03-c MIN↔MAX；FD03-d 跨延迟opClass合法换值</t>
        </is>
      </c>
      <c r="AR162" s="39" t="n"/>
      <c r="AS162" s="39">
        <f>IFERROR(AR162/Q162,0)</f>
        <v/>
      </c>
      <c r="AT162" s="39" t="n">
        <v>30</v>
      </c>
      <c r="AU162" s="39" t="n">
        <v>385</v>
      </c>
      <c r="AV162" s="39" t="inlineStr">
        <is>
          <t>常规</t>
        </is>
      </c>
      <c r="AW162" s="39" t="inlineStr">
        <is>
          <t>累计至少385，不机械扩展到2401</t>
        </is>
      </c>
    </row>
    <row r="163" ht="118.0500030517578" customHeight="1">
      <c r="A163" s="6" t="inlineStr">
        <is>
          <t>FD03-F0-W10</t>
        </is>
      </c>
      <c r="B163" s="6" t="inlineStr">
        <is>
          <t>FD03</t>
        </is>
      </c>
      <c r="C163" s="6" t="inlineStr">
        <is>
          <t>FP/SIMD Decode</t>
        </is>
      </c>
      <c r="D163" s="6" t="inlineStr">
        <is>
          <t>FP/SIMD opClass与具体操作选择输出。</t>
        </is>
      </c>
      <c r="E163" s="6" t="inlineStr">
        <is>
          <t>换值</t>
        </is>
      </c>
      <c r="F163" s="6" t="inlineStr">
        <is>
          <t>在操作数布局兼容的集合内做合法替换，如FADD↔FSUB、ADD↔SUB、MIN↔MAX。从当前有效且生命周期合法的候选集合中选择另一个合法值；禁止空闲、越界或编码非法候选。保存source/target和候选集大小。仅当替换值被消费时计activated。触发：存在同布局合法候选opClass。</t>
        </is>
      </c>
      <c r="G163" s="6" t="inlineStr">
        <is>
          <t>F0</t>
        </is>
      </c>
      <c r="H163" s="6" t="inlineStr">
        <is>
          <t>每次运行只注入1次；warm-up后在 eligible event 中均匀抽样</t>
        </is>
      </c>
      <c r="I163" s="6" t="inlineStr">
        <is>
          <t>W10 PolyBench</t>
        </is>
      </c>
      <c r="J163" s="6" t="inlineStr">
        <is>
          <t>PolyBench（公开通用）
执行定义与oracle：gemm、2mm、lu、cholesky、jacobi-2d；固定规模；输出数组逐元素/容差双校验</t>
        </is>
      </c>
      <c r="K163" s="6" t="inlineStr">
        <is>
          <t>存在同布局合法候选opClass</t>
        </is>
      </c>
      <c r="L163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63" s="6" t="inlineStr">
        <is>
          <t>合法算子替换通常无异常且易SDC；除零/sqrt等跨延迟替换还会改变完成时序</t>
        </is>
      </c>
      <c r="N163" s="6" t="inlineStr">
        <is>
          <t>研究合法但错误语义</t>
        </is>
      </c>
      <c r="O163" s="6" t="inlineStr">
        <is>
          <t>本方案结构化模型</t>
        </is>
      </c>
      <c r="P163" s="9" t="n"/>
      <c r="Q163" s="9" t="n"/>
      <c r="R163" s="9" t="n"/>
      <c r="S163" s="9" t="n"/>
      <c r="T163" s="9" t="n"/>
      <c r="U163" s="9" t="n"/>
      <c r="V163" s="9" t="n"/>
      <c r="W163" s="9" t="n"/>
      <c r="X163" s="12">
        <f>IF(OR(R163="",R163-AP163&lt;=0),"",AB163/(R163-AP163))</f>
        <v/>
      </c>
      <c r="Y163" s="12">
        <f>IFERROR(R163/AR163,0)</f>
        <v/>
      </c>
      <c r="Z163" s="9" t="inlineStr">
        <is>
          <t>待执行</t>
        </is>
      </c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12">
        <f>IF(OR(R163="",R163-AP163&lt;=0),"",AO163/(R163-AP163))</f>
        <v/>
      </c>
      <c r="AM163" s="11">
        <f>IF(R163="","",SUM(AC163:AF163)-(R163-AP163))</f>
        <v/>
      </c>
      <c r="AN163" s="11">
        <f>IF(R163="","",SUM(S163:W163)+AP163-R163)</f>
        <v/>
      </c>
      <c r="AO163" s="9" t="n"/>
      <c r="AP163" s="9" t="n"/>
      <c r="AQ163" s="27" t="inlineStr">
        <is>
          <t>FD03-a FADD↔FSUB；FD03-b ADD↔SUB；FD03-c MIN↔MAX；FD03-d 跨延迟opClass合法换值</t>
        </is>
      </c>
      <c r="AR163" s="39" t="n"/>
      <c r="AS163" s="39">
        <f>IFERROR(AR163/Q163,0)</f>
        <v/>
      </c>
      <c r="AT163" s="39" t="n">
        <v>30</v>
      </c>
      <c r="AU163" s="39" t="n">
        <v>385</v>
      </c>
      <c r="AV163" s="39" t="inlineStr">
        <is>
          <t>常规</t>
        </is>
      </c>
      <c r="AW163" s="39" t="inlineStr">
        <is>
          <t>累计至少385，不机械扩展到2401</t>
        </is>
      </c>
    </row>
    <row r="164" ht="118.0500030517578" customHeight="1">
      <c r="A164" s="6" t="inlineStr">
        <is>
          <t>FD03-F2-W8</t>
        </is>
      </c>
      <c r="B164" s="6" t="inlineStr">
        <is>
          <t>FD03</t>
        </is>
      </c>
      <c r="C164" s="6" t="inlineStr">
        <is>
          <t>FP/SIMD Decode</t>
        </is>
      </c>
      <c r="D164" s="6" t="inlineStr">
        <is>
          <t>FP/SIMD opClass与具体操作选择输出。</t>
        </is>
      </c>
      <c r="E164" s="6" t="inlineStr">
        <is>
          <t>换值</t>
        </is>
      </c>
      <c r="F164" s="6" t="inlineStr">
        <is>
          <t>在操作数布局兼容的集合内做合法替换，如FADD↔FSUB、ADD↔SUB、MIN↔MAX。从当前有效且生命周期合法的候选集合中选择另一个合法值；禁止空闲、越界或编码非法候选。保存source/target和候选集大小。仅当替换值被消费时计activated。触发：存在同布局合法候选opClass。</t>
        </is>
      </c>
      <c r="G164" s="6" t="inlineStr">
        <is>
          <t>F2</t>
        </is>
      </c>
      <c r="H164" s="6" t="inlineStr">
        <is>
          <t>平均每100,000个 eligible events 注入1次，间隔加入±50%抖动</t>
        </is>
      </c>
      <c r="I164" s="6" t="inlineStr">
        <is>
          <t>W8 FP-ScalarProbe</t>
        </is>
      </c>
      <c r="J164" s="6" t="inlineStr">
        <is>
          <t>FP-ScalarProbe（自设定向负载）
执行定义与oracle：FP32/FP64 add/mul/div/sqrt/FMA、NaN/Inf/±0/subnormal、四种舍入、FP exception；位级结果与 FPSR/FPCR oracle</t>
        </is>
      </c>
      <c r="K164" s="6" t="inlineStr">
        <is>
          <t>存在同布局合法候选opClass</t>
        </is>
      </c>
      <c r="L164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64" s="6" t="inlineStr">
        <is>
          <t>合法算子替换通常无异常且易SDC；除零/sqrt等跨延迟替换还会改变完成时序</t>
        </is>
      </c>
      <c r="N164" s="6" t="inlineStr">
        <is>
          <t>研究合法但错误语义</t>
        </is>
      </c>
      <c r="O164" s="6" t="inlineStr">
        <is>
          <t>本方案结构化模型</t>
        </is>
      </c>
      <c r="P164" s="9" t="n"/>
      <c r="Q164" s="9" t="n"/>
      <c r="R164" s="9" t="n"/>
      <c r="S164" s="9" t="n"/>
      <c r="T164" s="9" t="n"/>
      <c r="U164" s="9" t="n"/>
      <c r="V164" s="9" t="n"/>
      <c r="W164" s="9" t="n"/>
      <c r="X164" s="12">
        <f>IF(OR(R164="",R164-AP164&lt;=0),"",AB164/(R164-AP164))</f>
        <v/>
      </c>
      <c r="Y164" s="12">
        <f>IFERROR(R164/AR164,0)</f>
        <v/>
      </c>
      <c r="Z164" s="9" t="inlineStr">
        <is>
          <t>待执行</t>
        </is>
      </c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12">
        <f>IF(OR(R164="",R164-AP164&lt;=0),"",AO164/(R164-AP164))</f>
        <v/>
      </c>
      <c r="AM164" s="11">
        <f>IF(R164="","",SUM(AC164:AF164)-(R164-AP164))</f>
        <v/>
      </c>
      <c r="AN164" s="11">
        <f>IF(R164="","",SUM(S164:W164)+AP164-R164)</f>
        <v/>
      </c>
      <c r="AO164" s="9" t="n"/>
      <c r="AP164" s="9" t="n"/>
      <c r="AQ164" s="27" t="inlineStr">
        <is>
          <t>FD03-a FADD↔FSUB；FD03-b ADD↔SUB；FD03-c MIN↔MAX；FD03-d 跨延迟opClass合法换值</t>
        </is>
      </c>
      <c r="AR164" s="39" t="n"/>
      <c r="AS164" s="39">
        <f>IFERROR(AR164/Q164,0)</f>
        <v/>
      </c>
      <c r="AT164" s="39" t="n">
        <v>30</v>
      </c>
      <c r="AU164" s="39" t="n">
        <v>385</v>
      </c>
      <c r="AV164" s="39" t="inlineStr">
        <is>
          <t>常规</t>
        </is>
      </c>
      <c r="AW164" s="39" t="inlineStr">
        <is>
          <t>累计至少385，不机械扩展到2401</t>
        </is>
      </c>
    </row>
    <row r="165" ht="118.0500030517578" customHeight="1">
      <c r="A165" s="6" t="inlineStr">
        <is>
          <t>FD03-F2-W10</t>
        </is>
      </c>
      <c r="B165" s="6" t="inlineStr">
        <is>
          <t>FD03</t>
        </is>
      </c>
      <c r="C165" s="6" t="inlineStr">
        <is>
          <t>FP/SIMD Decode</t>
        </is>
      </c>
      <c r="D165" s="6" t="inlineStr">
        <is>
          <t>FP/SIMD opClass与具体操作选择输出。</t>
        </is>
      </c>
      <c r="E165" s="6" t="inlineStr">
        <is>
          <t>换值</t>
        </is>
      </c>
      <c r="F165" s="6" t="inlineStr">
        <is>
          <t>在操作数布局兼容的集合内做合法替换，如FADD↔FSUB、ADD↔SUB、MIN↔MAX。从当前有效且生命周期合法的候选集合中选择另一个合法值；禁止空闲、越界或编码非法候选。保存source/target和候选集大小。仅当替换值被消费时计activated。触发：存在同布局合法候选opClass。</t>
        </is>
      </c>
      <c r="G165" s="6" t="inlineStr">
        <is>
          <t>F2</t>
        </is>
      </c>
      <c r="H165" s="6" t="inlineStr">
        <is>
          <t>平均每100,000个 eligible events 注入1次，间隔加入±50%抖动</t>
        </is>
      </c>
      <c r="I165" s="6" t="inlineStr">
        <is>
          <t>W10 PolyBench</t>
        </is>
      </c>
      <c r="J165" s="6" t="inlineStr">
        <is>
          <t>PolyBench（公开通用）
执行定义与oracle：gemm、2mm、lu、cholesky、jacobi-2d；固定规模；输出数组逐元素/容差双校验</t>
        </is>
      </c>
      <c r="K165" s="6" t="inlineStr">
        <is>
          <t>存在同布局合法候选opClass</t>
        </is>
      </c>
      <c r="L165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65" s="6" t="inlineStr">
        <is>
          <t>合法算子替换通常无异常且易SDC；除零/sqrt等跨延迟替换还会改变完成时序</t>
        </is>
      </c>
      <c r="N165" s="6" t="inlineStr">
        <is>
          <t>研究合法但错误语义</t>
        </is>
      </c>
      <c r="O165" s="6" t="inlineStr">
        <is>
          <t>本方案结构化模型</t>
        </is>
      </c>
      <c r="P165" s="9" t="n"/>
      <c r="Q165" s="9" t="n"/>
      <c r="R165" s="9" t="n"/>
      <c r="S165" s="9" t="n"/>
      <c r="T165" s="9" t="n"/>
      <c r="U165" s="9" t="n"/>
      <c r="V165" s="9" t="n"/>
      <c r="W165" s="9" t="n"/>
      <c r="X165" s="12">
        <f>IF(OR(R165="",R165-AP165&lt;=0),"",AB165/(R165-AP165))</f>
        <v/>
      </c>
      <c r="Y165" s="12">
        <f>IFERROR(R165/AR165,0)</f>
        <v/>
      </c>
      <c r="Z165" s="9" t="inlineStr">
        <is>
          <t>待执行</t>
        </is>
      </c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12">
        <f>IF(OR(R165="",R165-AP165&lt;=0),"",AO165/(R165-AP165))</f>
        <v/>
      </c>
      <c r="AM165" s="11">
        <f>IF(R165="","",SUM(AC165:AF165)-(R165-AP165))</f>
        <v/>
      </c>
      <c r="AN165" s="11">
        <f>IF(R165="","",SUM(S165:W165)+AP165-R165)</f>
        <v/>
      </c>
      <c r="AO165" s="9" t="n"/>
      <c r="AP165" s="9" t="n"/>
      <c r="AQ165" s="27" t="inlineStr">
        <is>
          <t>FD03-a FADD↔FSUB；FD03-b ADD↔SUB；FD03-c MIN↔MAX；FD03-d 跨延迟opClass合法换值</t>
        </is>
      </c>
      <c r="AR165" s="39" t="n"/>
      <c r="AS165" s="39">
        <f>IFERROR(AR165/Q165,0)</f>
        <v/>
      </c>
      <c r="AT165" s="39" t="n">
        <v>30</v>
      </c>
      <c r="AU165" s="39" t="n">
        <v>385</v>
      </c>
      <c r="AV165" s="39" t="inlineStr">
        <is>
          <t>常规</t>
        </is>
      </c>
      <c r="AW165" s="39" t="inlineStr">
        <is>
          <t>累计至少385，不机械扩展到2401</t>
        </is>
      </c>
    </row>
    <row r="166" ht="118.0500030517578" customHeight="1">
      <c r="A166" s="6" t="inlineStr">
        <is>
          <t>FD03-F6-W8</t>
        </is>
      </c>
      <c r="B166" s="6" t="inlineStr">
        <is>
          <t>FD03</t>
        </is>
      </c>
      <c r="C166" s="6" t="inlineStr">
        <is>
          <t>FP/SIMD Decode</t>
        </is>
      </c>
      <c r="D166" s="6" t="inlineStr">
        <is>
          <t>FP/SIMD opClass与具体操作选择输出。</t>
        </is>
      </c>
      <c r="E166" s="6" t="inlineStr">
        <is>
          <t>换值</t>
        </is>
      </c>
      <c r="F166" s="6" t="inlineStr">
        <is>
          <t>在操作数布局兼容的集合内做合法替换，如FADD↔FSUB、ADD↔SUB、MIN↔MAX。从当前有效且生命周期合法的候选集合中选择另一个合法值；禁止空闲、越界或编码非法候选。保存source/target和候选集大小。仅当替换值被消费时计activated。触发：存在同布局合法候选opClass。</t>
        </is>
      </c>
      <c r="G166" s="6" t="inlineStr">
        <is>
          <t>F6</t>
        </is>
      </c>
      <c r="H166" s="6" t="inlineStr">
        <is>
          <t>首次出现指定稀有事件时注入1次，保证结构化模型被激活</t>
        </is>
      </c>
      <c r="I166" s="6" t="inlineStr">
        <is>
          <t>W8 FP-ScalarProbe</t>
        </is>
      </c>
      <c r="J166" s="6" t="inlineStr">
        <is>
          <t>FP-ScalarProbe（自设定向负载）
执行定义与oracle：FP32/FP64 add/mul/div/sqrt/FMA、NaN/Inf/±0/subnormal、四种舍入、FP exception；位级结果与 FPSR/FPCR oracle</t>
        </is>
      </c>
      <c r="K166" s="6" t="inlineStr">
        <is>
          <t>存在同布局合法候选opClass</t>
        </is>
      </c>
      <c r="L166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66" s="6" t="inlineStr">
        <is>
          <t>合法算子替换通常无异常且易SDC；除零/sqrt等跨延迟替换还会改变完成时序</t>
        </is>
      </c>
      <c r="N166" s="6" t="inlineStr">
        <is>
          <t>研究合法但错误语义</t>
        </is>
      </c>
      <c r="O166" s="6" t="inlineStr">
        <is>
          <t>本方案结构化模型</t>
        </is>
      </c>
      <c r="P166" s="9" t="n"/>
      <c r="Q166" s="9" t="n"/>
      <c r="R166" s="9" t="n"/>
      <c r="S166" s="9" t="n"/>
      <c r="T166" s="9" t="n"/>
      <c r="U166" s="9" t="n"/>
      <c r="V166" s="9" t="n"/>
      <c r="W166" s="9" t="n"/>
      <c r="X166" s="12">
        <f>IF(OR(R166="",R166-AP166&lt;=0),"",AB166/(R166-AP166))</f>
        <v/>
      </c>
      <c r="Y166" s="12">
        <f>IFERROR(R166/AR166,0)</f>
        <v/>
      </c>
      <c r="Z166" s="9" t="inlineStr">
        <is>
          <t>待执行</t>
        </is>
      </c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12">
        <f>IF(OR(R166="",R166-AP166&lt;=0),"",AO166/(R166-AP166))</f>
        <v/>
      </c>
      <c r="AM166" s="11">
        <f>IF(R166="","",SUM(AC166:AF166)-(R166-AP166))</f>
        <v/>
      </c>
      <c r="AN166" s="11">
        <f>IF(R166="","",SUM(S166:W166)+AP166-R166)</f>
        <v/>
      </c>
      <c r="AO166" s="9" t="n"/>
      <c r="AP166" s="9" t="n"/>
      <c r="AQ166" s="27" t="inlineStr">
        <is>
          <t>FD03-a FADD↔FSUB；FD03-b ADD↔SUB；FD03-c MIN↔MAX；FD03-d 跨延迟opClass合法换值</t>
        </is>
      </c>
      <c r="AR166" s="39" t="n"/>
      <c r="AS166" s="39">
        <f>IFERROR(AR166/Q166,0)</f>
        <v/>
      </c>
      <c r="AT166" s="39" t="n">
        <v>30</v>
      </c>
      <c r="AU166" s="39" t="n">
        <v>385</v>
      </c>
      <c r="AV166" s="39" t="inlineStr">
        <is>
          <t>常规</t>
        </is>
      </c>
      <c r="AW166" s="39" t="inlineStr">
        <is>
          <t>累计至少385，不机械扩展到2401</t>
        </is>
      </c>
    </row>
    <row r="167" ht="118.0500030517578" customHeight="1">
      <c r="A167" s="6" t="inlineStr">
        <is>
          <t>FD03-F6-W10</t>
        </is>
      </c>
      <c r="B167" s="6" t="inlineStr">
        <is>
          <t>FD03</t>
        </is>
      </c>
      <c r="C167" s="6" t="inlineStr">
        <is>
          <t>FP/SIMD Decode</t>
        </is>
      </c>
      <c r="D167" s="6" t="inlineStr">
        <is>
          <t>FP/SIMD opClass与具体操作选择输出。</t>
        </is>
      </c>
      <c r="E167" s="6" t="inlineStr">
        <is>
          <t>换值</t>
        </is>
      </c>
      <c r="F167" s="6" t="inlineStr">
        <is>
          <t>在操作数布局兼容的集合内做合法替换，如FADD↔FSUB、ADD↔SUB、MIN↔MAX。从当前有效且生命周期合法的候选集合中选择另一个合法值；禁止空闲、越界或编码非法候选。保存source/target和候选集大小。仅当替换值被消费时计activated。触发：存在同布局合法候选opClass。</t>
        </is>
      </c>
      <c r="G167" s="6" t="inlineStr">
        <is>
          <t>F6</t>
        </is>
      </c>
      <c r="H167" s="6" t="inlineStr">
        <is>
          <t>首次出现指定稀有事件时注入1次，保证结构化模型被激活</t>
        </is>
      </c>
      <c r="I167" s="6" t="inlineStr">
        <is>
          <t>W10 PolyBench</t>
        </is>
      </c>
      <c r="J167" s="6" t="inlineStr">
        <is>
          <t>PolyBench（公开通用）
执行定义与oracle：gemm、2mm、lu、cholesky、jacobi-2d；固定规模；输出数组逐元素/容差双校验</t>
        </is>
      </c>
      <c r="K167" s="6" t="inlineStr">
        <is>
          <t>存在同布局合法候选opClass</t>
        </is>
      </c>
      <c r="L167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67" s="6" t="inlineStr">
        <is>
          <t>合法算子替换通常无异常且易SDC；除零/sqrt等跨延迟替换还会改变完成时序</t>
        </is>
      </c>
      <c r="N167" s="6" t="inlineStr">
        <is>
          <t>研究合法但错误语义</t>
        </is>
      </c>
      <c r="O167" s="6" t="inlineStr">
        <is>
          <t>本方案结构化模型</t>
        </is>
      </c>
      <c r="P167" s="9" t="n"/>
      <c r="Q167" s="9" t="n"/>
      <c r="R167" s="9" t="n"/>
      <c r="S167" s="9" t="n"/>
      <c r="T167" s="9" t="n"/>
      <c r="U167" s="9" t="n"/>
      <c r="V167" s="9" t="n"/>
      <c r="W167" s="9" t="n"/>
      <c r="X167" s="12">
        <f>IF(OR(R167="",R167-AP167&lt;=0),"",AB167/(R167-AP167))</f>
        <v/>
      </c>
      <c r="Y167" s="12">
        <f>IFERROR(R167/AR167,0)</f>
        <v/>
      </c>
      <c r="Z167" s="9" t="inlineStr">
        <is>
          <t>待执行</t>
        </is>
      </c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12">
        <f>IF(OR(R167="",R167-AP167&lt;=0),"",AO167/(R167-AP167))</f>
        <v/>
      </c>
      <c r="AM167" s="11">
        <f>IF(R167="","",SUM(AC167:AF167)-(R167-AP167))</f>
        <v/>
      </c>
      <c r="AN167" s="11">
        <f>IF(R167="","",SUM(S167:W167)+AP167-R167)</f>
        <v/>
      </c>
      <c r="AO167" s="9" t="n"/>
      <c r="AP167" s="9" t="n"/>
      <c r="AQ167" s="27" t="inlineStr">
        <is>
          <t>FD03-a FADD↔FSUB；FD03-b ADD↔SUB；FD03-c MIN↔MAX；FD03-d 跨延迟opClass合法换值</t>
        </is>
      </c>
      <c r="AR167" s="39" t="n"/>
      <c r="AS167" s="39">
        <f>IFERROR(AR167/Q167,0)</f>
        <v/>
      </c>
      <c r="AT167" s="39" t="n">
        <v>30</v>
      </c>
      <c r="AU167" s="39" t="n">
        <v>385</v>
      </c>
      <c r="AV167" s="39" t="inlineStr">
        <is>
          <t>常规</t>
        </is>
      </c>
      <c r="AW167" s="39" t="inlineStr">
        <is>
          <t>累计至少385，不机械扩展到2401</t>
        </is>
      </c>
    </row>
    <row r="168" ht="118.0500030517578" customHeight="1">
      <c r="A168" s="6" t="inlineStr">
        <is>
          <t>FD04-F0-W9</t>
        </is>
      </c>
      <c r="B168" s="6" t="inlineStr">
        <is>
          <t>FD04</t>
        </is>
      </c>
      <c r="C168" s="6" t="inlineStr">
        <is>
          <t>FP/SIMD Decode</t>
        </is>
      </c>
      <c r="D168" s="6" t="inlineStr">
        <is>
          <t>Vn/Vm/Vd寄存器字段和lane index字段。</t>
        </is>
      </c>
      <c r="E168" s="6" t="inlineStr">
        <is>
          <t>换值</t>
        </is>
      </c>
      <c r="F168" s="6" t="inlineStr">
        <is>
          <t>源/目的V寄存器换成另一活跃寄存器，或lane index换成另一合法lane；分别统计。从当前有效且生命周期合法的候选集合中选择另一个合法值；禁止空闲、越界或编码非法候选。保存source/target和候选集大小。仅当替换值被消费时计activated。触发：候选寄存器/lane集合非空。</t>
        </is>
      </c>
      <c r="G168" s="6" t="inlineStr">
        <is>
          <t>F0</t>
        </is>
      </c>
      <c r="H168" s="6" t="inlineStr">
        <is>
          <t>每次运行只注入1次；warm-up后在 eligible event 中均匀抽样</t>
        </is>
      </c>
      <c r="I168" s="6" t="inlineStr">
        <is>
          <t>W9 NEON-LaneProbe</t>
        </is>
      </c>
      <c r="J168" s="6" t="inlineStr">
        <is>
          <t>NEON-LaneProbe（自设定向负载）
执行定义与oracle：8/16/32/64-bit lane、整数/浮点 AdvSIMD、lane extract/insert、widen/narrow、permute、reduce；逐 lane 比对</t>
        </is>
      </c>
      <c r="K168" s="6" t="inlineStr">
        <is>
          <t>候选寄存器/lane集合非空</t>
        </is>
      </c>
      <c r="L168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68" s="6" t="inlineStr">
        <is>
          <t>合法寄存器/lane错选预期高SDC，且错误可能只影响一个lane而逃过粗粒度校验</t>
        </is>
      </c>
      <c r="N168" s="6" t="inlineStr">
        <is>
          <t>适配SIMD寄存器和lane选择</t>
        </is>
      </c>
      <c r="O168" s="6" t="inlineStr">
        <is>
          <t>本方案结构化模型</t>
        </is>
      </c>
      <c r="P168" s="9" t="n"/>
      <c r="Q168" s="9" t="n"/>
      <c r="R168" s="9" t="n"/>
      <c r="S168" s="9" t="n"/>
      <c r="T168" s="9" t="n"/>
      <c r="U168" s="9" t="n"/>
      <c r="V168" s="9" t="n"/>
      <c r="W168" s="9" t="n"/>
      <c r="X168" s="12">
        <f>IF(OR(R168="",R168-AP168&lt;=0),"",AB168/(R168-AP168))</f>
        <v/>
      </c>
      <c r="Y168" s="12">
        <f>IFERROR(R168/AR168,0)</f>
        <v/>
      </c>
      <c r="Z168" s="9" t="inlineStr">
        <is>
          <t>待执行</t>
        </is>
      </c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12">
        <f>IF(OR(R168="",R168-AP168&lt;=0),"",AO168/(R168-AP168))</f>
        <v/>
      </c>
      <c r="AM168" s="11">
        <f>IF(R168="","",SUM(AC168:AF168)-(R168-AP168))</f>
        <v/>
      </c>
      <c r="AN168" s="11">
        <f>IF(R168="","",SUM(S168:W168)+AP168-R168)</f>
        <v/>
      </c>
      <c r="AO168" s="9" t="n"/>
      <c r="AP168" s="9" t="n"/>
      <c r="AQ168" s="27" t="inlineStr">
        <is>
          <t>FD04-a 源V寄存器替换；FD04-b 目的V寄存器替换；FD04-c lane index替换；子模型分开统计</t>
        </is>
      </c>
      <c r="AR168" s="39" t="n"/>
      <c r="AS168" s="39">
        <f>IFERROR(AR168/Q168,0)</f>
        <v/>
      </c>
      <c r="AT168" s="39" t="n">
        <v>30</v>
      </c>
      <c r="AU168" s="39" t="n">
        <v>385</v>
      </c>
      <c r="AV168" s="39" t="inlineStr">
        <is>
          <t>常规</t>
        </is>
      </c>
      <c r="AW168" s="39" t="inlineStr">
        <is>
          <t>累计至少385，不机械扩展到2401</t>
        </is>
      </c>
    </row>
    <row r="169" ht="118.0500030517578" customHeight="1">
      <c r="A169" s="6" t="inlineStr">
        <is>
          <t>FD04-F0-W11</t>
        </is>
      </c>
      <c r="B169" s="6" t="inlineStr">
        <is>
          <t>FD04</t>
        </is>
      </c>
      <c r="C169" s="6" t="inlineStr">
        <is>
          <t>FP/SIMD Decode</t>
        </is>
      </c>
      <c r="D169" s="6" t="inlineStr">
        <is>
          <t>Vn/Vm/Vd寄存器字段和lane index字段。</t>
        </is>
      </c>
      <c r="E169" s="6" t="inlineStr">
        <is>
          <t>换值</t>
        </is>
      </c>
      <c r="F169" s="6" t="inlineStr">
        <is>
          <t>源/目的V寄存器换成另一活跃寄存器，或lane index换成另一合法lane；分别统计。从当前有效且生命周期合法的候选集合中选择另一个合法值；禁止空闲、越界或编码非法候选。保存source/target和候选集大小。仅当替换值被消费时计activated。触发：候选寄存器/lane集合非空。</t>
        </is>
      </c>
      <c r="G169" s="6" t="inlineStr">
        <is>
          <t>F0</t>
        </is>
      </c>
      <c r="H169" s="6" t="inlineStr">
        <is>
          <t>每次运行只注入1次；warm-up后在 eligible event 中均匀抽样</t>
        </is>
      </c>
      <c r="I169" s="6" t="inlineStr">
        <is>
          <t>W11 libjpeg-turbo-NEON</t>
        </is>
      </c>
      <c r="J169" s="6" t="inlineStr">
        <is>
          <t>libjpeg-turbo-NEON（真实应用）
执行定义与oracle：固定图像做压缩/解压，启用 AArch64 NEON；逐像素、文件 hash 和格式合法性检查</t>
        </is>
      </c>
      <c r="K169" s="6" t="inlineStr">
        <is>
          <t>候选寄存器/lane集合非空</t>
        </is>
      </c>
      <c r="L169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69" s="6" t="inlineStr">
        <is>
          <t>合法寄存器/lane错选预期高SDC，且错误可能只影响一个lane而逃过粗粒度校验</t>
        </is>
      </c>
      <c r="N169" s="6" t="inlineStr">
        <is>
          <t>适配SIMD寄存器和lane选择</t>
        </is>
      </c>
      <c r="O169" s="6" t="inlineStr">
        <is>
          <t>本方案结构化模型</t>
        </is>
      </c>
      <c r="P169" s="9" t="n"/>
      <c r="Q169" s="9" t="n"/>
      <c r="R169" s="9" t="n"/>
      <c r="S169" s="9" t="n"/>
      <c r="T169" s="9" t="n"/>
      <c r="U169" s="9" t="n"/>
      <c r="V169" s="9" t="n"/>
      <c r="W169" s="9" t="n"/>
      <c r="X169" s="12">
        <f>IF(OR(R169="",R169-AP169&lt;=0),"",AB169/(R169-AP169))</f>
        <v/>
      </c>
      <c r="Y169" s="12">
        <f>IFERROR(R169/AR169,0)</f>
        <v/>
      </c>
      <c r="Z169" s="9" t="inlineStr">
        <is>
          <t>待执行</t>
        </is>
      </c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12">
        <f>IF(OR(R169="",R169-AP169&lt;=0),"",AO169/(R169-AP169))</f>
        <v/>
      </c>
      <c r="AM169" s="11">
        <f>IF(R169="","",SUM(AC169:AF169)-(R169-AP169))</f>
        <v/>
      </c>
      <c r="AN169" s="11">
        <f>IF(R169="","",SUM(S169:W169)+AP169-R169)</f>
        <v/>
      </c>
      <c r="AO169" s="9" t="n"/>
      <c r="AP169" s="9" t="n"/>
      <c r="AQ169" s="27" t="inlineStr">
        <is>
          <t>FD04-a 源V寄存器替换；FD04-b 目的V寄存器替换；FD04-c lane index替换；子模型分开统计</t>
        </is>
      </c>
      <c r="AR169" s="39" t="n"/>
      <c r="AS169" s="39">
        <f>IFERROR(AR169/Q169,0)</f>
        <v/>
      </c>
      <c r="AT169" s="39" t="n">
        <v>30</v>
      </c>
      <c r="AU169" s="39" t="n">
        <v>385</v>
      </c>
      <c r="AV169" s="39" t="inlineStr">
        <is>
          <t>常规</t>
        </is>
      </c>
      <c r="AW169" s="39" t="inlineStr">
        <is>
          <t>累计至少385，不机械扩展到2401</t>
        </is>
      </c>
    </row>
    <row r="170" ht="118.0500030517578" customHeight="1">
      <c r="A170" s="6" t="inlineStr">
        <is>
          <t>FD04-F2-W9</t>
        </is>
      </c>
      <c r="B170" s="6" t="inlineStr">
        <is>
          <t>FD04</t>
        </is>
      </c>
      <c r="C170" s="6" t="inlineStr">
        <is>
          <t>FP/SIMD Decode</t>
        </is>
      </c>
      <c r="D170" s="6" t="inlineStr">
        <is>
          <t>Vn/Vm/Vd寄存器字段和lane index字段。</t>
        </is>
      </c>
      <c r="E170" s="6" t="inlineStr">
        <is>
          <t>换值</t>
        </is>
      </c>
      <c r="F170" s="6" t="inlineStr">
        <is>
          <t>源/目的V寄存器换成另一活跃寄存器，或lane index换成另一合法lane；分别统计。从当前有效且生命周期合法的候选集合中选择另一个合法值；禁止空闲、越界或编码非法候选。保存source/target和候选集大小。仅当替换值被消费时计activated。触发：候选寄存器/lane集合非空。</t>
        </is>
      </c>
      <c r="G170" s="6" t="inlineStr">
        <is>
          <t>F2</t>
        </is>
      </c>
      <c r="H170" s="6" t="inlineStr">
        <is>
          <t>平均每100,000个 eligible events 注入1次，间隔加入±50%抖动</t>
        </is>
      </c>
      <c r="I170" s="6" t="inlineStr">
        <is>
          <t>W9 NEON-LaneProbe</t>
        </is>
      </c>
      <c r="J170" s="6" t="inlineStr">
        <is>
          <t>NEON-LaneProbe（自设定向负载）
执行定义与oracle：8/16/32/64-bit lane、整数/浮点 AdvSIMD、lane extract/insert、widen/narrow、permute、reduce；逐 lane 比对</t>
        </is>
      </c>
      <c r="K170" s="6" t="inlineStr">
        <is>
          <t>候选寄存器/lane集合非空</t>
        </is>
      </c>
      <c r="L170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70" s="6" t="inlineStr">
        <is>
          <t>合法寄存器/lane错选预期高SDC，且错误可能只影响一个lane而逃过粗粒度校验</t>
        </is>
      </c>
      <c r="N170" s="6" t="inlineStr">
        <is>
          <t>适配SIMD寄存器和lane选择</t>
        </is>
      </c>
      <c r="O170" s="6" t="inlineStr">
        <is>
          <t>本方案结构化模型</t>
        </is>
      </c>
      <c r="P170" s="9" t="n"/>
      <c r="Q170" s="9" t="n"/>
      <c r="R170" s="9" t="n"/>
      <c r="S170" s="9" t="n"/>
      <c r="T170" s="9" t="n"/>
      <c r="U170" s="9" t="n"/>
      <c r="V170" s="9" t="n"/>
      <c r="W170" s="9" t="n"/>
      <c r="X170" s="12">
        <f>IF(OR(R170="",R170-AP170&lt;=0),"",AB170/(R170-AP170))</f>
        <v/>
      </c>
      <c r="Y170" s="12">
        <f>IFERROR(R170/AR170,0)</f>
        <v/>
      </c>
      <c r="Z170" s="9" t="inlineStr">
        <is>
          <t>待执行</t>
        </is>
      </c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12">
        <f>IF(OR(R170="",R170-AP170&lt;=0),"",AO170/(R170-AP170))</f>
        <v/>
      </c>
      <c r="AM170" s="11">
        <f>IF(R170="","",SUM(AC170:AF170)-(R170-AP170))</f>
        <v/>
      </c>
      <c r="AN170" s="11">
        <f>IF(R170="","",SUM(S170:W170)+AP170-R170)</f>
        <v/>
      </c>
      <c r="AO170" s="9" t="n"/>
      <c r="AP170" s="9" t="n"/>
      <c r="AQ170" s="27" t="inlineStr">
        <is>
          <t>FD04-a 源V寄存器替换；FD04-b 目的V寄存器替换；FD04-c lane index替换；子模型分开统计</t>
        </is>
      </c>
      <c r="AR170" s="39" t="n"/>
      <c r="AS170" s="39">
        <f>IFERROR(AR170/Q170,0)</f>
        <v/>
      </c>
      <c r="AT170" s="39" t="n">
        <v>30</v>
      </c>
      <c r="AU170" s="39" t="n">
        <v>385</v>
      </c>
      <c r="AV170" s="39" t="inlineStr">
        <is>
          <t>常规</t>
        </is>
      </c>
      <c r="AW170" s="39" t="inlineStr">
        <is>
          <t>累计至少385，不机械扩展到2401</t>
        </is>
      </c>
    </row>
    <row r="171" ht="118.0500030517578" customHeight="1">
      <c r="A171" s="6" t="inlineStr">
        <is>
          <t>FD04-F2-W11</t>
        </is>
      </c>
      <c r="B171" s="6" t="inlineStr">
        <is>
          <t>FD04</t>
        </is>
      </c>
      <c r="C171" s="6" t="inlineStr">
        <is>
          <t>FP/SIMD Decode</t>
        </is>
      </c>
      <c r="D171" s="6" t="inlineStr">
        <is>
          <t>Vn/Vm/Vd寄存器字段和lane index字段。</t>
        </is>
      </c>
      <c r="E171" s="6" t="inlineStr">
        <is>
          <t>换值</t>
        </is>
      </c>
      <c r="F171" s="6" t="inlineStr">
        <is>
          <t>源/目的V寄存器换成另一活跃寄存器，或lane index换成另一合法lane；分别统计。从当前有效且生命周期合法的候选集合中选择另一个合法值；禁止空闲、越界或编码非法候选。保存source/target和候选集大小。仅当替换值被消费时计activated。触发：候选寄存器/lane集合非空。</t>
        </is>
      </c>
      <c r="G171" s="6" t="inlineStr">
        <is>
          <t>F2</t>
        </is>
      </c>
      <c r="H171" s="6" t="inlineStr">
        <is>
          <t>平均每100,000个 eligible events 注入1次，间隔加入±50%抖动</t>
        </is>
      </c>
      <c r="I171" s="6" t="inlineStr">
        <is>
          <t>W11 libjpeg-turbo-NEON</t>
        </is>
      </c>
      <c r="J171" s="6" t="inlineStr">
        <is>
          <t>libjpeg-turbo-NEON（真实应用）
执行定义与oracle：固定图像做压缩/解压，启用 AArch64 NEON；逐像素、文件 hash 和格式合法性检查</t>
        </is>
      </c>
      <c r="K171" s="6" t="inlineStr">
        <is>
          <t>候选寄存器/lane集合非空</t>
        </is>
      </c>
      <c r="L171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71" s="6" t="inlineStr">
        <is>
          <t>合法寄存器/lane错选预期高SDC，且错误可能只影响一个lane而逃过粗粒度校验</t>
        </is>
      </c>
      <c r="N171" s="6" t="inlineStr">
        <is>
          <t>适配SIMD寄存器和lane选择</t>
        </is>
      </c>
      <c r="O171" s="6" t="inlineStr">
        <is>
          <t>本方案结构化模型</t>
        </is>
      </c>
      <c r="P171" s="9" t="n"/>
      <c r="Q171" s="9" t="n"/>
      <c r="R171" s="9" t="n"/>
      <c r="S171" s="9" t="n"/>
      <c r="T171" s="9" t="n"/>
      <c r="U171" s="9" t="n"/>
      <c r="V171" s="9" t="n"/>
      <c r="W171" s="9" t="n"/>
      <c r="X171" s="12">
        <f>IF(OR(R171="",R171-AP171&lt;=0),"",AB171/(R171-AP171))</f>
        <v/>
      </c>
      <c r="Y171" s="12">
        <f>IFERROR(R171/AR171,0)</f>
        <v/>
      </c>
      <c r="Z171" s="9" t="inlineStr">
        <is>
          <t>待执行</t>
        </is>
      </c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12">
        <f>IF(OR(R171="",R171-AP171&lt;=0),"",AO171/(R171-AP171))</f>
        <v/>
      </c>
      <c r="AM171" s="11">
        <f>IF(R171="","",SUM(AC171:AF171)-(R171-AP171))</f>
        <v/>
      </c>
      <c r="AN171" s="11">
        <f>IF(R171="","",SUM(S171:W171)+AP171-R171)</f>
        <v/>
      </c>
      <c r="AO171" s="9" t="n"/>
      <c r="AP171" s="9" t="n"/>
      <c r="AQ171" s="27" t="inlineStr">
        <is>
          <t>FD04-a 源V寄存器替换；FD04-b 目的V寄存器替换；FD04-c lane index替换；子模型分开统计</t>
        </is>
      </c>
      <c r="AR171" s="39" t="n"/>
      <c r="AS171" s="39">
        <f>IFERROR(AR171/Q171,0)</f>
        <v/>
      </c>
      <c r="AT171" s="39" t="n">
        <v>30</v>
      </c>
      <c r="AU171" s="39" t="n">
        <v>385</v>
      </c>
      <c r="AV171" s="39" t="inlineStr">
        <is>
          <t>常规</t>
        </is>
      </c>
      <c r="AW171" s="39" t="inlineStr">
        <is>
          <t>累计至少385，不机械扩展到2401</t>
        </is>
      </c>
    </row>
    <row r="172" ht="118.0500030517578" customHeight="1">
      <c r="A172" s="6" t="inlineStr">
        <is>
          <t>FD04-F6-W9</t>
        </is>
      </c>
      <c r="B172" s="6" t="inlineStr">
        <is>
          <t>FD04</t>
        </is>
      </c>
      <c r="C172" s="6" t="inlineStr">
        <is>
          <t>FP/SIMD Decode</t>
        </is>
      </c>
      <c r="D172" s="6" t="inlineStr">
        <is>
          <t>Vn/Vm/Vd寄存器字段和lane index字段。</t>
        </is>
      </c>
      <c r="E172" s="6" t="inlineStr">
        <is>
          <t>换值</t>
        </is>
      </c>
      <c r="F172" s="6" t="inlineStr">
        <is>
          <t>源/目的V寄存器换成另一活跃寄存器，或lane index换成另一合法lane；分别统计。从当前有效且生命周期合法的候选集合中选择另一个合法值；禁止空闲、越界或编码非法候选。保存source/target和候选集大小。仅当替换值被消费时计activated。触发：候选寄存器/lane集合非空。</t>
        </is>
      </c>
      <c r="G172" s="6" t="inlineStr">
        <is>
          <t>F6</t>
        </is>
      </c>
      <c r="H172" s="6" t="inlineStr">
        <is>
          <t>首次出现指定稀有事件时注入1次，保证结构化模型被激活</t>
        </is>
      </c>
      <c r="I172" s="6" t="inlineStr">
        <is>
          <t>W9 NEON-LaneProbe</t>
        </is>
      </c>
      <c r="J172" s="6" t="inlineStr">
        <is>
          <t>NEON-LaneProbe（自设定向负载）
执行定义与oracle：8/16/32/64-bit lane、整数/浮点 AdvSIMD、lane extract/insert、widen/narrow、permute、reduce；逐 lane 比对</t>
        </is>
      </c>
      <c r="K172" s="6" t="inlineStr">
        <is>
          <t>候选寄存器/lane集合非空</t>
        </is>
      </c>
      <c r="L172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72" s="6" t="inlineStr">
        <is>
          <t>合法寄存器/lane错选预期高SDC，且错误可能只影响一个lane而逃过粗粒度校验</t>
        </is>
      </c>
      <c r="N172" s="6" t="inlineStr">
        <is>
          <t>适配SIMD寄存器和lane选择</t>
        </is>
      </c>
      <c r="O172" s="6" t="inlineStr">
        <is>
          <t>本方案结构化模型</t>
        </is>
      </c>
      <c r="P172" s="9" t="n"/>
      <c r="Q172" s="9" t="n"/>
      <c r="R172" s="9" t="n"/>
      <c r="S172" s="9" t="n"/>
      <c r="T172" s="9" t="n"/>
      <c r="U172" s="9" t="n"/>
      <c r="V172" s="9" t="n"/>
      <c r="W172" s="9" t="n"/>
      <c r="X172" s="12">
        <f>IF(OR(R172="",R172-AP172&lt;=0),"",AB172/(R172-AP172))</f>
        <v/>
      </c>
      <c r="Y172" s="12">
        <f>IFERROR(R172/AR172,0)</f>
        <v/>
      </c>
      <c r="Z172" s="9" t="inlineStr">
        <is>
          <t>待执行</t>
        </is>
      </c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12">
        <f>IF(OR(R172="",R172-AP172&lt;=0),"",AO172/(R172-AP172))</f>
        <v/>
      </c>
      <c r="AM172" s="11">
        <f>IF(R172="","",SUM(AC172:AF172)-(R172-AP172))</f>
        <v/>
      </c>
      <c r="AN172" s="11">
        <f>IF(R172="","",SUM(S172:W172)+AP172-R172)</f>
        <v/>
      </c>
      <c r="AO172" s="9" t="n"/>
      <c r="AP172" s="9" t="n"/>
      <c r="AQ172" s="27" t="inlineStr">
        <is>
          <t>FD04-a 源V寄存器替换；FD04-b 目的V寄存器替换；FD04-c lane index替换；子模型分开统计</t>
        </is>
      </c>
      <c r="AR172" s="39" t="n"/>
      <c r="AS172" s="39">
        <f>IFERROR(AR172/Q172,0)</f>
        <v/>
      </c>
      <c r="AT172" s="39" t="n">
        <v>30</v>
      </c>
      <c r="AU172" s="39" t="n">
        <v>385</v>
      </c>
      <c r="AV172" s="39" t="inlineStr">
        <is>
          <t>常规</t>
        </is>
      </c>
      <c r="AW172" s="39" t="inlineStr">
        <is>
          <t>累计至少385，不机械扩展到2401</t>
        </is>
      </c>
    </row>
    <row r="173" ht="118.0500030517578" customHeight="1">
      <c r="A173" s="6" t="inlineStr">
        <is>
          <t>FD04-F6-W11</t>
        </is>
      </c>
      <c r="B173" s="6" t="inlineStr">
        <is>
          <t>FD04</t>
        </is>
      </c>
      <c r="C173" s="6" t="inlineStr">
        <is>
          <t>FP/SIMD Decode</t>
        </is>
      </c>
      <c r="D173" s="6" t="inlineStr">
        <is>
          <t>Vn/Vm/Vd寄存器字段和lane index字段。</t>
        </is>
      </c>
      <c r="E173" s="6" t="inlineStr">
        <is>
          <t>换值</t>
        </is>
      </c>
      <c r="F173" s="6" t="inlineStr">
        <is>
          <t>源/目的V寄存器换成另一活跃寄存器，或lane index换成另一合法lane；分别统计。从当前有效且生命周期合法的候选集合中选择另一个合法值；禁止空闲、越界或编码非法候选。保存source/target和候选集大小。仅当替换值被消费时计activated。触发：候选寄存器/lane集合非空。</t>
        </is>
      </c>
      <c r="G173" s="6" t="inlineStr">
        <is>
          <t>F6</t>
        </is>
      </c>
      <c r="H173" s="6" t="inlineStr">
        <is>
          <t>首次出现指定稀有事件时注入1次，保证结构化模型被激活</t>
        </is>
      </c>
      <c r="I173" s="6" t="inlineStr">
        <is>
          <t>W11 libjpeg-turbo-NEON</t>
        </is>
      </c>
      <c r="J173" s="6" t="inlineStr">
        <is>
          <t>libjpeg-turbo-NEON（真实应用）
执行定义与oracle：固定图像做压缩/解压，启用 AArch64 NEON；逐像素、文件 hash 和格式合法性检查</t>
        </is>
      </c>
      <c r="K173" s="6" t="inlineStr">
        <is>
          <t>候选寄存器/lane集合非空</t>
        </is>
      </c>
      <c r="L173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73" s="6" t="inlineStr">
        <is>
          <t>合法寄存器/lane错选预期高SDC，且错误可能只影响一个lane而逃过粗粒度校验</t>
        </is>
      </c>
      <c r="N173" s="6" t="inlineStr">
        <is>
          <t>适配SIMD寄存器和lane选择</t>
        </is>
      </c>
      <c r="O173" s="6" t="inlineStr">
        <is>
          <t>本方案结构化模型</t>
        </is>
      </c>
      <c r="P173" s="9" t="n"/>
      <c r="Q173" s="9" t="n"/>
      <c r="R173" s="9" t="n"/>
      <c r="S173" s="9" t="n"/>
      <c r="T173" s="9" t="n"/>
      <c r="U173" s="9" t="n"/>
      <c r="V173" s="9" t="n"/>
      <c r="W173" s="9" t="n"/>
      <c r="X173" s="12">
        <f>IF(OR(R173="",R173-AP173&lt;=0),"",AB173/(R173-AP173))</f>
        <v/>
      </c>
      <c r="Y173" s="12">
        <f>IFERROR(R173/AR173,0)</f>
        <v/>
      </c>
      <c r="Z173" s="9" t="inlineStr">
        <is>
          <t>待执行</t>
        </is>
      </c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12">
        <f>IF(OR(R173="",R173-AP173&lt;=0),"",AO173/(R173-AP173))</f>
        <v/>
      </c>
      <c r="AM173" s="11">
        <f>IF(R173="","",SUM(AC173:AF173)-(R173-AP173))</f>
        <v/>
      </c>
      <c r="AN173" s="11">
        <f>IF(R173="","",SUM(S173:W173)+AP173-R173)</f>
        <v/>
      </c>
      <c r="AO173" s="9" t="n"/>
      <c r="AP173" s="9" t="n"/>
      <c r="AQ173" s="27" t="inlineStr">
        <is>
          <t>FD04-a 源V寄存器替换；FD04-b 目的V寄存器替换；FD04-c lane index替换；子模型分开统计</t>
        </is>
      </c>
      <c r="AR173" s="39" t="n"/>
      <c r="AS173" s="39">
        <f>IFERROR(AR173/Q173,0)</f>
        <v/>
      </c>
      <c r="AT173" s="39" t="n">
        <v>30</v>
      </c>
      <c r="AU173" s="39" t="n">
        <v>385</v>
      </c>
      <c r="AV173" s="39" t="inlineStr">
        <is>
          <t>常规</t>
        </is>
      </c>
      <c r="AW173" s="39" t="inlineStr">
        <is>
          <t>累计至少385，不机械扩展到2401</t>
        </is>
      </c>
    </row>
    <row r="174" ht="118.0500030517578" customHeight="1">
      <c r="A174" s="6" t="inlineStr">
        <is>
          <t>FD05-F0-W9</t>
        </is>
      </c>
      <c r="B174" s="6" t="inlineStr">
        <is>
          <t>FD05</t>
        </is>
      </c>
      <c r="C174" s="6" t="inlineStr">
        <is>
          <t>FP/SIMD Decode</t>
        </is>
      </c>
      <c r="D174" s="6" t="inlineStr">
        <is>
          <t>scalar/vector模式、element width(8/16/32/64)和lane count控制。</t>
        </is>
      </c>
      <c r="E174" s="6" t="inlineStr">
        <is>
          <t>状态</t>
        </is>
      </c>
      <c r="F174" s="6" t="inlineStr">
        <is>
          <t>把模式或元素宽度替换为另一合法组合，保持原始128-bit操作数。清零、伪造、提前置位和延后清除分成独立子模型，每次运行只改变一种状态转移；记录前后状态机轨迹和关联动态指令。仅当错误状态参与仲裁/转移时计activated。触发：指令存在至少两种合法布局解释。</t>
        </is>
      </c>
      <c r="G174" s="6" t="inlineStr">
        <is>
          <t>F0</t>
        </is>
      </c>
      <c r="H174" s="6" t="inlineStr">
        <is>
          <t>每次运行只注入1次；warm-up后在 eligible event 中均匀抽样</t>
        </is>
      </c>
      <c r="I174" s="6" t="inlineStr">
        <is>
          <t>W9 NEON-LaneProbe</t>
        </is>
      </c>
      <c r="J174" s="6" t="inlineStr">
        <is>
          <t>NEON-LaneProbe（自设定向负载）
执行定义与oracle：8/16/32/64-bit lane、整数/浮点 AdvSIMD、lane extract/insert、widen/narrow、permute、reduce；逐 lane 比对</t>
        </is>
      </c>
      <c r="K174" s="6" t="inlineStr">
        <is>
          <t>指令存在至少两种合法布局解释</t>
        </is>
      </c>
      <c r="L174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74" s="6" t="inlineStr">
        <is>
          <t>会把相同bit向量按不同lane解释，预期产生结构化多lane SDC；不兼容组合易illegal</t>
        </is>
      </c>
      <c r="N174" s="6" t="inlineStr">
        <is>
          <t>SIMD专属高价值结构化故障</t>
        </is>
      </c>
      <c r="O174" s="6" t="inlineStr">
        <is>
          <t>本方案结构化模型</t>
        </is>
      </c>
      <c r="P174" s="9" t="n"/>
      <c r="Q174" s="9" t="n"/>
      <c r="R174" s="9" t="n"/>
      <c r="S174" s="9" t="n"/>
      <c r="T174" s="9" t="n"/>
      <c r="U174" s="9" t="n"/>
      <c r="V174" s="9" t="n"/>
      <c r="W174" s="9" t="n"/>
      <c r="X174" s="12">
        <f>IF(OR(R174="",R174-AP174&lt;=0),"",AB174/(R174-AP174))</f>
        <v/>
      </c>
      <c r="Y174" s="12">
        <f>IFERROR(R174/AR174,0)</f>
        <v/>
      </c>
      <c r="Z174" s="9" t="inlineStr">
        <is>
          <t>待执行</t>
        </is>
      </c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12">
        <f>IF(OR(R174="",R174-AP174&lt;=0),"",AO174/(R174-AP174))</f>
        <v/>
      </c>
      <c r="AM174" s="11">
        <f>IF(R174="","",SUM(AC174:AF174)-(R174-AP174))</f>
        <v/>
      </c>
      <c r="AN174" s="11">
        <f>IF(R174="","",SUM(S174:W174)+AP174-R174)</f>
        <v/>
      </c>
      <c r="AO174" s="9" t="n"/>
      <c r="AP174" s="9" t="n"/>
      <c r="AQ174" s="27" t="inlineStr">
        <is>
          <t>FD05-a scalar↔vector模式；FD05-b element width 8/16/32/64换值；FD05-c lane count换值</t>
        </is>
      </c>
      <c r="AR174" s="39" t="n"/>
      <c r="AS174" s="39">
        <f>IFERROR(AR174/Q174,0)</f>
        <v/>
      </c>
      <c r="AT174" s="39" t="n">
        <v>30</v>
      </c>
      <c r="AU174" s="39" t="n">
        <v>385</v>
      </c>
      <c r="AV174" s="39" t="inlineStr">
        <is>
          <t>常规</t>
        </is>
      </c>
      <c r="AW174" s="39" t="inlineStr">
        <is>
          <t>累计至少385，不机械扩展到2401</t>
        </is>
      </c>
    </row>
    <row r="175" ht="118.0500030517578" customHeight="1">
      <c r="A175" s="6" t="inlineStr">
        <is>
          <t>FD05-F0-W10</t>
        </is>
      </c>
      <c r="B175" s="6" t="inlineStr">
        <is>
          <t>FD05</t>
        </is>
      </c>
      <c r="C175" s="6" t="inlineStr">
        <is>
          <t>FP/SIMD Decode</t>
        </is>
      </c>
      <c r="D175" s="6" t="inlineStr">
        <is>
          <t>scalar/vector模式、element width(8/16/32/64)和lane count控制。</t>
        </is>
      </c>
      <c r="E175" s="6" t="inlineStr">
        <is>
          <t>状态</t>
        </is>
      </c>
      <c r="F175" s="6" t="inlineStr">
        <is>
          <t>把模式或元素宽度替换为另一合法组合，保持原始128-bit操作数。清零、伪造、提前置位和延后清除分成独立子模型，每次运行只改变一种状态转移；记录前后状态机轨迹和关联动态指令。仅当错误状态参与仲裁/转移时计activated。触发：指令存在至少两种合法布局解释。</t>
        </is>
      </c>
      <c r="G175" s="6" t="inlineStr">
        <is>
          <t>F0</t>
        </is>
      </c>
      <c r="H175" s="6" t="inlineStr">
        <is>
          <t>每次运行只注入1次；warm-up后在 eligible event 中均匀抽样</t>
        </is>
      </c>
      <c r="I175" s="6" t="inlineStr">
        <is>
          <t>W10 PolyBench</t>
        </is>
      </c>
      <c r="J175" s="6" t="inlineStr">
        <is>
          <t>PolyBench（公开通用）
执行定义与oracle：gemm、2mm、lu、cholesky、jacobi-2d；固定规模；输出数组逐元素/容差双校验</t>
        </is>
      </c>
      <c r="K175" s="6" t="inlineStr">
        <is>
          <t>指令存在至少两种合法布局解释</t>
        </is>
      </c>
      <c r="L175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75" s="6" t="inlineStr">
        <is>
          <t>会把相同bit向量按不同lane解释，预期产生结构化多lane SDC；不兼容组合易illegal</t>
        </is>
      </c>
      <c r="N175" s="6" t="inlineStr">
        <is>
          <t>SIMD专属高价值结构化故障</t>
        </is>
      </c>
      <c r="O175" s="6" t="inlineStr">
        <is>
          <t>本方案结构化模型</t>
        </is>
      </c>
      <c r="P175" s="9" t="n"/>
      <c r="Q175" s="9" t="n"/>
      <c r="R175" s="9" t="n"/>
      <c r="S175" s="9" t="n"/>
      <c r="T175" s="9" t="n"/>
      <c r="U175" s="9" t="n"/>
      <c r="V175" s="9" t="n"/>
      <c r="W175" s="9" t="n"/>
      <c r="X175" s="12">
        <f>IF(OR(R175="",R175-AP175&lt;=0),"",AB175/(R175-AP175))</f>
        <v/>
      </c>
      <c r="Y175" s="12">
        <f>IFERROR(R175/AR175,0)</f>
        <v/>
      </c>
      <c r="Z175" s="9" t="inlineStr">
        <is>
          <t>待执行</t>
        </is>
      </c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12">
        <f>IF(OR(R175="",R175-AP175&lt;=0),"",AO175/(R175-AP175))</f>
        <v/>
      </c>
      <c r="AM175" s="11">
        <f>IF(R175="","",SUM(AC175:AF175)-(R175-AP175))</f>
        <v/>
      </c>
      <c r="AN175" s="11">
        <f>IF(R175="","",SUM(S175:W175)+AP175-R175)</f>
        <v/>
      </c>
      <c r="AO175" s="9" t="n"/>
      <c r="AP175" s="9" t="n"/>
      <c r="AQ175" s="27" t="inlineStr">
        <is>
          <t>FD05-a scalar↔vector模式；FD05-b element width 8/16/32/64换值；FD05-c lane count换值</t>
        </is>
      </c>
      <c r="AR175" s="39" t="n"/>
      <c r="AS175" s="39">
        <f>IFERROR(AR175/Q175,0)</f>
        <v/>
      </c>
      <c r="AT175" s="39" t="n">
        <v>30</v>
      </c>
      <c r="AU175" s="39" t="n">
        <v>385</v>
      </c>
      <c r="AV175" s="39" t="inlineStr">
        <is>
          <t>常规</t>
        </is>
      </c>
      <c r="AW175" s="39" t="inlineStr">
        <is>
          <t>累计至少385，不机械扩展到2401</t>
        </is>
      </c>
    </row>
    <row r="176" ht="118.0500030517578" customHeight="1">
      <c r="A176" s="6" t="inlineStr">
        <is>
          <t>FD05-F2-W9</t>
        </is>
      </c>
      <c r="B176" s="6" t="inlineStr">
        <is>
          <t>FD05</t>
        </is>
      </c>
      <c r="C176" s="6" t="inlineStr">
        <is>
          <t>FP/SIMD Decode</t>
        </is>
      </c>
      <c r="D176" s="6" t="inlineStr">
        <is>
          <t>scalar/vector模式、element width(8/16/32/64)和lane count控制。</t>
        </is>
      </c>
      <c r="E176" s="6" t="inlineStr">
        <is>
          <t>状态</t>
        </is>
      </c>
      <c r="F176" s="6" t="inlineStr">
        <is>
          <t>把模式或元素宽度替换为另一合法组合，保持原始128-bit操作数。清零、伪造、提前置位和延后清除分成独立子模型，每次运行只改变一种状态转移；记录前后状态机轨迹和关联动态指令。仅当错误状态参与仲裁/转移时计activated。触发：指令存在至少两种合法布局解释。</t>
        </is>
      </c>
      <c r="G176" s="6" t="inlineStr">
        <is>
          <t>F2</t>
        </is>
      </c>
      <c r="H176" s="6" t="inlineStr">
        <is>
          <t>平均每100,000个 eligible events 注入1次，间隔加入±50%抖动</t>
        </is>
      </c>
      <c r="I176" s="6" t="inlineStr">
        <is>
          <t>W9 NEON-LaneProbe</t>
        </is>
      </c>
      <c r="J176" s="6" t="inlineStr">
        <is>
          <t>NEON-LaneProbe（自设定向负载）
执行定义与oracle：8/16/32/64-bit lane、整数/浮点 AdvSIMD、lane extract/insert、widen/narrow、permute、reduce；逐 lane 比对</t>
        </is>
      </c>
      <c r="K176" s="6" t="inlineStr">
        <is>
          <t>指令存在至少两种合法布局解释</t>
        </is>
      </c>
      <c r="L176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76" s="6" t="inlineStr">
        <is>
          <t>会把相同bit向量按不同lane解释，预期产生结构化多lane SDC；不兼容组合易illegal</t>
        </is>
      </c>
      <c r="N176" s="6" t="inlineStr">
        <is>
          <t>SIMD专属高价值结构化故障</t>
        </is>
      </c>
      <c r="O176" s="6" t="inlineStr">
        <is>
          <t>本方案结构化模型</t>
        </is>
      </c>
      <c r="P176" s="9" t="n"/>
      <c r="Q176" s="9" t="n"/>
      <c r="R176" s="9" t="n"/>
      <c r="S176" s="9" t="n"/>
      <c r="T176" s="9" t="n"/>
      <c r="U176" s="9" t="n"/>
      <c r="V176" s="9" t="n"/>
      <c r="W176" s="9" t="n"/>
      <c r="X176" s="12">
        <f>IF(OR(R176="",R176-AP176&lt;=0),"",AB176/(R176-AP176))</f>
        <v/>
      </c>
      <c r="Y176" s="12">
        <f>IFERROR(R176/AR176,0)</f>
        <v/>
      </c>
      <c r="Z176" s="9" t="inlineStr">
        <is>
          <t>待执行</t>
        </is>
      </c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12">
        <f>IF(OR(R176="",R176-AP176&lt;=0),"",AO176/(R176-AP176))</f>
        <v/>
      </c>
      <c r="AM176" s="11">
        <f>IF(R176="","",SUM(AC176:AF176)-(R176-AP176))</f>
        <v/>
      </c>
      <c r="AN176" s="11">
        <f>IF(R176="","",SUM(S176:W176)+AP176-R176)</f>
        <v/>
      </c>
      <c r="AO176" s="9" t="n"/>
      <c r="AP176" s="9" t="n"/>
      <c r="AQ176" s="27" t="inlineStr">
        <is>
          <t>FD05-a scalar↔vector模式；FD05-b element width 8/16/32/64换值；FD05-c lane count换值</t>
        </is>
      </c>
      <c r="AR176" s="39" t="n"/>
      <c r="AS176" s="39">
        <f>IFERROR(AR176/Q176,0)</f>
        <v/>
      </c>
      <c r="AT176" s="39" t="n">
        <v>30</v>
      </c>
      <c r="AU176" s="39" t="n">
        <v>385</v>
      </c>
      <c r="AV176" s="39" t="inlineStr">
        <is>
          <t>常规</t>
        </is>
      </c>
      <c r="AW176" s="39" t="inlineStr">
        <is>
          <t>累计至少385，不机械扩展到2401</t>
        </is>
      </c>
    </row>
    <row r="177" ht="118.0500030517578" customHeight="1">
      <c r="A177" s="6" t="inlineStr">
        <is>
          <t>FD05-F2-W10</t>
        </is>
      </c>
      <c r="B177" s="6" t="inlineStr">
        <is>
          <t>FD05</t>
        </is>
      </c>
      <c r="C177" s="6" t="inlineStr">
        <is>
          <t>FP/SIMD Decode</t>
        </is>
      </c>
      <c r="D177" s="6" t="inlineStr">
        <is>
          <t>scalar/vector模式、element width(8/16/32/64)和lane count控制。</t>
        </is>
      </c>
      <c r="E177" s="6" t="inlineStr">
        <is>
          <t>状态</t>
        </is>
      </c>
      <c r="F177" s="6" t="inlineStr">
        <is>
          <t>把模式或元素宽度替换为另一合法组合，保持原始128-bit操作数。清零、伪造、提前置位和延后清除分成独立子模型，每次运行只改变一种状态转移；记录前后状态机轨迹和关联动态指令。仅当错误状态参与仲裁/转移时计activated。触发：指令存在至少两种合法布局解释。</t>
        </is>
      </c>
      <c r="G177" s="6" t="inlineStr">
        <is>
          <t>F2</t>
        </is>
      </c>
      <c r="H177" s="6" t="inlineStr">
        <is>
          <t>平均每100,000个 eligible events 注入1次，间隔加入±50%抖动</t>
        </is>
      </c>
      <c r="I177" s="6" t="inlineStr">
        <is>
          <t>W10 PolyBench</t>
        </is>
      </c>
      <c r="J177" s="6" t="inlineStr">
        <is>
          <t>PolyBench（公开通用）
执行定义与oracle：gemm、2mm、lu、cholesky、jacobi-2d；固定规模；输出数组逐元素/容差双校验</t>
        </is>
      </c>
      <c r="K177" s="6" t="inlineStr">
        <is>
          <t>指令存在至少两种合法布局解释</t>
        </is>
      </c>
      <c r="L177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77" s="6" t="inlineStr">
        <is>
          <t>会把相同bit向量按不同lane解释，预期产生结构化多lane SDC；不兼容组合易illegal</t>
        </is>
      </c>
      <c r="N177" s="6" t="inlineStr">
        <is>
          <t>SIMD专属高价值结构化故障</t>
        </is>
      </c>
      <c r="O177" s="6" t="inlineStr">
        <is>
          <t>本方案结构化模型</t>
        </is>
      </c>
      <c r="P177" s="9" t="n"/>
      <c r="Q177" s="9" t="n"/>
      <c r="R177" s="9" t="n"/>
      <c r="S177" s="9" t="n"/>
      <c r="T177" s="9" t="n"/>
      <c r="U177" s="9" t="n"/>
      <c r="V177" s="9" t="n"/>
      <c r="W177" s="9" t="n"/>
      <c r="X177" s="12">
        <f>IF(OR(R177="",R177-AP177&lt;=0),"",AB177/(R177-AP177))</f>
        <v/>
      </c>
      <c r="Y177" s="12">
        <f>IFERROR(R177/AR177,0)</f>
        <v/>
      </c>
      <c r="Z177" s="9" t="inlineStr">
        <is>
          <t>待执行</t>
        </is>
      </c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12">
        <f>IF(OR(R177="",R177-AP177&lt;=0),"",AO177/(R177-AP177))</f>
        <v/>
      </c>
      <c r="AM177" s="11">
        <f>IF(R177="","",SUM(AC177:AF177)-(R177-AP177))</f>
        <v/>
      </c>
      <c r="AN177" s="11">
        <f>IF(R177="","",SUM(S177:W177)+AP177-R177)</f>
        <v/>
      </c>
      <c r="AO177" s="9" t="n"/>
      <c r="AP177" s="9" t="n"/>
      <c r="AQ177" s="27" t="inlineStr">
        <is>
          <t>FD05-a scalar↔vector模式；FD05-b element width 8/16/32/64换值；FD05-c lane count换值</t>
        </is>
      </c>
      <c r="AR177" s="39" t="n"/>
      <c r="AS177" s="39">
        <f>IFERROR(AR177/Q177,0)</f>
        <v/>
      </c>
      <c r="AT177" s="39" t="n">
        <v>30</v>
      </c>
      <c r="AU177" s="39" t="n">
        <v>385</v>
      </c>
      <c r="AV177" s="39" t="inlineStr">
        <is>
          <t>常规</t>
        </is>
      </c>
      <c r="AW177" s="39" t="inlineStr">
        <is>
          <t>累计至少385，不机械扩展到2401</t>
        </is>
      </c>
    </row>
    <row r="178" ht="118.0500030517578" customHeight="1">
      <c r="A178" s="6" t="inlineStr">
        <is>
          <t>FD05-F6-W9</t>
        </is>
      </c>
      <c r="B178" s="6" t="inlineStr">
        <is>
          <t>FD05</t>
        </is>
      </c>
      <c r="C178" s="6" t="inlineStr">
        <is>
          <t>FP/SIMD Decode</t>
        </is>
      </c>
      <c r="D178" s="6" t="inlineStr">
        <is>
          <t>scalar/vector模式、element width(8/16/32/64)和lane count控制。</t>
        </is>
      </c>
      <c r="E178" s="6" t="inlineStr">
        <is>
          <t>状态</t>
        </is>
      </c>
      <c r="F178" s="6" t="inlineStr">
        <is>
          <t>把模式或元素宽度替换为另一合法组合，保持原始128-bit操作数。清零、伪造、提前置位和延后清除分成独立子模型，每次运行只改变一种状态转移；记录前后状态机轨迹和关联动态指令。仅当错误状态参与仲裁/转移时计activated。触发：指令存在至少两种合法布局解释。</t>
        </is>
      </c>
      <c r="G178" s="6" t="inlineStr">
        <is>
          <t>F6</t>
        </is>
      </c>
      <c r="H178" s="6" t="inlineStr">
        <is>
          <t>首次出现指定稀有事件时注入1次，保证结构化模型被激活</t>
        </is>
      </c>
      <c r="I178" s="6" t="inlineStr">
        <is>
          <t>W9 NEON-LaneProbe</t>
        </is>
      </c>
      <c r="J178" s="6" t="inlineStr">
        <is>
          <t>NEON-LaneProbe（自设定向负载）
执行定义与oracle：8/16/32/64-bit lane、整数/浮点 AdvSIMD、lane extract/insert、widen/narrow、permute、reduce；逐 lane 比对</t>
        </is>
      </c>
      <c r="K178" s="6" t="inlineStr">
        <is>
          <t>指令存在至少两种合法布局解释</t>
        </is>
      </c>
      <c r="L178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78" s="6" t="inlineStr">
        <is>
          <t>会把相同bit向量按不同lane解释，预期产生结构化多lane SDC；不兼容组合易illegal</t>
        </is>
      </c>
      <c r="N178" s="6" t="inlineStr">
        <is>
          <t>SIMD专属高价值结构化故障</t>
        </is>
      </c>
      <c r="O178" s="6" t="inlineStr">
        <is>
          <t>本方案结构化模型</t>
        </is>
      </c>
      <c r="P178" s="9" t="n"/>
      <c r="Q178" s="9" t="n"/>
      <c r="R178" s="9" t="n"/>
      <c r="S178" s="9" t="n"/>
      <c r="T178" s="9" t="n"/>
      <c r="U178" s="9" t="n"/>
      <c r="V178" s="9" t="n"/>
      <c r="W178" s="9" t="n"/>
      <c r="X178" s="12">
        <f>IF(OR(R178="",R178-AP178&lt;=0),"",AB178/(R178-AP178))</f>
        <v/>
      </c>
      <c r="Y178" s="12">
        <f>IFERROR(R178/AR178,0)</f>
        <v/>
      </c>
      <c r="Z178" s="9" t="inlineStr">
        <is>
          <t>待执行</t>
        </is>
      </c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12">
        <f>IF(OR(R178="",R178-AP178&lt;=0),"",AO178/(R178-AP178))</f>
        <v/>
      </c>
      <c r="AM178" s="11">
        <f>IF(R178="","",SUM(AC178:AF178)-(R178-AP178))</f>
        <v/>
      </c>
      <c r="AN178" s="11">
        <f>IF(R178="","",SUM(S178:W178)+AP178-R178)</f>
        <v/>
      </c>
      <c r="AO178" s="9" t="n"/>
      <c r="AP178" s="9" t="n"/>
      <c r="AQ178" s="27" t="inlineStr">
        <is>
          <t>FD05-a scalar↔vector模式；FD05-b element width 8/16/32/64换值；FD05-c lane count换值</t>
        </is>
      </c>
      <c r="AR178" s="39" t="n"/>
      <c r="AS178" s="39">
        <f>IFERROR(AR178/Q178,0)</f>
        <v/>
      </c>
      <c r="AT178" s="39" t="n">
        <v>30</v>
      </c>
      <c r="AU178" s="39" t="n">
        <v>2401</v>
      </c>
      <c r="AV178" s="39" t="inlineStr">
        <is>
          <t>预登记重点</t>
        </is>
      </c>
      <c r="AW178" s="39" t="inlineStr">
        <is>
          <t>累计2401（含pilot与前385），不得序贯停止</t>
        </is>
      </c>
    </row>
    <row r="179" ht="118.0500030517578" customHeight="1">
      <c r="A179" s="6" t="inlineStr">
        <is>
          <t>FD05-F6-W10</t>
        </is>
      </c>
      <c r="B179" s="6" t="inlineStr">
        <is>
          <t>FD05</t>
        </is>
      </c>
      <c r="C179" s="6" t="inlineStr">
        <is>
          <t>FP/SIMD Decode</t>
        </is>
      </c>
      <c r="D179" s="6" t="inlineStr">
        <is>
          <t>scalar/vector模式、element width(8/16/32/64)和lane count控制。</t>
        </is>
      </c>
      <c r="E179" s="6" t="inlineStr">
        <is>
          <t>状态</t>
        </is>
      </c>
      <c r="F179" s="6" t="inlineStr">
        <is>
          <t>把模式或元素宽度替换为另一合法组合，保持原始128-bit操作数。清零、伪造、提前置位和延后清除分成独立子模型，每次运行只改变一种状态转移；记录前后状态机轨迹和关联动态指令。仅当错误状态参与仲裁/转移时计activated。触发：指令存在至少两种合法布局解释。</t>
        </is>
      </c>
      <c r="G179" s="6" t="inlineStr">
        <is>
          <t>F6</t>
        </is>
      </c>
      <c r="H179" s="6" t="inlineStr">
        <is>
          <t>首次出现指定稀有事件时注入1次，保证结构化模型被激活</t>
        </is>
      </c>
      <c r="I179" s="6" t="inlineStr">
        <is>
          <t>W10 PolyBench</t>
        </is>
      </c>
      <c r="J179" s="6" t="inlineStr">
        <is>
          <t>PolyBench（公开通用）
执行定义与oracle：gemm、2mm、lu、cholesky、jacobi-2d；固定规模；输出数组逐元素/容差双校验</t>
        </is>
      </c>
      <c r="K179" s="6" t="inlineStr">
        <is>
          <t>指令存在至少两种合法布局解释</t>
        </is>
      </c>
      <c r="L179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79" s="6" t="inlineStr">
        <is>
          <t>会把相同bit向量按不同lane解释，预期产生结构化多lane SDC；不兼容组合易illegal</t>
        </is>
      </c>
      <c r="N179" s="6" t="inlineStr">
        <is>
          <t>SIMD专属高价值结构化故障</t>
        </is>
      </c>
      <c r="O179" s="6" t="inlineStr">
        <is>
          <t>本方案结构化模型</t>
        </is>
      </c>
      <c r="P179" s="9" t="n"/>
      <c r="Q179" s="9" t="n"/>
      <c r="R179" s="9" t="n"/>
      <c r="S179" s="9" t="n"/>
      <c r="T179" s="9" t="n"/>
      <c r="U179" s="9" t="n"/>
      <c r="V179" s="9" t="n"/>
      <c r="W179" s="9" t="n"/>
      <c r="X179" s="12">
        <f>IF(OR(R179="",R179-AP179&lt;=0),"",AB179/(R179-AP179))</f>
        <v/>
      </c>
      <c r="Y179" s="12">
        <f>IFERROR(R179/AR179,0)</f>
        <v/>
      </c>
      <c r="Z179" s="9" t="inlineStr">
        <is>
          <t>待执行</t>
        </is>
      </c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12">
        <f>IF(OR(R179="",R179-AP179&lt;=0),"",AO179/(R179-AP179))</f>
        <v/>
      </c>
      <c r="AM179" s="11">
        <f>IF(R179="","",SUM(AC179:AF179)-(R179-AP179))</f>
        <v/>
      </c>
      <c r="AN179" s="11">
        <f>IF(R179="","",SUM(S179:W179)+AP179-R179)</f>
        <v/>
      </c>
      <c r="AO179" s="9" t="n"/>
      <c r="AP179" s="9" t="n"/>
      <c r="AQ179" s="27" t="inlineStr">
        <is>
          <t>FD05-a scalar↔vector模式；FD05-b element width 8/16/32/64换值；FD05-c lane count换值</t>
        </is>
      </c>
      <c r="AR179" s="39" t="n"/>
      <c r="AS179" s="39">
        <f>IFERROR(AR179/Q179,0)</f>
        <v/>
      </c>
      <c r="AT179" s="39" t="n">
        <v>30</v>
      </c>
      <c r="AU179" s="39" t="n">
        <v>385</v>
      </c>
      <c r="AV179" s="39" t="inlineStr">
        <is>
          <t>常规</t>
        </is>
      </c>
      <c r="AW179" s="39" t="inlineStr">
        <is>
          <t>累计至少385，不机械扩展到2401</t>
        </is>
      </c>
    </row>
    <row r="180" ht="118.0500030517578" customHeight="1">
      <c r="A180" s="6" t="inlineStr">
        <is>
          <t>FD06-F0-W8</t>
        </is>
      </c>
      <c r="B180" s="6" t="inlineStr">
        <is>
          <t>FD06</t>
        </is>
      </c>
      <c r="C180" s="6" t="inlineStr">
        <is>
          <t>FP/SIMD Decode</t>
        </is>
      </c>
      <c r="D180" s="6" t="inlineStr">
        <is>
          <t>rounding mode、FPCR选择、flush-to-zero和exception enable相关控制。</t>
        </is>
      </c>
      <c r="E180" s="6" t="inlineStr">
        <is>
          <t>状态</t>
        </is>
      </c>
      <c r="F180" s="6" t="inlineStr">
        <is>
          <t>替换舍入模式、丢失FTZ/DN控制或错误选择FPCR快照；数据操作不变。清零、伪造、提前置位和延后清除分成独立子模型，每次运行只改变一种状态转移；记录前后状态机轨迹和关联动态指令。仅当错误状态参与仲裁/转移时计activated。触发：结果对FP控制敏感。</t>
        </is>
      </c>
      <c r="G180" s="6" t="inlineStr">
        <is>
          <t>F0</t>
        </is>
      </c>
      <c r="H180" s="6" t="inlineStr">
        <is>
          <t>每次运行只注入1次；warm-up后在 eligible event 中均匀抽样</t>
        </is>
      </c>
      <c r="I180" s="6" t="inlineStr">
        <is>
          <t>W8 FP-ScalarProbe</t>
        </is>
      </c>
      <c r="J180" s="6" t="inlineStr">
        <is>
          <t>FP-ScalarProbe（自设定向负载）
执行定义与oracle：FP32/FP64 add/mul/div/sqrt/FMA、NaN/Inf/±0/subnormal、四种舍入、FP exception；位级结果与 FPSR/FPCR oracle</t>
        </is>
      </c>
      <c r="K180" s="6" t="inlineStr">
        <is>
          <t>结果对FP控制敏感</t>
        </is>
      </c>
      <c r="L180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80" s="6" t="inlineStr">
        <is>
          <t>普通输入可能掩蔽；边界值会产生1 ulp、NaN传播或异常标志差异，易成为小幅SDC</t>
        </is>
      </c>
      <c r="N180" s="6" t="inlineStr">
        <is>
          <t>FP语义特有，通用整数负载无法激活</t>
        </is>
      </c>
      <c r="O180" s="6" t="inlineStr">
        <is>
          <t>本方案结构化模型</t>
        </is>
      </c>
      <c r="P180" s="9" t="n"/>
      <c r="Q180" s="9" t="n"/>
      <c r="R180" s="9" t="n"/>
      <c r="S180" s="9" t="n"/>
      <c r="T180" s="9" t="n"/>
      <c r="U180" s="9" t="n"/>
      <c r="V180" s="9" t="n"/>
      <c r="W180" s="9" t="n"/>
      <c r="X180" s="12">
        <f>IF(OR(R180="",R180-AP180&lt;=0),"",AB180/(R180-AP180))</f>
        <v/>
      </c>
      <c r="Y180" s="12">
        <f>IFERROR(R180/AR180,0)</f>
        <v/>
      </c>
      <c r="Z180" s="9" t="inlineStr">
        <is>
          <t>待执行</t>
        </is>
      </c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12">
        <f>IF(OR(R180="",R180-AP180&lt;=0),"",AO180/(R180-AP180))</f>
        <v/>
      </c>
      <c r="AM180" s="11">
        <f>IF(R180="","",SUM(AC180:AF180)-(R180-AP180))</f>
        <v/>
      </c>
      <c r="AN180" s="11">
        <f>IF(R180="","",SUM(S180:W180)+AP180-R180)</f>
        <v/>
      </c>
      <c r="AO180" s="9" t="n"/>
      <c r="AP180" s="9" t="n"/>
      <c r="AQ180" s="27" t="inlineStr">
        <is>
          <t>FD06-a rounding mode换值；FD06-b FPCR快照选择错误；FD06-c FTZ/DN控制丢失；FD06-d exception enable换值</t>
        </is>
      </c>
      <c r="AR180" s="39" t="n"/>
      <c r="AS180" s="39">
        <f>IFERROR(AR180/Q180,0)</f>
        <v/>
      </c>
      <c r="AT180" s="39" t="n">
        <v>30</v>
      </c>
      <c r="AU180" s="39" t="n">
        <v>385</v>
      </c>
      <c r="AV180" s="39" t="inlineStr">
        <is>
          <t>常规</t>
        </is>
      </c>
      <c r="AW180" s="39" t="inlineStr">
        <is>
          <t>累计至少385，不机械扩展到2401</t>
        </is>
      </c>
    </row>
    <row r="181" ht="118.0500030517578" customHeight="1">
      <c r="A181" s="6" t="inlineStr">
        <is>
          <t>FD06-F0-W13</t>
        </is>
      </c>
      <c r="B181" s="6" t="inlineStr">
        <is>
          <t>FD06</t>
        </is>
      </c>
      <c r="C181" s="6" t="inlineStr">
        <is>
          <t>FP/SIMD Decode</t>
        </is>
      </c>
      <c r="D181" s="6" t="inlineStr">
        <is>
          <t>rounding mode、FPCR选择、flush-to-zero和exception enable相关控制。</t>
        </is>
      </c>
      <c r="E181" s="6" t="inlineStr">
        <is>
          <t>状态</t>
        </is>
      </c>
      <c r="F181" s="6" t="inlineStr">
        <is>
          <t>替换舍入模式、丢失FTZ/DN控制或错误选择FPCR快照；数据操作不变。清零、伪造、提前置位和延后清除分成独立子模型，每次运行只改变一种状态转移；记录前后状态机轨迹和关联动态指令。仅当错误状态参与仲裁/转移时计activated。触发：结果对FP控制敏感。</t>
        </is>
      </c>
      <c r="G181" s="6" t="inlineStr">
        <is>
          <t>F0</t>
        </is>
      </c>
      <c r="H181" s="6" t="inlineStr">
        <is>
          <t>每次运行只注入1次；warm-up后在 eligible event 中均匀抽样</t>
        </is>
      </c>
      <c r="I181" s="6" t="inlineStr">
        <is>
          <t>W13 FP-ExceptionRecovery</t>
        </is>
      </c>
      <c r="J181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181" s="6" t="inlineStr">
        <is>
          <t>结果对FP控制敏感</t>
        </is>
      </c>
      <c r="L181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81" s="6" t="inlineStr">
        <is>
          <t>普通输入可能掩蔽；边界值会产生1 ulp、NaN传播或异常标志差异，易成为小幅SDC</t>
        </is>
      </c>
      <c r="N181" s="6" t="inlineStr">
        <is>
          <t>FP语义特有，通用整数负载无法激活</t>
        </is>
      </c>
      <c r="O181" s="6" t="inlineStr">
        <is>
          <t>本方案结构化模型</t>
        </is>
      </c>
      <c r="P181" s="9" t="n"/>
      <c r="Q181" s="9" t="n"/>
      <c r="R181" s="9" t="n"/>
      <c r="S181" s="9" t="n"/>
      <c r="T181" s="9" t="n"/>
      <c r="U181" s="9" t="n"/>
      <c r="V181" s="9" t="n"/>
      <c r="W181" s="9" t="n"/>
      <c r="X181" s="12">
        <f>IF(OR(R181="",R181-AP181&lt;=0),"",AB181/(R181-AP181))</f>
        <v/>
      </c>
      <c r="Y181" s="12">
        <f>IFERROR(R181/AR181,0)</f>
        <v/>
      </c>
      <c r="Z181" s="9" t="inlineStr">
        <is>
          <t>待执行</t>
        </is>
      </c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12">
        <f>IF(OR(R181="",R181-AP181&lt;=0),"",AO181/(R181-AP181))</f>
        <v/>
      </c>
      <c r="AM181" s="11">
        <f>IF(R181="","",SUM(AC181:AF181)-(R181-AP181))</f>
        <v/>
      </c>
      <c r="AN181" s="11">
        <f>IF(R181="","",SUM(S181:W181)+AP181-R181)</f>
        <v/>
      </c>
      <c r="AO181" s="9" t="n"/>
      <c r="AP181" s="9" t="n"/>
      <c r="AQ181" s="27" t="inlineStr">
        <is>
          <t>FD06-a rounding mode换值；FD06-b FPCR快照选择错误；FD06-c FTZ/DN控制丢失；FD06-d exception enable换值</t>
        </is>
      </c>
      <c r="AR181" s="39" t="n"/>
      <c r="AS181" s="39">
        <f>IFERROR(AR181/Q181,0)</f>
        <v/>
      </c>
      <c r="AT181" s="39" t="n">
        <v>30</v>
      </c>
      <c r="AU181" s="39" t="n">
        <v>385</v>
      </c>
      <c r="AV181" s="39" t="inlineStr">
        <is>
          <t>常规</t>
        </is>
      </c>
      <c r="AW181" s="39" t="inlineStr">
        <is>
          <t>累计至少385，不机械扩展到2401</t>
        </is>
      </c>
    </row>
    <row r="182" ht="118.0500030517578" customHeight="1">
      <c r="A182" s="6" t="inlineStr">
        <is>
          <t>FD06-F2-W8</t>
        </is>
      </c>
      <c r="B182" s="6" t="inlineStr">
        <is>
          <t>FD06</t>
        </is>
      </c>
      <c r="C182" s="6" t="inlineStr">
        <is>
          <t>FP/SIMD Decode</t>
        </is>
      </c>
      <c r="D182" s="6" t="inlineStr">
        <is>
          <t>rounding mode、FPCR选择、flush-to-zero和exception enable相关控制。</t>
        </is>
      </c>
      <c r="E182" s="6" t="inlineStr">
        <is>
          <t>状态</t>
        </is>
      </c>
      <c r="F182" s="6" t="inlineStr">
        <is>
          <t>替换舍入模式、丢失FTZ/DN控制或错误选择FPCR快照；数据操作不变。清零、伪造、提前置位和延后清除分成独立子模型，每次运行只改变一种状态转移；记录前后状态机轨迹和关联动态指令。仅当错误状态参与仲裁/转移时计activated。触发：结果对FP控制敏感。</t>
        </is>
      </c>
      <c r="G182" s="6" t="inlineStr">
        <is>
          <t>F2</t>
        </is>
      </c>
      <c r="H182" s="6" t="inlineStr">
        <is>
          <t>平均每100,000个 eligible events 注入1次，间隔加入±50%抖动</t>
        </is>
      </c>
      <c r="I182" s="6" t="inlineStr">
        <is>
          <t>W8 FP-ScalarProbe</t>
        </is>
      </c>
      <c r="J182" s="6" t="inlineStr">
        <is>
          <t>FP-ScalarProbe（自设定向负载）
执行定义与oracle：FP32/FP64 add/mul/div/sqrt/FMA、NaN/Inf/±0/subnormal、四种舍入、FP exception；位级结果与 FPSR/FPCR oracle</t>
        </is>
      </c>
      <c r="K182" s="6" t="inlineStr">
        <is>
          <t>结果对FP控制敏感</t>
        </is>
      </c>
      <c r="L182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82" s="6" t="inlineStr">
        <is>
          <t>普通输入可能掩蔽；边界值会产生1 ulp、NaN传播或异常标志差异，易成为小幅SDC</t>
        </is>
      </c>
      <c r="N182" s="6" t="inlineStr">
        <is>
          <t>FP语义特有，通用整数负载无法激活</t>
        </is>
      </c>
      <c r="O182" s="6" t="inlineStr">
        <is>
          <t>本方案结构化模型</t>
        </is>
      </c>
      <c r="P182" s="9" t="n"/>
      <c r="Q182" s="9" t="n"/>
      <c r="R182" s="9" t="n"/>
      <c r="S182" s="9" t="n"/>
      <c r="T182" s="9" t="n"/>
      <c r="U182" s="9" t="n"/>
      <c r="V182" s="9" t="n"/>
      <c r="W182" s="9" t="n"/>
      <c r="X182" s="12">
        <f>IF(OR(R182="",R182-AP182&lt;=0),"",AB182/(R182-AP182))</f>
        <v/>
      </c>
      <c r="Y182" s="12">
        <f>IFERROR(R182/AR182,0)</f>
        <v/>
      </c>
      <c r="Z182" s="9" t="inlineStr">
        <is>
          <t>待执行</t>
        </is>
      </c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12">
        <f>IF(OR(R182="",R182-AP182&lt;=0),"",AO182/(R182-AP182))</f>
        <v/>
      </c>
      <c r="AM182" s="11">
        <f>IF(R182="","",SUM(AC182:AF182)-(R182-AP182))</f>
        <v/>
      </c>
      <c r="AN182" s="11">
        <f>IF(R182="","",SUM(S182:W182)+AP182-R182)</f>
        <v/>
      </c>
      <c r="AO182" s="9" t="n"/>
      <c r="AP182" s="9" t="n"/>
      <c r="AQ182" s="27" t="inlineStr">
        <is>
          <t>FD06-a rounding mode换值；FD06-b FPCR快照选择错误；FD06-c FTZ/DN控制丢失；FD06-d exception enable换值</t>
        </is>
      </c>
      <c r="AR182" s="39" t="n"/>
      <c r="AS182" s="39">
        <f>IFERROR(AR182/Q182,0)</f>
        <v/>
      </c>
      <c r="AT182" s="39" t="n">
        <v>30</v>
      </c>
      <c r="AU182" s="39" t="n">
        <v>385</v>
      </c>
      <c r="AV182" s="39" t="inlineStr">
        <is>
          <t>常规</t>
        </is>
      </c>
      <c r="AW182" s="39" t="inlineStr">
        <is>
          <t>累计至少385，不机械扩展到2401</t>
        </is>
      </c>
    </row>
    <row r="183" ht="118.0500030517578" customHeight="1">
      <c r="A183" s="6" t="inlineStr">
        <is>
          <t>FD06-F2-W13</t>
        </is>
      </c>
      <c r="B183" s="6" t="inlineStr">
        <is>
          <t>FD06</t>
        </is>
      </c>
      <c r="C183" s="6" t="inlineStr">
        <is>
          <t>FP/SIMD Decode</t>
        </is>
      </c>
      <c r="D183" s="6" t="inlineStr">
        <is>
          <t>rounding mode、FPCR选择、flush-to-zero和exception enable相关控制。</t>
        </is>
      </c>
      <c r="E183" s="6" t="inlineStr">
        <is>
          <t>状态</t>
        </is>
      </c>
      <c r="F183" s="6" t="inlineStr">
        <is>
          <t>替换舍入模式、丢失FTZ/DN控制或错误选择FPCR快照；数据操作不变。清零、伪造、提前置位和延后清除分成独立子模型，每次运行只改变一种状态转移；记录前后状态机轨迹和关联动态指令。仅当错误状态参与仲裁/转移时计activated。触发：结果对FP控制敏感。</t>
        </is>
      </c>
      <c r="G183" s="6" t="inlineStr">
        <is>
          <t>F2</t>
        </is>
      </c>
      <c r="H183" s="6" t="inlineStr">
        <is>
          <t>平均每100,000个 eligible events 注入1次，间隔加入±50%抖动</t>
        </is>
      </c>
      <c r="I183" s="6" t="inlineStr">
        <is>
          <t>W13 FP-ExceptionRecovery</t>
        </is>
      </c>
      <c r="J183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183" s="6" t="inlineStr">
        <is>
          <t>结果对FP控制敏感</t>
        </is>
      </c>
      <c r="L183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83" s="6" t="inlineStr">
        <is>
          <t>普通输入可能掩蔽；边界值会产生1 ulp、NaN传播或异常标志差异，易成为小幅SDC</t>
        </is>
      </c>
      <c r="N183" s="6" t="inlineStr">
        <is>
          <t>FP语义特有，通用整数负载无法激活</t>
        </is>
      </c>
      <c r="O183" s="6" t="inlineStr">
        <is>
          <t>本方案结构化模型</t>
        </is>
      </c>
      <c r="P183" s="9" t="n"/>
      <c r="Q183" s="9" t="n"/>
      <c r="R183" s="9" t="n"/>
      <c r="S183" s="9" t="n"/>
      <c r="T183" s="9" t="n"/>
      <c r="U183" s="9" t="n"/>
      <c r="V183" s="9" t="n"/>
      <c r="W183" s="9" t="n"/>
      <c r="X183" s="12">
        <f>IF(OR(R183="",R183-AP183&lt;=0),"",AB183/(R183-AP183))</f>
        <v/>
      </c>
      <c r="Y183" s="12">
        <f>IFERROR(R183/AR183,0)</f>
        <v/>
      </c>
      <c r="Z183" s="9" t="inlineStr">
        <is>
          <t>待执行</t>
        </is>
      </c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12">
        <f>IF(OR(R183="",R183-AP183&lt;=0),"",AO183/(R183-AP183))</f>
        <v/>
      </c>
      <c r="AM183" s="11">
        <f>IF(R183="","",SUM(AC183:AF183)-(R183-AP183))</f>
        <v/>
      </c>
      <c r="AN183" s="11">
        <f>IF(R183="","",SUM(S183:W183)+AP183-R183)</f>
        <v/>
      </c>
      <c r="AO183" s="9" t="n"/>
      <c r="AP183" s="9" t="n"/>
      <c r="AQ183" s="27" t="inlineStr">
        <is>
          <t>FD06-a rounding mode换值；FD06-b FPCR快照选择错误；FD06-c FTZ/DN控制丢失；FD06-d exception enable换值</t>
        </is>
      </c>
      <c r="AR183" s="39" t="n"/>
      <c r="AS183" s="39">
        <f>IFERROR(AR183/Q183,0)</f>
        <v/>
      </c>
      <c r="AT183" s="39" t="n">
        <v>30</v>
      </c>
      <c r="AU183" s="39" t="n">
        <v>385</v>
      </c>
      <c r="AV183" s="39" t="inlineStr">
        <is>
          <t>常规</t>
        </is>
      </c>
      <c r="AW183" s="39" t="inlineStr">
        <is>
          <t>累计至少385，不机械扩展到2401</t>
        </is>
      </c>
    </row>
    <row r="184" ht="118.0500030517578" customHeight="1">
      <c r="A184" s="6" t="inlineStr">
        <is>
          <t>FD06-F6-W8</t>
        </is>
      </c>
      <c r="B184" s="6" t="inlineStr">
        <is>
          <t>FD06</t>
        </is>
      </c>
      <c r="C184" s="6" t="inlineStr">
        <is>
          <t>FP/SIMD Decode</t>
        </is>
      </c>
      <c r="D184" s="6" t="inlineStr">
        <is>
          <t>rounding mode、FPCR选择、flush-to-zero和exception enable相关控制。</t>
        </is>
      </c>
      <c r="E184" s="6" t="inlineStr">
        <is>
          <t>状态</t>
        </is>
      </c>
      <c r="F184" s="6" t="inlineStr">
        <is>
          <t>替换舍入模式、丢失FTZ/DN控制或错误选择FPCR快照；数据操作不变。清零、伪造、提前置位和延后清除分成独立子模型，每次运行只改变一种状态转移；记录前后状态机轨迹和关联动态指令。仅当错误状态参与仲裁/转移时计activated。触发：结果对FP控制敏感。</t>
        </is>
      </c>
      <c r="G184" s="6" t="inlineStr">
        <is>
          <t>F6</t>
        </is>
      </c>
      <c r="H184" s="6" t="inlineStr">
        <is>
          <t>首次出现指定稀有事件时注入1次，保证结构化模型被激活</t>
        </is>
      </c>
      <c r="I184" s="6" t="inlineStr">
        <is>
          <t>W8 FP-ScalarProbe</t>
        </is>
      </c>
      <c r="J184" s="6" t="inlineStr">
        <is>
          <t>FP-ScalarProbe（自设定向负载）
执行定义与oracle：FP32/FP64 add/mul/div/sqrt/FMA、NaN/Inf/±0/subnormal、四种舍入、FP exception；位级结果与 FPSR/FPCR oracle</t>
        </is>
      </c>
      <c r="K184" s="6" t="inlineStr">
        <is>
          <t>结果对FP控制敏感</t>
        </is>
      </c>
      <c r="L184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84" s="6" t="inlineStr">
        <is>
          <t>普通输入可能掩蔽；边界值会产生1 ulp、NaN传播或异常标志差异，易成为小幅SDC</t>
        </is>
      </c>
      <c r="N184" s="6" t="inlineStr">
        <is>
          <t>FP语义特有，通用整数负载无法激活</t>
        </is>
      </c>
      <c r="O184" s="6" t="inlineStr">
        <is>
          <t>本方案结构化模型</t>
        </is>
      </c>
      <c r="P184" s="9" t="n"/>
      <c r="Q184" s="9" t="n"/>
      <c r="R184" s="9" t="n"/>
      <c r="S184" s="9" t="n"/>
      <c r="T184" s="9" t="n"/>
      <c r="U184" s="9" t="n"/>
      <c r="V184" s="9" t="n"/>
      <c r="W184" s="9" t="n"/>
      <c r="X184" s="12">
        <f>IF(OR(R184="",R184-AP184&lt;=0),"",AB184/(R184-AP184))</f>
        <v/>
      </c>
      <c r="Y184" s="12">
        <f>IFERROR(R184/AR184,0)</f>
        <v/>
      </c>
      <c r="Z184" s="9" t="inlineStr">
        <is>
          <t>待执行</t>
        </is>
      </c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12">
        <f>IF(OR(R184="",R184-AP184&lt;=0),"",AO184/(R184-AP184))</f>
        <v/>
      </c>
      <c r="AM184" s="11">
        <f>IF(R184="","",SUM(AC184:AF184)-(R184-AP184))</f>
        <v/>
      </c>
      <c r="AN184" s="11">
        <f>IF(R184="","",SUM(S184:W184)+AP184-R184)</f>
        <v/>
      </c>
      <c r="AO184" s="9" t="n"/>
      <c r="AP184" s="9" t="n"/>
      <c r="AQ184" s="27" t="inlineStr">
        <is>
          <t>FD06-a rounding mode换值；FD06-b FPCR快照选择错误；FD06-c FTZ/DN控制丢失；FD06-d exception enable换值</t>
        </is>
      </c>
      <c r="AR184" s="39" t="n"/>
      <c r="AS184" s="39">
        <f>IFERROR(AR184/Q184,0)</f>
        <v/>
      </c>
      <c r="AT184" s="39" t="n">
        <v>30</v>
      </c>
      <c r="AU184" s="39" t="n">
        <v>385</v>
      </c>
      <c r="AV184" s="39" t="inlineStr">
        <is>
          <t>常规</t>
        </is>
      </c>
      <c r="AW184" s="39" t="inlineStr">
        <is>
          <t>累计至少385，不机械扩展到2401</t>
        </is>
      </c>
    </row>
    <row r="185" ht="118.0500030517578" customHeight="1">
      <c r="A185" s="6" t="inlineStr">
        <is>
          <t>FD06-F6-W13</t>
        </is>
      </c>
      <c r="B185" s="6" t="inlineStr">
        <is>
          <t>FD06</t>
        </is>
      </c>
      <c r="C185" s="6" t="inlineStr">
        <is>
          <t>FP/SIMD Decode</t>
        </is>
      </c>
      <c r="D185" s="6" t="inlineStr">
        <is>
          <t>rounding mode、FPCR选择、flush-to-zero和exception enable相关控制。</t>
        </is>
      </c>
      <c r="E185" s="6" t="inlineStr">
        <is>
          <t>状态</t>
        </is>
      </c>
      <c r="F185" s="6" t="inlineStr">
        <is>
          <t>替换舍入模式、丢失FTZ/DN控制或错误选择FPCR快照；数据操作不变。清零、伪造、提前置位和延后清除分成独立子模型，每次运行只改变一种状态转移；记录前后状态机轨迹和关联动态指令。仅当错误状态参与仲裁/转移时计activated。触发：结果对FP控制敏感。</t>
        </is>
      </c>
      <c r="G185" s="6" t="inlineStr">
        <is>
          <t>F6</t>
        </is>
      </c>
      <c r="H185" s="6" t="inlineStr">
        <is>
          <t>首次出现指定稀有事件时注入1次，保证结构化模型被激活</t>
        </is>
      </c>
      <c r="I185" s="6" t="inlineStr">
        <is>
          <t>W13 FP-ExceptionRecovery</t>
        </is>
      </c>
      <c r="J185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185" s="6" t="inlineStr">
        <is>
          <t>结果对FP控制敏感</t>
        </is>
      </c>
      <c r="L185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85" s="6" t="inlineStr">
        <is>
          <t>普通输入可能掩蔽；边界值会产生1 ulp、NaN传播或异常标志差异，易成为小幅SDC</t>
        </is>
      </c>
      <c r="N185" s="6" t="inlineStr">
        <is>
          <t>FP语义特有，通用整数负载无法激活</t>
        </is>
      </c>
      <c r="O185" s="6" t="inlineStr">
        <is>
          <t>本方案结构化模型</t>
        </is>
      </c>
      <c r="P185" s="9" t="n"/>
      <c r="Q185" s="9" t="n"/>
      <c r="R185" s="9" t="n"/>
      <c r="S185" s="9" t="n"/>
      <c r="T185" s="9" t="n"/>
      <c r="U185" s="9" t="n"/>
      <c r="V185" s="9" t="n"/>
      <c r="W185" s="9" t="n"/>
      <c r="X185" s="12">
        <f>IF(OR(R185="",R185-AP185&lt;=0),"",AB185/(R185-AP185))</f>
        <v/>
      </c>
      <c r="Y185" s="12">
        <f>IFERROR(R185/AR185,0)</f>
        <v/>
      </c>
      <c r="Z185" s="9" t="inlineStr">
        <is>
          <t>待执行</t>
        </is>
      </c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12">
        <f>IF(OR(R185="",R185-AP185&lt;=0),"",AO185/(R185-AP185))</f>
        <v/>
      </c>
      <c r="AM185" s="11">
        <f>IF(R185="","",SUM(AC185:AF185)-(R185-AP185))</f>
        <v/>
      </c>
      <c r="AN185" s="11">
        <f>IF(R185="","",SUM(S185:W185)+AP185-R185)</f>
        <v/>
      </c>
      <c r="AO185" s="9" t="n"/>
      <c r="AP185" s="9" t="n"/>
      <c r="AQ185" s="27" t="inlineStr">
        <is>
          <t>FD06-a rounding mode换值；FD06-b FPCR快照选择错误；FD06-c FTZ/DN控制丢失；FD06-d exception enable换值</t>
        </is>
      </c>
      <c r="AR185" s="39" t="n"/>
      <c r="AS185" s="39">
        <f>IFERROR(AR185/Q185,0)</f>
        <v/>
      </c>
      <c r="AT185" s="39" t="n">
        <v>30</v>
      </c>
      <c r="AU185" s="39" t="n">
        <v>385</v>
      </c>
      <c r="AV185" s="39" t="inlineStr">
        <is>
          <t>常规</t>
        </is>
      </c>
      <c r="AW185" s="39" t="inlineStr">
        <is>
          <t>累计至少385，不机械扩展到2401</t>
        </is>
      </c>
    </row>
    <row r="186" ht="118.0500030517578" customHeight="1">
      <c r="A186" s="6" t="inlineStr">
        <is>
          <t>FD07-F0-W9</t>
        </is>
      </c>
      <c r="B186" s="6" t="inlineStr">
        <is>
          <t>FD07</t>
        </is>
      </c>
      <c r="C186" s="6" t="inlineStr">
        <is>
          <t>FP/SIMD Decode</t>
        </is>
      </c>
      <c r="D186" s="6" t="inlineStr">
        <is>
          <t>向量立即数、shuffle/permute控制和lane掩码拼接。</t>
        </is>
      </c>
      <c r="E186" s="6" t="inlineStr">
        <is>
          <t>错位拼接</t>
        </is>
      </c>
      <c r="F186" s="6" t="inlineStr">
        <is>
          <t>交换立即数片段、循环移位lane选择、互换两个shuffle selector或读取上一条掩码；各子模型独立。仅当生成的控制被执行时计activated。</t>
        </is>
      </c>
      <c r="G186" s="6" t="inlineStr">
        <is>
          <t>F0</t>
        </is>
      </c>
      <c r="H186" s="6" t="inlineStr">
        <is>
          <t>每次运行只注入1次；warm-up后在 eligible event 中均匀抽样</t>
        </is>
      </c>
      <c r="I186" s="6" t="inlineStr">
        <is>
          <t>W9 NEON-LaneProbe</t>
        </is>
      </c>
      <c r="J186" s="6" t="inlineStr">
        <is>
          <t>NEON-LaneProbe（自设定向负载）
执行定义与oracle：8/16/32/64-bit lane、整数/浮点 AdvSIMD、lane extract/insert、widen/narrow、permute、reduce；逐 lane 比对</t>
        </is>
      </c>
      <c r="K186" s="6" t="inlineStr">
        <is>
          <t>命中immediate/permute/lane-select指令</t>
        </is>
      </c>
      <c r="L186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86" s="6" t="inlineStr">
        <is>
          <t>结果往往仍是完整合法向量但lane次序错误，预期SDC高且可呈稳定模式</t>
        </is>
      </c>
      <c r="N186" s="6" t="inlineStr">
        <is>
          <t>适配SIMD重排数据通路</t>
        </is>
      </c>
      <c r="O186" s="6" t="inlineStr">
        <is>
          <t>本方案结构化模型</t>
        </is>
      </c>
      <c r="P186" s="9" t="n"/>
      <c r="Q186" s="9" t="n"/>
      <c r="R186" s="9" t="n"/>
      <c r="S186" s="9" t="n"/>
      <c r="T186" s="9" t="n"/>
      <c r="U186" s="9" t="n"/>
      <c r="V186" s="9" t="n"/>
      <c r="W186" s="9" t="n"/>
      <c r="X186" s="12">
        <f>IF(OR(R186="",R186-AP186&lt;=0),"",AB186/(R186-AP186))</f>
        <v/>
      </c>
      <c r="Y186" s="12">
        <f>IFERROR(R186/AR186,0)</f>
        <v/>
      </c>
      <c r="Z186" s="9" t="inlineStr">
        <is>
          <t>待执行</t>
        </is>
      </c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12">
        <f>IF(OR(R186="",R186-AP186&lt;=0),"",AO186/(R186-AP186))</f>
        <v/>
      </c>
      <c r="AM186" s="11">
        <f>IF(R186="","",SUM(AC186:AF186)-(R186-AP186))</f>
        <v/>
      </c>
      <c r="AN186" s="11">
        <f>IF(R186="","",SUM(S186:W186)+AP186-R186)</f>
        <v/>
      </c>
      <c r="AO186" s="9" t="n"/>
      <c r="AP186" s="9" t="n"/>
      <c r="AQ186" s="27" t="inlineStr">
        <is>
          <t>FD07-a 向量立即数片段交换；FD07-b lane选择循环移位；FD07-c shuffle selector互换；FD07-d 读取上一条lane mask</t>
        </is>
      </c>
      <c r="AR186" s="39" t="n"/>
      <c r="AS186" s="39">
        <f>IFERROR(AR186/Q186,0)</f>
        <v/>
      </c>
      <c r="AT186" s="39" t="n">
        <v>30</v>
      </c>
      <c r="AU186" s="39" t="n">
        <v>385</v>
      </c>
      <c r="AV186" s="39" t="inlineStr">
        <is>
          <t>常规</t>
        </is>
      </c>
      <c r="AW186" s="39" t="inlineStr">
        <is>
          <t>累计至少385，不机械扩展到2401</t>
        </is>
      </c>
    </row>
    <row r="187" ht="118.0500030517578" customHeight="1">
      <c r="A187" s="6" t="inlineStr">
        <is>
          <t>FD07-F0-W11</t>
        </is>
      </c>
      <c r="B187" s="6" t="inlineStr">
        <is>
          <t>FD07</t>
        </is>
      </c>
      <c r="C187" s="6" t="inlineStr">
        <is>
          <t>FP/SIMD Decode</t>
        </is>
      </c>
      <c r="D187" s="6" t="inlineStr">
        <is>
          <t>向量立即数、shuffle/permute控制和lane掩码拼接。</t>
        </is>
      </c>
      <c r="E187" s="6" t="inlineStr">
        <is>
          <t>错位拼接</t>
        </is>
      </c>
      <c r="F187" s="6" t="inlineStr">
        <is>
          <t>交换立即数片段、循环移位lane选择、互换两个shuffle selector或读取上一条掩码；各子模型独立。仅当生成的控制被执行时计activated。</t>
        </is>
      </c>
      <c r="G187" s="6" t="inlineStr">
        <is>
          <t>F0</t>
        </is>
      </c>
      <c r="H187" s="6" t="inlineStr">
        <is>
          <t>每次运行只注入1次；warm-up后在 eligible event 中均匀抽样</t>
        </is>
      </c>
      <c r="I187" s="6" t="inlineStr">
        <is>
          <t>W11 libjpeg-turbo-NEON</t>
        </is>
      </c>
      <c r="J187" s="6" t="inlineStr">
        <is>
          <t>libjpeg-turbo-NEON（真实应用）
执行定义与oracle：固定图像做压缩/解压，启用 AArch64 NEON；逐像素、文件 hash 和格式合法性检查</t>
        </is>
      </c>
      <c r="K187" s="6" t="inlineStr">
        <is>
          <t>命中immediate/permute/lane-select指令</t>
        </is>
      </c>
      <c r="L187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87" s="6" t="inlineStr">
        <is>
          <t>结果往往仍是完整合法向量但lane次序错误，预期SDC高且可呈稳定模式</t>
        </is>
      </c>
      <c r="N187" s="6" t="inlineStr">
        <is>
          <t>适配SIMD重排数据通路</t>
        </is>
      </c>
      <c r="O187" s="6" t="inlineStr">
        <is>
          <t>本方案结构化模型</t>
        </is>
      </c>
      <c r="P187" s="9" t="n"/>
      <c r="Q187" s="9" t="n"/>
      <c r="R187" s="9" t="n"/>
      <c r="S187" s="9" t="n"/>
      <c r="T187" s="9" t="n"/>
      <c r="U187" s="9" t="n"/>
      <c r="V187" s="9" t="n"/>
      <c r="W187" s="9" t="n"/>
      <c r="X187" s="12">
        <f>IF(OR(R187="",R187-AP187&lt;=0),"",AB187/(R187-AP187))</f>
        <v/>
      </c>
      <c r="Y187" s="12">
        <f>IFERROR(R187/AR187,0)</f>
        <v/>
      </c>
      <c r="Z187" s="9" t="inlineStr">
        <is>
          <t>待执行</t>
        </is>
      </c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12">
        <f>IF(OR(R187="",R187-AP187&lt;=0),"",AO187/(R187-AP187))</f>
        <v/>
      </c>
      <c r="AM187" s="11">
        <f>IF(R187="","",SUM(AC187:AF187)-(R187-AP187))</f>
        <v/>
      </c>
      <c r="AN187" s="11">
        <f>IF(R187="","",SUM(S187:W187)+AP187-R187)</f>
        <v/>
      </c>
      <c r="AO187" s="9" t="n"/>
      <c r="AP187" s="9" t="n"/>
      <c r="AQ187" s="27" t="inlineStr">
        <is>
          <t>FD07-a 向量立即数片段交换；FD07-b lane选择循环移位；FD07-c shuffle selector互换；FD07-d 读取上一条lane mask</t>
        </is>
      </c>
      <c r="AR187" s="39" t="n"/>
      <c r="AS187" s="39">
        <f>IFERROR(AR187/Q187,0)</f>
        <v/>
      </c>
      <c r="AT187" s="39" t="n">
        <v>30</v>
      </c>
      <c r="AU187" s="39" t="n">
        <v>385</v>
      </c>
      <c r="AV187" s="39" t="inlineStr">
        <is>
          <t>常规</t>
        </is>
      </c>
      <c r="AW187" s="39" t="inlineStr">
        <is>
          <t>累计至少385，不机械扩展到2401</t>
        </is>
      </c>
    </row>
    <row r="188" ht="118.0500030517578" customHeight="1">
      <c r="A188" s="6" t="inlineStr">
        <is>
          <t>FD07-F2-W9</t>
        </is>
      </c>
      <c r="B188" s="6" t="inlineStr">
        <is>
          <t>FD07</t>
        </is>
      </c>
      <c r="C188" s="6" t="inlineStr">
        <is>
          <t>FP/SIMD Decode</t>
        </is>
      </c>
      <c r="D188" s="6" t="inlineStr">
        <is>
          <t>向量立即数、shuffle/permute控制和lane掩码拼接。</t>
        </is>
      </c>
      <c r="E188" s="6" t="inlineStr">
        <is>
          <t>错位拼接</t>
        </is>
      </c>
      <c r="F188" s="6" t="inlineStr">
        <is>
          <t>交换立即数片段、循环移位lane选择、互换两个shuffle selector或读取上一条掩码；各子模型独立。仅当生成的控制被执行时计activated。</t>
        </is>
      </c>
      <c r="G188" s="6" t="inlineStr">
        <is>
          <t>F2</t>
        </is>
      </c>
      <c r="H188" s="6" t="inlineStr">
        <is>
          <t>平均每100,000个 eligible events 注入1次，间隔加入±50%抖动</t>
        </is>
      </c>
      <c r="I188" s="6" t="inlineStr">
        <is>
          <t>W9 NEON-LaneProbe</t>
        </is>
      </c>
      <c r="J188" s="6" t="inlineStr">
        <is>
          <t>NEON-LaneProbe（自设定向负载）
执行定义与oracle：8/16/32/64-bit lane、整数/浮点 AdvSIMD、lane extract/insert、widen/narrow、permute、reduce；逐 lane 比对</t>
        </is>
      </c>
      <c r="K188" s="6" t="inlineStr">
        <is>
          <t>命中immediate/permute/lane-select指令</t>
        </is>
      </c>
      <c r="L188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88" s="6" t="inlineStr">
        <is>
          <t>结果往往仍是完整合法向量但lane次序错误，预期SDC高且可呈稳定模式</t>
        </is>
      </c>
      <c r="N188" s="6" t="inlineStr">
        <is>
          <t>适配SIMD重排数据通路</t>
        </is>
      </c>
      <c r="O188" s="6" t="inlineStr">
        <is>
          <t>本方案结构化模型</t>
        </is>
      </c>
      <c r="P188" s="9" t="n"/>
      <c r="Q188" s="9" t="n"/>
      <c r="R188" s="9" t="n"/>
      <c r="S188" s="9" t="n"/>
      <c r="T188" s="9" t="n"/>
      <c r="U188" s="9" t="n"/>
      <c r="V188" s="9" t="n"/>
      <c r="W188" s="9" t="n"/>
      <c r="X188" s="12">
        <f>IF(OR(R188="",R188-AP188&lt;=0),"",AB188/(R188-AP188))</f>
        <v/>
      </c>
      <c r="Y188" s="12">
        <f>IFERROR(R188/AR188,0)</f>
        <v/>
      </c>
      <c r="Z188" s="9" t="inlineStr">
        <is>
          <t>待执行</t>
        </is>
      </c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12">
        <f>IF(OR(R188="",R188-AP188&lt;=0),"",AO188/(R188-AP188))</f>
        <v/>
      </c>
      <c r="AM188" s="11">
        <f>IF(R188="","",SUM(AC188:AF188)-(R188-AP188))</f>
        <v/>
      </c>
      <c r="AN188" s="11">
        <f>IF(R188="","",SUM(S188:W188)+AP188-R188)</f>
        <v/>
      </c>
      <c r="AO188" s="9" t="n"/>
      <c r="AP188" s="9" t="n"/>
      <c r="AQ188" s="27" t="inlineStr">
        <is>
          <t>FD07-a 向量立即数片段交换；FD07-b lane选择循环移位；FD07-c shuffle selector互换；FD07-d 读取上一条lane mask</t>
        </is>
      </c>
      <c r="AR188" s="39" t="n"/>
      <c r="AS188" s="39">
        <f>IFERROR(AR188/Q188,0)</f>
        <v/>
      </c>
      <c r="AT188" s="39" t="n">
        <v>30</v>
      </c>
      <c r="AU188" s="39" t="n">
        <v>385</v>
      </c>
      <c r="AV188" s="39" t="inlineStr">
        <is>
          <t>常规</t>
        </is>
      </c>
      <c r="AW188" s="39" t="inlineStr">
        <is>
          <t>累计至少385，不机械扩展到2401</t>
        </is>
      </c>
    </row>
    <row r="189" ht="118.0500030517578" customHeight="1">
      <c r="A189" s="6" t="inlineStr">
        <is>
          <t>FD07-F2-W11</t>
        </is>
      </c>
      <c r="B189" s="6" t="inlineStr">
        <is>
          <t>FD07</t>
        </is>
      </c>
      <c r="C189" s="6" t="inlineStr">
        <is>
          <t>FP/SIMD Decode</t>
        </is>
      </c>
      <c r="D189" s="6" t="inlineStr">
        <is>
          <t>向量立即数、shuffle/permute控制和lane掩码拼接。</t>
        </is>
      </c>
      <c r="E189" s="6" t="inlineStr">
        <is>
          <t>错位拼接</t>
        </is>
      </c>
      <c r="F189" s="6" t="inlineStr">
        <is>
          <t>交换立即数片段、循环移位lane选择、互换两个shuffle selector或读取上一条掩码；各子模型独立。仅当生成的控制被执行时计activated。</t>
        </is>
      </c>
      <c r="G189" s="6" t="inlineStr">
        <is>
          <t>F2</t>
        </is>
      </c>
      <c r="H189" s="6" t="inlineStr">
        <is>
          <t>平均每100,000个 eligible events 注入1次，间隔加入±50%抖动</t>
        </is>
      </c>
      <c r="I189" s="6" t="inlineStr">
        <is>
          <t>W11 libjpeg-turbo-NEON</t>
        </is>
      </c>
      <c r="J189" s="6" t="inlineStr">
        <is>
          <t>libjpeg-turbo-NEON（真实应用）
执行定义与oracle：固定图像做压缩/解压，启用 AArch64 NEON；逐像素、文件 hash 和格式合法性检查</t>
        </is>
      </c>
      <c r="K189" s="6" t="inlineStr">
        <is>
          <t>命中immediate/permute/lane-select指令</t>
        </is>
      </c>
      <c r="L189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89" s="6" t="inlineStr">
        <is>
          <t>结果往往仍是完整合法向量但lane次序错误，预期SDC高且可呈稳定模式</t>
        </is>
      </c>
      <c r="N189" s="6" t="inlineStr">
        <is>
          <t>适配SIMD重排数据通路</t>
        </is>
      </c>
      <c r="O189" s="6" t="inlineStr">
        <is>
          <t>本方案结构化模型</t>
        </is>
      </c>
      <c r="P189" s="9" t="n"/>
      <c r="Q189" s="9" t="n"/>
      <c r="R189" s="9" t="n"/>
      <c r="S189" s="9" t="n"/>
      <c r="T189" s="9" t="n"/>
      <c r="U189" s="9" t="n"/>
      <c r="V189" s="9" t="n"/>
      <c r="W189" s="9" t="n"/>
      <c r="X189" s="12">
        <f>IF(OR(R189="",R189-AP189&lt;=0),"",AB189/(R189-AP189))</f>
        <v/>
      </c>
      <c r="Y189" s="12">
        <f>IFERROR(R189/AR189,0)</f>
        <v/>
      </c>
      <c r="Z189" s="9" t="inlineStr">
        <is>
          <t>待执行</t>
        </is>
      </c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12">
        <f>IF(OR(R189="",R189-AP189&lt;=0),"",AO189/(R189-AP189))</f>
        <v/>
      </c>
      <c r="AM189" s="11">
        <f>IF(R189="","",SUM(AC189:AF189)-(R189-AP189))</f>
        <v/>
      </c>
      <c r="AN189" s="11">
        <f>IF(R189="","",SUM(S189:W189)+AP189-R189)</f>
        <v/>
      </c>
      <c r="AO189" s="9" t="n"/>
      <c r="AP189" s="9" t="n"/>
      <c r="AQ189" s="27" t="inlineStr">
        <is>
          <t>FD07-a 向量立即数片段交换；FD07-b lane选择循环移位；FD07-c shuffle selector互换；FD07-d 读取上一条lane mask</t>
        </is>
      </c>
      <c r="AR189" s="39" t="n"/>
      <c r="AS189" s="39">
        <f>IFERROR(AR189/Q189,0)</f>
        <v/>
      </c>
      <c r="AT189" s="39" t="n">
        <v>30</v>
      </c>
      <c r="AU189" s="39" t="n">
        <v>385</v>
      </c>
      <c r="AV189" s="39" t="inlineStr">
        <is>
          <t>常规</t>
        </is>
      </c>
      <c r="AW189" s="39" t="inlineStr">
        <is>
          <t>累计至少385，不机械扩展到2401</t>
        </is>
      </c>
    </row>
    <row r="190" ht="118.0500030517578" customHeight="1">
      <c r="A190" s="6" t="inlineStr">
        <is>
          <t>FD07-F6-W9</t>
        </is>
      </c>
      <c r="B190" s="6" t="inlineStr">
        <is>
          <t>FD07</t>
        </is>
      </c>
      <c r="C190" s="6" t="inlineStr">
        <is>
          <t>FP/SIMD Decode</t>
        </is>
      </c>
      <c r="D190" s="6" t="inlineStr">
        <is>
          <t>向量立即数、shuffle/permute控制和lane掩码拼接。</t>
        </is>
      </c>
      <c r="E190" s="6" t="inlineStr">
        <is>
          <t>错位拼接</t>
        </is>
      </c>
      <c r="F190" s="6" t="inlineStr">
        <is>
          <t>交换立即数片段、循环移位lane选择、互换两个shuffle selector或读取上一条掩码；各子模型独立。仅当生成的控制被执行时计activated。</t>
        </is>
      </c>
      <c r="G190" s="6" t="inlineStr">
        <is>
          <t>F6</t>
        </is>
      </c>
      <c r="H190" s="6" t="inlineStr">
        <is>
          <t>首次出现指定稀有事件时注入1次，保证结构化模型被激活</t>
        </is>
      </c>
      <c r="I190" s="6" t="inlineStr">
        <is>
          <t>W9 NEON-LaneProbe</t>
        </is>
      </c>
      <c r="J190" s="6" t="inlineStr">
        <is>
          <t>NEON-LaneProbe（自设定向负载）
执行定义与oracle：8/16/32/64-bit lane、整数/浮点 AdvSIMD、lane extract/insert、widen/narrow、permute、reduce；逐 lane 比对</t>
        </is>
      </c>
      <c r="K190" s="6" t="inlineStr">
        <is>
          <t>命中immediate/permute/lane-select指令</t>
        </is>
      </c>
      <c r="L190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90" s="6" t="inlineStr">
        <is>
          <t>结果往往仍是完整合法向量但lane次序错误，预期SDC高且可呈稳定模式</t>
        </is>
      </c>
      <c r="N190" s="6" t="inlineStr">
        <is>
          <t>适配SIMD重排数据通路</t>
        </is>
      </c>
      <c r="O190" s="6" t="inlineStr">
        <is>
          <t>本方案结构化模型</t>
        </is>
      </c>
      <c r="P190" s="9" t="n"/>
      <c r="Q190" s="9" t="n"/>
      <c r="R190" s="9" t="n"/>
      <c r="S190" s="9" t="n"/>
      <c r="T190" s="9" t="n"/>
      <c r="U190" s="9" t="n"/>
      <c r="V190" s="9" t="n"/>
      <c r="W190" s="9" t="n"/>
      <c r="X190" s="12">
        <f>IF(OR(R190="",R190-AP190&lt;=0),"",AB190/(R190-AP190))</f>
        <v/>
      </c>
      <c r="Y190" s="12">
        <f>IFERROR(R190/AR190,0)</f>
        <v/>
      </c>
      <c r="Z190" s="9" t="inlineStr">
        <is>
          <t>待执行</t>
        </is>
      </c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12">
        <f>IF(OR(R190="",R190-AP190&lt;=0),"",AO190/(R190-AP190))</f>
        <v/>
      </c>
      <c r="AM190" s="11">
        <f>IF(R190="","",SUM(AC190:AF190)-(R190-AP190))</f>
        <v/>
      </c>
      <c r="AN190" s="11">
        <f>IF(R190="","",SUM(S190:W190)+AP190-R190)</f>
        <v/>
      </c>
      <c r="AO190" s="9" t="n"/>
      <c r="AP190" s="9" t="n"/>
      <c r="AQ190" s="27" t="inlineStr">
        <is>
          <t>FD07-a 向量立即数片段交换；FD07-b lane选择循环移位；FD07-c shuffle selector互换；FD07-d 读取上一条lane mask</t>
        </is>
      </c>
      <c r="AR190" s="39" t="n"/>
      <c r="AS190" s="39">
        <f>IFERROR(AR190/Q190,0)</f>
        <v/>
      </c>
      <c r="AT190" s="39" t="n">
        <v>30</v>
      </c>
      <c r="AU190" s="39" t="n">
        <v>385</v>
      </c>
      <c r="AV190" s="39" t="inlineStr">
        <is>
          <t>常规</t>
        </is>
      </c>
      <c r="AW190" s="39" t="inlineStr">
        <is>
          <t>累计至少385，不机械扩展到2401</t>
        </is>
      </c>
    </row>
    <row r="191" ht="118.0500030517578" customHeight="1">
      <c r="A191" s="6" t="inlineStr">
        <is>
          <t>FD07-F6-W11</t>
        </is>
      </c>
      <c r="B191" s="6" t="inlineStr">
        <is>
          <t>FD07</t>
        </is>
      </c>
      <c r="C191" s="6" t="inlineStr">
        <is>
          <t>FP/SIMD Decode</t>
        </is>
      </c>
      <c r="D191" s="6" t="inlineStr">
        <is>
          <t>向量立即数、shuffle/permute控制和lane掩码拼接。</t>
        </is>
      </c>
      <c r="E191" s="6" t="inlineStr">
        <is>
          <t>错位拼接</t>
        </is>
      </c>
      <c r="F191" s="6" t="inlineStr">
        <is>
          <t>交换立即数片段、循环移位lane选择、互换两个shuffle selector或读取上一条掩码；各子模型独立。仅当生成的控制被执行时计activated。</t>
        </is>
      </c>
      <c r="G191" s="6" t="inlineStr">
        <is>
          <t>F6</t>
        </is>
      </c>
      <c r="H191" s="6" t="inlineStr">
        <is>
          <t>首次出现指定稀有事件时注入1次，保证结构化模型被激活</t>
        </is>
      </c>
      <c r="I191" s="6" t="inlineStr">
        <is>
          <t>W11 libjpeg-turbo-NEON</t>
        </is>
      </c>
      <c r="J191" s="6" t="inlineStr">
        <is>
          <t>libjpeg-turbo-NEON（真实应用）
执行定义与oracle：固定图像做压缩/解压，启用 AArch64 NEON；逐像素、文件 hash 和格式合法性检查</t>
        </is>
      </c>
      <c r="K191" s="6" t="inlineStr">
        <is>
          <t>命中immediate/permute/lane-select指令</t>
        </is>
      </c>
      <c r="L191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91" s="6" t="inlineStr">
        <is>
          <t>结果往往仍是完整合法向量但lane次序错误，预期SDC高且可呈稳定模式</t>
        </is>
      </c>
      <c r="N191" s="6" t="inlineStr">
        <is>
          <t>适配SIMD重排数据通路</t>
        </is>
      </c>
      <c r="O191" s="6" t="inlineStr">
        <is>
          <t>本方案结构化模型</t>
        </is>
      </c>
      <c r="P191" s="9" t="n"/>
      <c r="Q191" s="9" t="n"/>
      <c r="R191" s="9" t="n"/>
      <c r="S191" s="9" t="n"/>
      <c r="T191" s="9" t="n"/>
      <c r="U191" s="9" t="n"/>
      <c r="V191" s="9" t="n"/>
      <c r="W191" s="9" t="n"/>
      <c r="X191" s="12">
        <f>IF(OR(R191="",R191-AP191&lt;=0),"",AB191/(R191-AP191))</f>
        <v/>
      </c>
      <c r="Y191" s="12">
        <f>IFERROR(R191/AR191,0)</f>
        <v/>
      </c>
      <c r="Z191" s="9" t="inlineStr">
        <is>
          <t>待执行</t>
        </is>
      </c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12">
        <f>IF(OR(R191="",R191-AP191&lt;=0),"",AO191/(R191-AP191))</f>
        <v/>
      </c>
      <c r="AM191" s="11">
        <f>IF(R191="","",SUM(AC191:AF191)-(R191-AP191))</f>
        <v/>
      </c>
      <c r="AN191" s="11">
        <f>IF(R191="","",SUM(S191:W191)+AP191-R191)</f>
        <v/>
      </c>
      <c r="AO191" s="9" t="n"/>
      <c r="AP191" s="9" t="n"/>
      <c r="AQ191" s="27" t="inlineStr">
        <is>
          <t>FD07-a 向量立即数片段交换；FD07-b lane选择循环移位；FD07-c shuffle selector互换；FD07-d 读取上一条lane mask</t>
        </is>
      </c>
      <c r="AR191" s="39" t="n"/>
      <c r="AS191" s="39">
        <f>IFERROR(AR191/Q191,0)</f>
        <v/>
      </c>
      <c r="AT191" s="39" t="n">
        <v>30</v>
      </c>
      <c r="AU191" s="39" t="n">
        <v>385</v>
      </c>
      <c r="AV191" s="39" t="inlineStr">
        <is>
          <t>常规</t>
        </is>
      </c>
      <c r="AW191" s="39" t="inlineStr">
        <is>
          <t>累计至少385，不机械扩展到2401</t>
        </is>
      </c>
    </row>
    <row r="192" ht="118.0500030517578" customHeight="1">
      <c r="A192" s="6" t="inlineStr">
        <is>
          <t>FD08-F0-W9</t>
        </is>
      </c>
      <c r="B192" s="6" t="inlineStr">
        <is>
          <t>FD08</t>
        </is>
      </c>
      <c r="C192" s="6" t="inlineStr">
        <is>
          <t>FP/SIMD Decode</t>
        </is>
      </c>
      <c r="D192" s="6" t="inlineStr">
        <is>
          <t>复杂FP/SIMD指令的uop拆分、uop index和last-uop标志。</t>
        </is>
      </c>
      <c r="E192" s="6" t="inlineStr">
        <is>
          <t>状态/时序</t>
        </is>
      </c>
      <c r="F192" s="6" t="inlineStr">
        <is>
          <t>丢失、重复或互换一个uop，或提前last-uop。绑定一个动态指令/事件ID，提前、延后、丢失、重复分开执行；数据载荷保持正确。仅当下游因此读取旧值、漏发、重复或改变顺序时计activated。触发：FP/SIMD指令拆成至少2个uop。</t>
        </is>
      </c>
      <c r="G192" s="6" t="inlineStr">
        <is>
          <t>F0</t>
        </is>
      </c>
      <c r="H192" s="6" t="inlineStr">
        <is>
          <t>每次运行只注入1次；warm-up后在 eligible event 中均匀抽样</t>
        </is>
      </c>
      <c r="I192" s="6" t="inlineStr">
        <is>
          <t>W9 NEON-LaneProbe</t>
        </is>
      </c>
      <c r="J192" s="6" t="inlineStr">
        <is>
          <t>NEON-LaneProbe（自设定向负载）
执行定义与oracle：8/16/32/64-bit lane、整数/浮点 AdvSIMD、lane extract/insert、widen/narrow、permute、reduce；逐 lane 比对</t>
        </is>
      </c>
      <c r="K192" s="6" t="inlineStr">
        <is>
          <t>FP/SIMD指令拆成至少2个uop</t>
        </is>
      </c>
      <c r="L192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92" s="6" t="inlineStr">
        <is>
          <t>可能只更新部分lane/累加阶段，静默产生半新半旧向量；计数不一致时Crash</t>
        </is>
      </c>
      <c r="N192" s="6" t="inlineStr">
        <is>
          <t>覆盖复杂向量指令序列</t>
        </is>
      </c>
      <c r="O192" s="6" t="inlineStr">
        <is>
          <t>本方案结构化模型</t>
        </is>
      </c>
      <c r="P192" s="9" t="n"/>
      <c r="Q192" s="9" t="n"/>
      <c r="R192" s="9" t="n"/>
      <c r="S192" s="9" t="n"/>
      <c r="T192" s="9" t="n"/>
      <c r="U192" s="9" t="n"/>
      <c r="V192" s="9" t="n"/>
      <c r="W192" s="9" t="n"/>
      <c r="X192" s="12">
        <f>IF(OR(R192="",R192-AP192&lt;=0),"",AB192/(R192-AP192))</f>
        <v/>
      </c>
      <c r="Y192" s="12">
        <f>IFERROR(R192/AR192,0)</f>
        <v/>
      </c>
      <c r="Z192" s="9" t="inlineStr">
        <is>
          <t>待执行</t>
        </is>
      </c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12">
        <f>IF(OR(R192="",R192-AP192&lt;=0),"",AO192/(R192-AP192))</f>
        <v/>
      </c>
      <c r="AM192" s="11">
        <f>IF(R192="","",SUM(AC192:AF192)-(R192-AP192))</f>
        <v/>
      </c>
      <c r="AN192" s="11">
        <f>IF(R192="","",SUM(S192:W192)+AP192-R192)</f>
        <v/>
      </c>
      <c r="AO192" s="9" t="n"/>
      <c r="AP192" s="9" t="n"/>
      <c r="AQ192" s="27" t="inlineStr">
        <is>
          <t>FD08-a 丢失一个FP/SIMD uop；FD08-b 重复一个uop；FD08-c 互换uop顺序；FD08-d 提前last-uop</t>
        </is>
      </c>
      <c r="AR192" s="39" t="n"/>
      <c r="AS192" s="39">
        <f>IFERROR(AR192/Q192,0)</f>
        <v/>
      </c>
      <c r="AT192" s="39" t="n">
        <v>30</v>
      </c>
      <c r="AU192" s="39" t="n">
        <v>385</v>
      </c>
      <c r="AV192" s="39" t="inlineStr">
        <is>
          <t>常规</t>
        </is>
      </c>
      <c r="AW192" s="39" t="inlineStr">
        <is>
          <t>累计至少385，不机械扩展到2401</t>
        </is>
      </c>
    </row>
    <row r="193" ht="118.0500030517578" customHeight="1">
      <c r="A193" s="6" t="inlineStr">
        <is>
          <t>FD08-F0-W10</t>
        </is>
      </c>
      <c r="B193" s="6" t="inlineStr">
        <is>
          <t>FD08</t>
        </is>
      </c>
      <c r="C193" s="6" t="inlineStr">
        <is>
          <t>FP/SIMD Decode</t>
        </is>
      </c>
      <c r="D193" s="6" t="inlineStr">
        <is>
          <t>复杂FP/SIMD指令的uop拆分、uop index和last-uop标志。</t>
        </is>
      </c>
      <c r="E193" s="6" t="inlineStr">
        <is>
          <t>状态/时序</t>
        </is>
      </c>
      <c r="F193" s="6" t="inlineStr">
        <is>
          <t>丢失、重复或互换一个uop，或提前last-uop。绑定一个动态指令/事件ID，提前、延后、丢失、重复分开执行；数据载荷保持正确。仅当下游因此读取旧值、漏发、重复或改变顺序时计activated。触发：FP/SIMD指令拆成至少2个uop。</t>
        </is>
      </c>
      <c r="G193" s="6" t="inlineStr">
        <is>
          <t>F0</t>
        </is>
      </c>
      <c r="H193" s="6" t="inlineStr">
        <is>
          <t>每次运行只注入1次；warm-up后在 eligible event 中均匀抽样</t>
        </is>
      </c>
      <c r="I193" s="6" t="inlineStr">
        <is>
          <t>W10 PolyBench</t>
        </is>
      </c>
      <c r="J193" s="6" t="inlineStr">
        <is>
          <t>PolyBench（公开通用）
执行定义与oracle：gemm、2mm、lu、cholesky、jacobi-2d；固定规模；输出数组逐元素/容差双校验</t>
        </is>
      </c>
      <c r="K193" s="6" t="inlineStr">
        <is>
          <t>FP/SIMD指令拆成至少2个uop</t>
        </is>
      </c>
      <c r="L193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93" s="6" t="inlineStr">
        <is>
          <t>可能只更新部分lane/累加阶段，静默产生半新半旧向量；计数不一致时Crash</t>
        </is>
      </c>
      <c r="N193" s="6" t="inlineStr">
        <is>
          <t>覆盖复杂向量指令序列</t>
        </is>
      </c>
      <c r="O193" s="6" t="inlineStr">
        <is>
          <t>本方案结构化模型</t>
        </is>
      </c>
      <c r="P193" s="9" t="n"/>
      <c r="Q193" s="9" t="n"/>
      <c r="R193" s="9" t="n"/>
      <c r="S193" s="9" t="n"/>
      <c r="T193" s="9" t="n"/>
      <c r="U193" s="9" t="n"/>
      <c r="V193" s="9" t="n"/>
      <c r="W193" s="9" t="n"/>
      <c r="X193" s="12">
        <f>IF(OR(R193="",R193-AP193&lt;=0),"",AB193/(R193-AP193))</f>
        <v/>
      </c>
      <c r="Y193" s="12">
        <f>IFERROR(R193/AR193,0)</f>
        <v/>
      </c>
      <c r="Z193" s="9" t="inlineStr">
        <is>
          <t>待执行</t>
        </is>
      </c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12">
        <f>IF(OR(R193="",R193-AP193&lt;=0),"",AO193/(R193-AP193))</f>
        <v/>
      </c>
      <c r="AM193" s="11">
        <f>IF(R193="","",SUM(AC193:AF193)-(R193-AP193))</f>
        <v/>
      </c>
      <c r="AN193" s="11">
        <f>IF(R193="","",SUM(S193:W193)+AP193-R193)</f>
        <v/>
      </c>
      <c r="AO193" s="9" t="n"/>
      <c r="AP193" s="9" t="n"/>
      <c r="AQ193" s="27" t="inlineStr">
        <is>
          <t>FD08-a 丢失一个FP/SIMD uop；FD08-b 重复一个uop；FD08-c 互换uop顺序；FD08-d 提前last-uop</t>
        </is>
      </c>
      <c r="AR193" s="39" t="n"/>
      <c r="AS193" s="39">
        <f>IFERROR(AR193/Q193,0)</f>
        <v/>
      </c>
      <c r="AT193" s="39" t="n">
        <v>30</v>
      </c>
      <c r="AU193" s="39" t="n">
        <v>385</v>
      </c>
      <c r="AV193" s="39" t="inlineStr">
        <is>
          <t>常规</t>
        </is>
      </c>
      <c r="AW193" s="39" t="inlineStr">
        <is>
          <t>累计至少385，不机械扩展到2401</t>
        </is>
      </c>
    </row>
    <row r="194" ht="118.0500030517578" customHeight="1">
      <c r="A194" s="6" t="inlineStr">
        <is>
          <t>FD08-F4-W9</t>
        </is>
      </c>
      <c r="B194" s="6" t="inlineStr">
        <is>
          <t>FD08</t>
        </is>
      </c>
      <c r="C194" s="6" t="inlineStr">
        <is>
          <t>FP/SIMD Decode</t>
        </is>
      </c>
      <c r="D194" s="6" t="inlineStr">
        <is>
          <t>复杂FP/SIMD指令的uop拆分、uop index和last-uop标志。</t>
        </is>
      </c>
      <c r="E194" s="6" t="inlineStr">
        <is>
          <t>状态/时序</t>
        </is>
      </c>
      <c r="F194" s="6" t="inlineStr">
        <is>
          <t>丢失、重复或互换一个uop，或提前last-uop。绑定一个动态指令/事件ID，提前、延后、丢失、重复分开执行；数据载荷保持正确。仅当下游因此读取旧值、漏发、重复或改变顺序时计activated。触发：FP/SIMD指令拆成至少2个uop。</t>
        </is>
      </c>
      <c r="G194" s="6" t="inlineStr">
        <is>
          <t>F4</t>
        </is>
      </c>
      <c r="H194" s="6" t="inlineStr">
        <is>
          <t>每100,000个 eligible events 触发一次，连续污染2-4个 eligible events</t>
        </is>
      </c>
      <c r="I194" s="6" t="inlineStr">
        <is>
          <t>W9 NEON-LaneProbe</t>
        </is>
      </c>
      <c r="J194" s="6" t="inlineStr">
        <is>
          <t>NEON-LaneProbe（自设定向负载）
执行定义与oracle：8/16/32/64-bit lane、整数/浮点 AdvSIMD、lane extract/insert、widen/narrow、permute、reduce；逐 lane 比对</t>
        </is>
      </c>
      <c r="K194" s="6" t="inlineStr">
        <is>
          <t>FP/SIMD指令拆成至少2个uop</t>
        </is>
      </c>
      <c r="L194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94" s="6" t="inlineStr">
        <is>
          <t>可能只更新部分lane/累加阶段，静默产生半新半旧向量；计数不一致时Crash</t>
        </is>
      </c>
      <c r="N194" s="6" t="inlineStr">
        <is>
          <t>覆盖复杂向量指令序列</t>
        </is>
      </c>
      <c r="O194" s="6" t="inlineStr">
        <is>
          <t>本方案结构化模型</t>
        </is>
      </c>
      <c r="P194" s="9" t="n"/>
      <c r="Q194" s="9" t="n"/>
      <c r="R194" s="9" t="n"/>
      <c r="S194" s="9" t="n"/>
      <c r="T194" s="9" t="n"/>
      <c r="U194" s="9" t="n"/>
      <c r="V194" s="9" t="n"/>
      <c r="W194" s="9" t="n"/>
      <c r="X194" s="12">
        <f>IF(OR(R194="",R194-AP194&lt;=0),"",AB194/(R194-AP194))</f>
        <v/>
      </c>
      <c r="Y194" s="12">
        <f>IFERROR(R194/AR194,0)</f>
        <v/>
      </c>
      <c r="Z194" s="9" t="inlineStr">
        <is>
          <t>待执行</t>
        </is>
      </c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12">
        <f>IF(OR(R194="",R194-AP194&lt;=0),"",AO194/(R194-AP194))</f>
        <v/>
      </c>
      <c r="AM194" s="11">
        <f>IF(R194="","",SUM(AC194:AF194)-(R194-AP194))</f>
        <v/>
      </c>
      <c r="AN194" s="11">
        <f>IF(R194="","",SUM(S194:W194)+AP194-R194)</f>
        <v/>
      </c>
      <c r="AO194" s="9" t="n"/>
      <c r="AP194" s="9" t="n"/>
      <c r="AQ194" s="27" t="inlineStr">
        <is>
          <t>FD08-a 丢失一个FP/SIMD uop；FD08-b 重复一个uop；FD08-c 互换uop顺序；FD08-d 提前last-uop</t>
        </is>
      </c>
      <c r="AR194" s="39" t="n"/>
      <c r="AS194" s="39">
        <f>IFERROR(AR194/Q194,0)</f>
        <v/>
      </c>
      <c r="AT194" s="39" t="n">
        <v>30</v>
      </c>
      <c r="AU194" s="39" t="n">
        <v>385</v>
      </c>
      <c r="AV194" s="39" t="inlineStr">
        <is>
          <t>常规</t>
        </is>
      </c>
      <c r="AW194" s="39" t="inlineStr">
        <is>
          <t>累计至少385，不机械扩展到2401</t>
        </is>
      </c>
    </row>
    <row r="195" ht="118.0500030517578" customHeight="1">
      <c r="A195" s="6" t="inlineStr">
        <is>
          <t>FD08-F4-W10</t>
        </is>
      </c>
      <c r="B195" s="6" t="inlineStr">
        <is>
          <t>FD08</t>
        </is>
      </c>
      <c r="C195" s="6" t="inlineStr">
        <is>
          <t>FP/SIMD Decode</t>
        </is>
      </c>
      <c r="D195" s="6" t="inlineStr">
        <is>
          <t>复杂FP/SIMD指令的uop拆分、uop index和last-uop标志。</t>
        </is>
      </c>
      <c r="E195" s="6" t="inlineStr">
        <is>
          <t>状态/时序</t>
        </is>
      </c>
      <c r="F195" s="6" t="inlineStr">
        <is>
          <t>丢失、重复或互换一个uop，或提前last-uop。绑定一个动态指令/事件ID，提前、延后、丢失、重复分开执行；数据载荷保持正确。仅当下游因此读取旧值、漏发、重复或改变顺序时计activated。触发：FP/SIMD指令拆成至少2个uop。</t>
        </is>
      </c>
      <c r="G195" s="6" t="inlineStr">
        <is>
          <t>F4</t>
        </is>
      </c>
      <c r="H195" s="6" t="inlineStr">
        <is>
          <t>每100,000个 eligible events 触发一次，连续污染2-4个 eligible events</t>
        </is>
      </c>
      <c r="I195" s="6" t="inlineStr">
        <is>
          <t>W10 PolyBench</t>
        </is>
      </c>
      <c r="J195" s="6" t="inlineStr">
        <is>
          <t>PolyBench（公开通用）
执行定义与oracle：gemm、2mm、lu、cholesky、jacobi-2d；固定规模；输出数组逐元素/容差双校验</t>
        </is>
      </c>
      <c r="K195" s="6" t="inlineStr">
        <is>
          <t>FP/SIMD指令拆成至少2个uop</t>
        </is>
      </c>
      <c r="L195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95" s="6" t="inlineStr">
        <is>
          <t>可能只更新部分lane/累加阶段，静默产生半新半旧向量；计数不一致时Crash</t>
        </is>
      </c>
      <c r="N195" s="6" t="inlineStr">
        <is>
          <t>覆盖复杂向量指令序列</t>
        </is>
      </c>
      <c r="O195" s="6" t="inlineStr">
        <is>
          <t>本方案结构化模型</t>
        </is>
      </c>
      <c r="P195" s="9" t="n"/>
      <c r="Q195" s="9" t="n"/>
      <c r="R195" s="9" t="n"/>
      <c r="S195" s="9" t="n"/>
      <c r="T195" s="9" t="n"/>
      <c r="U195" s="9" t="n"/>
      <c r="V195" s="9" t="n"/>
      <c r="W195" s="9" t="n"/>
      <c r="X195" s="12">
        <f>IF(OR(R195="",R195-AP195&lt;=0),"",AB195/(R195-AP195))</f>
        <v/>
      </c>
      <c r="Y195" s="12">
        <f>IFERROR(R195/AR195,0)</f>
        <v/>
      </c>
      <c r="Z195" s="9" t="inlineStr">
        <is>
          <t>待执行</t>
        </is>
      </c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12">
        <f>IF(OR(R195="",R195-AP195&lt;=0),"",AO195/(R195-AP195))</f>
        <v/>
      </c>
      <c r="AM195" s="11">
        <f>IF(R195="","",SUM(AC195:AF195)-(R195-AP195))</f>
        <v/>
      </c>
      <c r="AN195" s="11">
        <f>IF(R195="","",SUM(S195:W195)+AP195-R195)</f>
        <v/>
      </c>
      <c r="AO195" s="9" t="n"/>
      <c r="AP195" s="9" t="n"/>
      <c r="AQ195" s="27" t="inlineStr">
        <is>
          <t>FD08-a 丢失一个FP/SIMD uop；FD08-b 重复一个uop；FD08-c 互换uop顺序；FD08-d 提前last-uop</t>
        </is>
      </c>
      <c r="AR195" s="39" t="n"/>
      <c r="AS195" s="39">
        <f>IFERROR(AR195/Q195,0)</f>
        <v/>
      </c>
      <c r="AT195" s="39" t="n">
        <v>30</v>
      </c>
      <c r="AU195" s="39" t="n">
        <v>2401</v>
      </c>
      <c r="AV195" s="39" t="inlineStr">
        <is>
          <t>预登记重点</t>
        </is>
      </c>
      <c r="AW195" s="39" t="inlineStr">
        <is>
          <t>累计2401（含pilot与前385），不得序贯停止</t>
        </is>
      </c>
    </row>
    <row r="196" ht="118.0500030517578" customHeight="1">
      <c r="A196" s="6" t="inlineStr">
        <is>
          <t>FD08-F6-W9</t>
        </is>
      </c>
      <c r="B196" s="6" t="inlineStr">
        <is>
          <t>FD08</t>
        </is>
      </c>
      <c r="C196" s="6" t="inlineStr">
        <is>
          <t>FP/SIMD Decode</t>
        </is>
      </c>
      <c r="D196" s="6" t="inlineStr">
        <is>
          <t>复杂FP/SIMD指令的uop拆分、uop index和last-uop标志。</t>
        </is>
      </c>
      <c r="E196" s="6" t="inlineStr">
        <is>
          <t>状态/时序</t>
        </is>
      </c>
      <c r="F196" s="6" t="inlineStr">
        <is>
          <t>丢失、重复或互换一个uop，或提前last-uop。绑定一个动态指令/事件ID，提前、延后、丢失、重复分开执行；数据载荷保持正确。仅当下游因此读取旧值、漏发、重复或改变顺序时计activated。触发：FP/SIMD指令拆成至少2个uop。</t>
        </is>
      </c>
      <c r="G196" s="6" t="inlineStr">
        <is>
          <t>F6</t>
        </is>
      </c>
      <c r="H196" s="6" t="inlineStr">
        <is>
          <t>首次出现指定稀有事件时注入1次，保证结构化模型被激活</t>
        </is>
      </c>
      <c r="I196" s="6" t="inlineStr">
        <is>
          <t>W9 NEON-LaneProbe</t>
        </is>
      </c>
      <c r="J196" s="6" t="inlineStr">
        <is>
          <t>NEON-LaneProbe（自设定向负载）
执行定义与oracle：8/16/32/64-bit lane、整数/浮点 AdvSIMD、lane extract/insert、widen/narrow、permute、reduce；逐 lane 比对</t>
        </is>
      </c>
      <c r="K196" s="6" t="inlineStr">
        <is>
          <t>FP/SIMD指令拆成至少2个uop</t>
        </is>
      </c>
      <c r="L196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96" s="6" t="inlineStr">
        <is>
          <t>可能只更新部分lane/累加阶段，静默产生半新半旧向量；计数不一致时Crash</t>
        </is>
      </c>
      <c r="N196" s="6" t="inlineStr">
        <is>
          <t>覆盖复杂向量指令序列</t>
        </is>
      </c>
      <c r="O196" s="6" t="inlineStr">
        <is>
          <t>本方案结构化模型</t>
        </is>
      </c>
      <c r="P196" s="9" t="n"/>
      <c r="Q196" s="9" t="n"/>
      <c r="R196" s="9" t="n"/>
      <c r="S196" s="9" t="n"/>
      <c r="T196" s="9" t="n"/>
      <c r="U196" s="9" t="n"/>
      <c r="V196" s="9" t="n"/>
      <c r="W196" s="9" t="n"/>
      <c r="X196" s="12">
        <f>IF(OR(R196="",R196-AP196&lt;=0),"",AB196/(R196-AP196))</f>
        <v/>
      </c>
      <c r="Y196" s="12">
        <f>IFERROR(R196/AR196,0)</f>
        <v/>
      </c>
      <c r="Z196" s="9" t="inlineStr">
        <is>
          <t>待执行</t>
        </is>
      </c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12">
        <f>IF(OR(R196="",R196-AP196&lt;=0),"",AO196/(R196-AP196))</f>
        <v/>
      </c>
      <c r="AM196" s="11">
        <f>IF(R196="","",SUM(AC196:AF196)-(R196-AP196))</f>
        <v/>
      </c>
      <c r="AN196" s="11">
        <f>IF(R196="","",SUM(S196:W196)+AP196-R196)</f>
        <v/>
      </c>
      <c r="AO196" s="9" t="n"/>
      <c r="AP196" s="9" t="n"/>
      <c r="AQ196" s="27" t="inlineStr">
        <is>
          <t>FD08-a 丢失一个FP/SIMD uop；FD08-b 重复一个uop；FD08-c 互换uop顺序；FD08-d 提前last-uop</t>
        </is>
      </c>
      <c r="AR196" s="39" t="n"/>
      <c r="AS196" s="39">
        <f>IFERROR(AR196/Q196,0)</f>
        <v/>
      </c>
      <c r="AT196" s="39" t="n">
        <v>30</v>
      </c>
      <c r="AU196" s="39" t="n">
        <v>385</v>
      </c>
      <c r="AV196" s="39" t="inlineStr">
        <is>
          <t>常规</t>
        </is>
      </c>
      <c r="AW196" s="39" t="inlineStr">
        <is>
          <t>累计至少385，不机械扩展到2401</t>
        </is>
      </c>
    </row>
    <row r="197" ht="118.0500030517578" customHeight="1">
      <c r="A197" s="6" t="inlineStr">
        <is>
          <t>FD08-F6-W10</t>
        </is>
      </c>
      <c r="B197" s="6" t="inlineStr">
        <is>
          <t>FD08</t>
        </is>
      </c>
      <c r="C197" s="6" t="inlineStr">
        <is>
          <t>FP/SIMD Decode</t>
        </is>
      </c>
      <c r="D197" s="6" t="inlineStr">
        <is>
          <t>复杂FP/SIMD指令的uop拆分、uop index和last-uop标志。</t>
        </is>
      </c>
      <c r="E197" s="6" t="inlineStr">
        <is>
          <t>状态/时序</t>
        </is>
      </c>
      <c r="F197" s="6" t="inlineStr">
        <is>
          <t>丢失、重复或互换一个uop，或提前last-uop。绑定一个动态指令/事件ID，提前、延后、丢失、重复分开执行；数据载荷保持正确。仅当下游因此读取旧值、漏发、重复或改变顺序时计activated。触发：FP/SIMD指令拆成至少2个uop。</t>
        </is>
      </c>
      <c r="G197" s="6" t="inlineStr">
        <is>
          <t>F6</t>
        </is>
      </c>
      <c r="H197" s="6" t="inlineStr">
        <is>
          <t>首次出现指定稀有事件时注入1次，保证结构化模型被激活</t>
        </is>
      </c>
      <c r="I197" s="6" t="inlineStr">
        <is>
          <t>W10 PolyBench</t>
        </is>
      </c>
      <c r="J197" s="6" t="inlineStr">
        <is>
          <t>PolyBench（公开通用）
执行定义与oracle：gemm、2mm、lu、cholesky、jacobi-2d；固定规模；输出数组逐元素/容差双校验</t>
        </is>
      </c>
      <c r="K197" s="6" t="inlineStr">
        <is>
          <t>FP/SIMD指令拆成至少2个uop</t>
        </is>
      </c>
      <c r="L197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97" s="6" t="inlineStr">
        <is>
          <t>可能只更新部分lane/累加阶段，静默产生半新半旧向量；计数不一致时Crash</t>
        </is>
      </c>
      <c r="N197" s="6" t="inlineStr">
        <is>
          <t>覆盖复杂向量指令序列</t>
        </is>
      </c>
      <c r="O197" s="6" t="inlineStr">
        <is>
          <t>本方案结构化模型</t>
        </is>
      </c>
      <c r="P197" s="9" t="n"/>
      <c r="Q197" s="9" t="n"/>
      <c r="R197" s="9" t="n"/>
      <c r="S197" s="9" t="n"/>
      <c r="T197" s="9" t="n"/>
      <c r="U197" s="9" t="n"/>
      <c r="V197" s="9" t="n"/>
      <c r="W197" s="9" t="n"/>
      <c r="X197" s="12">
        <f>IF(OR(R197="",R197-AP197&lt;=0),"",AB197/(R197-AP197))</f>
        <v/>
      </c>
      <c r="Y197" s="12">
        <f>IFERROR(R197/AR197,0)</f>
        <v/>
      </c>
      <c r="Z197" s="9" t="inlineStr">
        <is>
          <t>待执行</t>
        </is>
      </c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12">
        <f>IF(OR(R197="",R197-AP197&lt;=0),"",AO197/(R197-AP197))</f>
        <v/>
      </c>
      <c r="AM197" s="11">
        <f>IF(R197="","",SUM(AC197:AF197)-(R197-AP197))</f>
        <v/>
      </c>
      <c r="AN197" s="11">
        <f>IF(R197="","",SUM(S197:W197)+AP197-R197)</f>
        <v/>
      </c>
      <c r="AO197" s="9" t="n"/>
      <c r="AP197" s="9" t="n"/>
      <c r="AQ197" s="27" t="inlineStr">
        <is>
          <t>FD08-a 丢失一个FP/SIMD uop；FD08-b 重复一个uop；FD08-c 互换uop顺序；FD08-d 提前last-uop</t>
        </is>
      </c>
      <c r="AR197" s="39" t="n"/>
      <c r="AS197" s="39">
        <f>IFERROR(AR197/Q197,0)</f>
        <v/>
      </c>
      <c r="AT197" s="39" t="n">
        <v>30</v>
      </c>
      <c r="AU197" s="39" t="n">
        <v>385</v>
      </c>
      <c r="AV197" s="39" t="inlineStr">
        <is>
          <t>常规</t>
        </is>
      </c>
      <c r="AW197" s="39" t="inlineStr">
        <is>
          <t>累计至少385，不机械扩展到2401</t>
        </is>
      </c>
    </row>
    <row r="198" ht="118.0500030517578" customHeight="1">
      <c r="A198" s="6" t="inlineStr">
        <is>
          <t>FD09-F0-W8</t>
        </is>
      </c>
      <c r="B198" s="6" t="inlineStr">
        <is>
          <t>FD09</t>
        </is>
      </c>
      <c r="C198" s="6" t="inlineStr">
        <is>
          <t>FP/SIMD Decode</t>
        </is>
      </c>
      <c r="D198" s="6" t="inlineStr">
        <is>
          <t>decode valid/ready与输出锁存器，仅筛选FP/SIMD动态指令。</t>
        </is>
      </c>
      <c r="E198" s="6" t="inlineStr">
        <is>
          <t>时序</t>
        </is>
      </c>
      <c r="F198" s="6" t="inlineStr">
        <is>
          <t>提前读取旧FP tuple、延后、丢失或重复一次decode结果。绑定一个动态指令/事件ID，提前、延后、丢失、重复分开执行；数据载荷保持正确。仅当下游因此读取旧值、漏发、重复或改变顺序时计activated。触发：连续两条FP/SIMD指令且tuple不同。</t>
        </is>
      </c>
      <c r="G198" s="6" t="inlineStr">
        <is>
          <t>F0</t>
        </is>
      </c>
      <c r="H198" s="6" t="inlineStr">
        <is>
          <t>每次运行只注入1次；warm-up后在 eligible event 中均匀抽样</t>
        </is>
      </c>
      <c r="I198" s="6" t="inlineStr">
        <is>
          <t>W8 FP-ScalarProbe</t>
        </is>
      </c>
      <c r="J198" s="6" t="inlineStr">
        <is>
          <t>FP-ScalarProbe（自设定向负载）
执行定义与oracle：FP32/FP64 add/mul/div/sqrt/FMA、NaN/Inf/±0/subnormal、四种舍入、FP exception；位级结果与 FPSR/FPCR oracle</t>
        </is>
      </c>
      <c r="K198" s="6" t="inlineStr">
        <is>
          <t>连续两条FP/SIMD指令且tuple不同</t>
        </is>
      </c>
      <c r="L198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98" s="6" t="inlineStr">
        <is>
          <t>旧tuple复用可能导致合法错误执行；延后多为性能损失，丢失/重复可能破坏ROB计数</t>
        </is>
      </c>
      <c r="N198" s="6" t="inlineStr">
        <is>
          <t>将DelayAVF思想映射到周期级事件</t>
        </is>
      </c>
      <c r="O198" s="6" t="inlineStr">
        <is>
          <t>MICRO24方法论类比</t>
        </is>
      </c>
      <c r="P198" s="9" t="n"/>
      <c r="Q198" s="9" t="n"/>
      <c r="R198" s="9" t="n"/>
      <c r="S198" s="9" t="n"/>
      <c r="T198" s="9" t="n"/>
      <c r="U198" s="9" t="n"/>
      <c r="V198" s="9" t="n"/>
      <c r="W198" s="9" t="n"/>
      <c r="X198" s="12">
        <f>IF(OR(R198="",R198-AP198&lt;=0),"",AB198/(R198-AP198))</f>
        <v/>
      </c>
      <c r="Y198" s="12">
        <f>IFERROR(R198/AR198,0)</f>
        <v/>
      </c>
      <c r="Z198" s="9" t="inlineStr">
        <is>
          <t>待执行</t>
        </is>
      </c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12">
        <f>IF(OR(R198="",R198-AP198&lt;=0),"",AO198/(R198-AP198))</f>
        <v/>
      </c>
      <c r="AM198" s="11">
        <f>IF(R198="","",SUM(AC198:AF198)-(R198-AP198))</f>
        <v/>
      </c>
      <c r="AN198" s="11">
        <f>IF(R198="","",SUM(S198:W198)+AP198-R198)</f>
        <v/>
      </c>
      <c r="AO198" s="9" t="n"/>
      <c r="AP198" s="9" t="n"/>
      <c r="AQ198" s="27" t="inlineStr">
        <is>
          <t>FD09-a 提前读取旧FP tuple；FD09-b 延后decode结果；FD09-c 丢失decode结果；FD09-d 重复decode结果</t>
        </is>
      </c>
      <c r="AR198" s="39" t="n"/>
      <c r="AS198" s="39">
        <f>IFERROR(AR198/Q198,0)</f>
        <v/>
      </c>
      <c r="AT198" s="39" t="n">
        <v>30</v>
      </c>
      <c r="AU198" s="39" t="n">
        <v>385</v>
      </c>
      <c r="AV198" s="39" t="inlineStr">
        <is>
          <t>常规</t>
        </is>
      </c>
      <c r="AW198" s="39" t="inlineStr">
        <is>
          <t>累计至少385，不机械扩展到2401</t>
        </is>
      </c>
    </row>
    <row r="199" ht="118.0500030517578" customHeight="1">
      <c r="A199" s="6" t="inlineStr">
        <is>
          <t>FD09-F0-W9</t>
        </is>
      </c>
      <c r="B199" s="6" t="inlineStr">
        <is>
          <t>FD09</t>
        </is>
      </c>
      <c r="C199" s="6" t="inlineStr">
        <is>
          <t>FP/SIMD Decode</t>
        </is>
      </c>
      <c r="D199" s="6" t="inlineStr">
        <is>
          <t>decode valid/ready与输出锁存器，仅筛选FP/SIMD动态指令。</t>
        </is>
      </c>
      <c r="E199" s="6" t="inlineStr">
        <is>
          <t>时序</t>
        </is>
      </c>
      <c r="F199" s="6" t="inlineStr">
        <is>
          <t>提前读取旧FP tuple、延后、丢失或重复一次decode结果。绑定一个动态指令/事件ID，提前、延后、丢失、重复分开执行；数据载荷保持正确。仅当下游因此读取旧值、漏发、重复或改变顺序时计activated。触发：连续两条FP/SIMD指令且tuple不同。</t>
        </is>
      </c>
      <c r="G199" s="6" t="inlineStr">
        <is>
          <t>F0</t>
        </is>
      </c>
      <c r="H199" s="6" t="inlineStr">
        <is>
          <t>每次运行只注入1次；warm-up后在 eligible event 中均匀抽样</t>
        </is>
      </c>
      <c r="I199" s="6" t="inlineStr">
        <is>
          <t>W9 NEON-LaneProbe</t>
        </is>
      </c>
      <c r="J199" s="6" t="inlineStr">
        <is>
          <t>NEON-LaneProbe（自设定向负载）
执行定义与oracle：8/16/32/64-bit lane、整数/浮点 AdvSIMD、lane extract/insert、widen/narrow、permute、reduce；逐 lane 比对</t>
        </is>
      </c>
      <c r="K199" s="6" t="inlineStr">
        <is>
          <t>连续两条FP/SIMD指令且tuple不同</t>
        </is>
      </c>
      <c r="L199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199" s="6" t="inlineStr">
        <is>
          <t>旧tuple复用可能导致合法错误执行；延后多为性能损失，丢失/重复可能破坏ROB计数</t>
        </is>
      </c>
      <c r="N199" s="6" t="inlineStr">
        <is>
          <t>将DelayAVF思想映射到周期级事件</t>
        </is>
      </c>
      <c r="O199" s="6" t="inlineStr">
        <is>
          <t>MICRO24方法论类比</t>
        </is>
      </c>
      <c r="P199" s="9" t="n"/>
      <c r="Q199" s="9" t="n"/>
      <c r="R199" s="9" t="n"/>
      <c r="S199" s="9" t="n"/>
      <c r="T199" s="9" t="n"/>
      <c r="U199" s="9" t="n"/>
      <c r="V199" s="9" t="n"/>
      <c r="W199" s="9" t="n"/>
      <c r="X199" s="12">
        <f>IF(OR(R199="",R199-AP199&lt;=0),"",AB199/(R199-AP199))</f>
        <v/>
      </c>
      <c r="Y199" s="12">
        <f>IFERROR(R199/AR199,0)</f>
        <v/>
      </c>
      <c r="Z199" s="9" t="inlineStr">
        <is>
          <t>待执行</t>
        </is>
      </c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12">
        <f>IF(OR(R199="",R199-AP199&lt;=0),"",AO199/(R199-AP199))</f>
        <v/>
      </c>
      <c r="AM199" s="11">
        <f>IF(R199="","",SUM(AC199:AF199)-(R199-AP199))</f>
        <v/>
      </c>
      <c r="AN199" s="11">
        <f>IF(R199="","",SUM(S199:W199)+AP199-R199)</f>
        <v/>
      </c>
      <c r="AO199" s="9" t="n"/>
      <c r="AP199" s="9" t="n"/>
      <c r="AQ199" s="27" t="inlineStr">
        <is>
          <t>FD09-a 提前读取旧FP tuple；FD09-b 延后decode结果；FD09-c 丢失decode结果；FD09-d 重复decode结果</t>
        </is>
      </c>
      <c r="AR199" s="39" t="n"/>
      <c r="AS199" s="39">
        <f>IFERROR(AR199/Q199,0)</f>
        <v/>
      </c>
      <c r="AT199" s="39" t="n">
        <v>30</v>
      </c>
      <c r="AU199" s="39" t="n">
        <v>385</v>
      </c>
      <c r="AV199" s="39" t="inlineStr">
        <is>
          <t>常规</t>
        </is>
      </c>
      <c r="AW199" s="39" t="inlineStr">
        <is>
          <t>累计至少385，不机械扩展到2401</t>
        </is>
      </c>
    </row>
    <row r="200" ht="118.0500030517578" customHeight="1">
      <c r="A200" s="6" t="inlineStr">
        <is>
          <t>FD09-F4-W8</t>
        </is>
      </c>
      <c r="B200" s="6" t="inlineStr">
        <is>
          <t>FD09</t>
        </is>
      </c>
      <c r="C200" s="6" t="inlineStr">
        <is>
          <t>FP/SIMD Decode</t>
        </is>
      </c>
      <c r="D200" s="6" t="inlineStr">
        <is>
          <t>decode valid/ready与输出锁存器，仅筛选FP/SIMD动态指令。</t>
        </is>
      </c>
      <c r="E200" s="6" t="inlineStr">
        <is>
          <t>时序</t>
        </is>
      </c>
      <c r="F200" s="6" t="inlineStr">
        <is>
          <t>提前读取旧FP tuple、延后、丢失或重复一次decode结果。绑定一个动态指令/事件ID，提前、延后、丢失、重复分开执行；数据载荷保持正确。仅当下游因此读取旧值、漏发、重复或改变顺序时计activated。触发：连续两条FP/SIMD指令且tuple不同。</t>
        </is>
      </c>
      <c r="G200" s="6" t="inlineStr">
        <is>
          <t>F4</t>
        </is>
      </c>
      <c r="H200" s="6" t="inlineStr">
        <is>
          <t>每100,000个 eligible events 触发一次，连续污染2-4个 eligible events</t>
        </is>
      </c>
      <c r="I200" s="6" t="inlineStr">
        <is>
          <t>W8 FP-ScalarProbe</t>
        </is>
      </c>
      <c r="J200" s="6" t="inlineStr">
        <is>
          <t>FP-ScalarProbe（自设定向负载）
执行定义与oracle：FP32/FP64 add/mul/div/sqrt/FMA、NaN/Inf/±0/subnormal、四种舍入、FP exception；位级结果与 FPSR/FPCR oracle</t>
        </is>
      </c>
      <c r="K200" s="6" t="inlineStr">
        <is>
          <t>连续两条FP/SIMD指令且tuple不同</t>
        </is>
      </c>
      <c r="L200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200" s="6" t="inlineStr">
        <is>
          <t>旧tuple复用可能导致合法错误执行；延后多为性能损失，丢失/重复可能破坏ROB计数</t>
        </is>
      </c>
      <c r="N200" s="6" t="inlineStr">
        <is>
          <t>将DelayAVF思想映射到周期级事件</t>
        </is>
      </c>
      <c r="O200" s="6" t="inlineStr">
        <is>
          <t>MICRO24方法论类比</t>
        </is>
      </c>
      <c r="P200" s="9" t="n"/>
      <c r="Q200" s="9" t="n"/>
      <c r="R200" s="9" t="n"/>
      <c r="S200" s="9" t="n"/>
      <c r="T200" s="9" t="n"/>
      <c r="U200" s="9" t="n"/>
      <c r="V200" s="9" t="n"/>
      <c r="W200" s="9" t="n"/>
      <c r="X200" s="12">
        <f>IF(OR(R200="",R200-AP200&lt;=0),"",AB200/(R200-AP200))</f>
        <v/>
      </c>
      <c r="Y200" s="12">
        <f>IFERROR(R200/AR200,0)</f>
        <v/>
      </c>
      <c r="Z200" s="9" t="inlineStr">
        <is>
          <t>待执行</t>
        </is>
      </c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12">
        <f>IF(OR(R200="",R200-AP200&lt;=0),"",AO200/(R200-AP200))</f>
        <v/>
      </c>
      <c r="AM200" s="11">
        <f>IF(R200="","",SUM(AC200:AF200)-(R200-AP200))</f>
        <v/>
      </c>
      <c r="AN200" s="11">
        <f>IF(R200="","",SUM(S200:W200)+AP200-R200)</f>
        <v/>
      </c>
      <c r="AO200" s="9" t="n"/>
      <c r="AP200" s="9" t="n"/>
      <c r="AQ200" s="27" t="inlineStr">
        <is>
          <t>FD09-a 提前读取旧FP tuple；FD09-b 延后decode结果；FD09-c 丢失decode结果；FD09-d 重复decode结果</t>
        </is>
      </c>
      <c r="AR200" s="39" t="n"/>
      <c r="AS200" s="39">
        <f>IFERROR(AR200/Q200,0)</f>
        <v/>
      </c>
      <c r="AT200" s="39" t="n">
        <v>30</v>
      </c>
      <c r="AU200" s="39" t="n">
        <v>385</v>
      </c>
      <c r="AV200" s="39" t="inlineStr">
        <is>
          <t>常规</t>
        </is>
      </c>
      <c r="AW200" s="39" t="inlineStr">
        <is>
          <t>累计至少385，不机械扩展到2401</t>
        </is>
      </c>
    </row>
    <row r="201" ht="118.0500030517578" customHeight="1">
      <c r="A201" s="6" t="inlineStr">
        <is>
          <t>FD09-F4-W9</t>
        </is>
      </c>
      <c r="B201" s="6" t="inlineStr">
        <is>
          <t>FD09</t>
        </is>
      </c>
      <c r="C201" s="6" t="inlineStr">
        <is>
          <t>FP/SIMD Decode</t>
        </is>
      </c>
      <c r="D201" s="6" t="inlineStr">
        <is>
          <t>decode valid/ready与输出锁存器，仅筛选FP/SIMD动态指令。</t>
        </is>
      </c>
      <c r="E201" s="6" t="inlineStr">
        <is>
          <t>时序</t>
        </is>
      </c>
      <c r="F201" s="6" t="inlineStr">
        <is>
          <t>提前读取旧FP tuple、延后、丢失或重复一次decode结果。绑定一个动态指令/事件ID，提前、延后、丢失、重复分开执行；数据载荷保持正确。仅当下游因此读取旧值、漏发、重复或改变顺序时计activated。触发：连续两条FP/SIMD指令且tuple不同。</t>
        </is>
      </c>
      <c r="G201" s="6" t="inlineStr">
        <is>
          <t>F4</t>
        </is>
      </c>
      <c r="H201" s="6" t="inlineStr">
        <is>
          <t>每100,000个 eligible events 触发一次，连续污染2-4个 eligible events</t>
        </is>
      </c>
      <c r="I201" s="6" t="inlineStr">
        <is>
          <t>W9 NEON-LaneProbe</t>
        </is>
      </c>
      <c r="J201" s="6" t="inlineStr">
        <is>
          <t>NEON-LaneProbe（自设定向负载）
执行定义与oracle：8/16/32/64-bit lane、整数/浮点 AdvSIMD、lane extract/insert、widen/narrow、permute、reduce；逐 lane 比对</t>
        </is>
      </c>
      <c r="K201" s="6" t="inlineStr">
        <is>
          <t>连续两条FP/SIMD指令且tuple不同</t>
        </is>
      </c>
      <c r="L201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201" s="6" t="inlineStr">
        <is>
          <t>旧tuple复用可能导致合法错误执行；延后多为性能损失，丢失/重复可能破坏ROB计数</t>
        </is>
      </c>
      <c r="N201" s="6" t="inlineStr">
        <is>
          <t>将DelayAVF思想映射到周期级事件</t>
        </is>
      </c>
      <c r="O201" s="6" t="inlineStr">
        <is>
          <t>MICRO24方法论类比</t>
        </is>
      </c>
      <c r="P201" s="9" t="n"/>
      <c r="Q201" s="9" t="n"/>
      <c r="R201" s="9" t="n"/>
      <c r="S201" s="9" t="n"/>
      <c r="T201" s="9" t="n"/>
      <c r="U201" s="9" t="n"/>
      <c r="V201" s="9" t="n"/>
      <c r="W201" s="9" t="n"/>
      <c r="X201" s="12">
        <f>IF(OR(R201="",R201-AP201&lt;=0),"",AB201/(R201-AP201))</f>
        <v/>
      </c>
      <c r="Y201" s="12">
        <f>IFERROR(R201/AR201,0)</f>
        <v/>
      </c>
      <c r="Z201" s="9" t="inlineStr">
        <is>
          <t>待执行</t>
        </is>
      </c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12">
        <f>IF(OR(R201="",R201-AP201&lt;=0),"",AO201/(R201-AP201))</f>
        <v/>
      </c>
      <c r="AM201" s="11">
        <f>IF(R201="","",SUM(AC201:AF201)-(R201-AP201))</f>
        <v/>
      </c>
      <c r="AN201" s="11">
        <f>IF(R201="","",SUM(S201:W201)+AP201-R201)</f>
        <v/>
      </c>
      <c r="AO201" s="9" t="n"/>
      <c r="AP201" s="9" t="n"/>
      <c r="AQ201" s="27" t="inlineStr">
        <is>
          <t>FD09-a 提前读取旧FP tuple；FD09-b 延后decode结果；FD09-c 丢失decode结果；FD09-d 重复decode结果</t>
        </is>
      </c>
      <c r="AR201" s="39" t="n"/>
      <c r="AS201" s="39">
        <f>IFERROR(AR201/Q201,0)</f>
        <v/>
      </c>
      <c r="AT201" s="39" t="n">
        <v>30</v>
      </c>
      <c r="AU201" s="39" t="n">
        <v>385</v>
      </c>
      <c r="AV201" s="39" t="inlineStr">
        <is>
          <t>常规</t>
        </is>
      </c>
      <c r="AW201" s="39" t="inlineStr">
        <is>
          <t>累计至少385，不机械扩展到2401</t>
        </is>
      </c>
    </row>
    <row r="202" ht="118.0500030517578" customHeight="1">
      <c r="A202" s="6" t="inlineStr">
        <is>
          <t>FD09-F6-W8</t>
        </is>
      </c>
      <c r="B202" s="6" t="inlineStr">
        <is>
          <t>FD09</t>
        </is>
      </c>
      <c r="C202" s="6" t="inlineStr">
        <is>
          <t>FP/SIMD Decode</t>
        </is>
      </c>
      <c r="D202" s="6" t="inlineStr">
        <is>
          <t>decode valid/ready与输出锁存器，仅筛选FP/SIMD动态指令。</t>
        </is>
      </c>
      <c r="E202" s="6" t="inlineStr">
        <is>
          <t>时序</t>
        </is>
      </c>
      <c r="F202" s="6" t="inlineStr">
        <is>
          <t>提前读取旧FP tuple、延后、丢失或重复一次decode结果。绑定一个动态指令/事件ID，提前、延后、丢失、重复分开执行；数据载荷保持正确。仅当下游因此读取旧值、漏发、重复或改变顺序时计activated。触发：连续两条FP/SIMD指令且tuple不同。</t>
        </is>
      </c>
      <c r="G202" s="6" t="inlineStr">
        <is>
          <t>F6</t>
        </is>
      </c>
      <c r="H202" s="6" t="inlineStr">
        <is>
          <t>首次出现指定稀有事件时注入1次，保证结构化模型被激活</t>
        </is>
      </c>
      <c r="I202" s="6" t="inlineStr">
        <is>
          <t>W8 FP-ScalarProbe</t>
        </is>
      </c>
      <c r="J202" s="6" t="inlineStr">
        <is>
          <t>FP-ScalarProbe（自设定向负载）
执行定义与oracle：FP32/FP64 add/mul/div/sqrt/FMA、NaN/Inf/±0/subnormal、四种舍入、FP exception；位级结果与 FPSR/FPCR oracle</t>
        </is>
      </c>
      <c r="K202" s="6" t="inlineStr">
        <is>
          <t>连续两条FP/SIMD指令且tuple不同</t>
        </is>
      </c>
      <c r="L202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202" s="6" t="inlineStr">
        <is>
          <t>旧tuple复用可能导致合法错误执行；延后多为性能损失，丢失/重复可能破坏ROB计数</t>
        </is>
      </c>
      <c r="N202" s="6" t="inlineStr">
        <is>
          <t>将DelayAVF思想映射到周期级事件</t>
        </is>
      </c>
      <c r="O202" s="6" t="inlineStr">
        <is>
          <t>MICRO24方法论类比</t>
        </is>
      </c>
      <c r="P202" s="9" t="n"/>
      <c r="Q202" s="9" t="n"/>
      <c r="R202" s="9" t="n"/>
      <c r="S202" s="9" t="n"/>
      <c r="T202" s="9" t="n"/>
      <c r="U202" s="9" t="n"/>
      <c r="V202" s="9" t="n"/>
      <c r="W202" s="9" t="n"/>
      <c r="X202" s="12">
        <f>IF(OR(R202="",R202-AP202&lt;=0),"",AB202/(R202-AP202))</f>
        <v/>
      </c>
      <c r="Y202" s="12">
        <f>IFERROR(R202/AR202,0)</f>
        <v/>
      </c>
      <c r="Z202" s="9" t="inlineStr">
        <is>
          <t>待执行</t>
        </is>
      </c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12">
        <f>IF(OR(R202="",R202-AP202&lt;=0),"",AO202/(R202-AP202))</f>
        <v/>
      </c>
      <c r="AM202" s="11">
        <f>IF(R202="","",SUM(AC202:AF202)-(R202-AP202))</f>
        <v/>
      </c>
      <c r="AN202" s="11">
        <f>IF(R202="","",SUM(S202:W202)+AP202-R202)</f>
        <v/>
      </c>
      <c r="AO202" s="9" t="n"/>
      <c r="AP202" s="9" t="n"/>
      <c r="AQ202" s="27" t="inlineStr">
        <is>
          <t>FD09-a 提前读取旧FP tuple；FD09-b 延后decode结果；FD09-c 丢失decode结果；FD09-d 重复decode结果</t>
        </is>
      </c>
      <c r="AR202" s="39" t="n"/>
      <c r="AS202" s="39">
        <f>IFERROR(AR202/Q202,0)</f>
        <v/>
      </c>
      <c r="AT202" s="39" t="n">
        <v>30</v>
      </c>
      <c r="AU202" s="39" t="n">
        <v>385</v>
      </c>
      <c r="AV202" s="39" t="inlineStr">
        <is>
          <t>常规</t>
        </is>
      </c>
      <c r="AW202" s="39" t="inlineStr">
        <is>
          <t>累计至少385，不机械扩展到2401</t>
        </is>
      </c>
    </row>
    <row r="203" ht="118.0500030517578" customHeight="1">
      <c r="A203" s="6" t="inlineStr">
        <is>
          <t>FD09-F6-W9</t>
        </is>
      </c>
      <c r="B203" s="6" t="inlineStr">
        <is>
          <t>FD09</t>
        </is>
      </c>
      <c r="C203" s="6" t="inlineStr">
        <is>
          <t>FP/SIMD Decode</t>
        </is>
      </c>
      <c r="D203" s="6" t="inlineStr">
        <is>
          <t>decode valid/ready与输出锁存器，仅筛选FP/SIMD动态指令。</t>
        </is>
      </c>
      <c r="E203" s="6" t="inlineStr">
        <is>
          <t>时序</t>
        </is>
      </c>
      <c r="F203" s="6" t="inlineStr">
        <is>
          <t>提前读取旧FP tuple、延后、丢失或重复一次decode结果。绑定一个动态指令/事件ID，提前、延后、丢失、重复分开执行；数据载荷保持正确。仅当下游因此读取旧值、漏发、重复或改变顺序时计activated。触发：连续两条FP/SIMD指令且tuple不同。</t>
        </is>
      </c>
      <c r="G203" s="6" t="inlineStr">
        <is>
          <t>F6</t>
        </is>
      </c>
      <c r="H203" s="6" t="inlineStr">
        <is>
          <t>首次出现指定稀有事件时注入1次，保证结构化模型被激活</t>
        </is>
      </c>
      <c r="I203" s="6" t="inlineStr">
        <is>
          <t>W9 NEON-LaneProbe</t>
        </is>
      </c>
      <c r="J203" s="6" t="inlineStr">
        <is>
          <t>NEON-LaneProbe（自设定向负载）
执行定义与oracle：8/16/32/64-bit lane、整数/浮点 AdvSIMD、lane extract/insert、widen/narrow、permute、reduce；逐 lane 比对</t>
        </is>
      </c>
      <c r="K203" s="6" t="inlineStr">
        <is>
          <t>连续两条FP/SIMD指令且tuple不同</t>
        </is>
      </c>
      <c r="L203" s="6" t="inlineStr">
        <is>
          <t>L0 eligible/activated；L1 指令字与FP/SIMD decode tuple(opClass、scalar/vector、element width、lane、rounding、uop数)；L2 FP/Vec rename输入；L3 FU/lane结果与FPSR；L4逐提交V寄存器/FPSR；L5检测与结局</t>
        </is>
      </c>
      <c r="M203" s="6" t="inlineStr">
        <is>
          <t>旧tuple复用可能导致合法错误执行；延后多为性能损失，丢失/重复可能破坏ROB计数</t>
        </is>
      </c>
      <c r="N203" s="6" t="inlineStr">
        <is>
          <t>将DelayAVF思想映射到周期级事件</t>
        </is>
      </c>
      <c r="O203" s="6" t="inlineStr">
        <is>
          <t>MICRO24方法论类比</t>
        </is>
      </c>
      <c r="P203" s="9" t="n"/>
      <c r="Q203" s="9" t="n"/>
      <c r="R203" s="9" t="n"/>
      <c r="S203" s="9" t="n"/>
      <c r="T203" s="9" t="n"/>
      <c r="U203" s="9" t="n"/>
      <c r="V203" s="9" t="n"/>
      <c r="W203" s="9" t="n"/>
      <c r="X203" s="12">
        <f>IF(OR(R203="",R203-AP203&lt;=0),"",AB203/(R203-AP203))</f>
        <v/>
      </c>
      <c r="Y203" s="12">
        <f>IFERROR(R203/AR203,0)</f>
        <v/>
      </c>
      <c r="Z203" s="9" t="inlineStr">
        <is>
          <t>待执行</t>
        </is>
      </c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12">
        <f>IF(OR(R203="",R203-AP203&lt;=0),"",AO203/(R203-AP203))</f>
        <v/>
      </c>
      <c r="AM203" s="11">
        <f>IF(R203="","",SUM(AC203:AF203)-(R203-AP203))</f>
        <v/>
      </c>
      <c r="AN203" s="11">
        <f>IF(R203="","",SUM(S203:W203)+AP203-R203)</f>
        <v/>
      </c>
      <c r="AO203" s="9" t="n"/>
      <c r="AP203" s="9" t="n"/>
      <c r="AQ203" s="27" t="inlineStr">
        <is>
          <t>FD09-a 提前读取旧FP tuple；FD09-b 延后decode结果；FD09-c 丢失decode结果；FD09-d 重复decode结果</t>
        </is>
      </c>
      <c r="AR203" s="39" t="n"/>
      <c r="AS203" s="39">
        <f>IFERROR(AR203/Q203,0)</f>
        <v/>
      </c>
      <c r="AT203" s="39" t="n">
        <v>30</v>
      </c>
      <c r="AU203" s="39" t="n">
        <v>385</v>
      </c>
      <c r="AV203" s="39" t="inlineStr">
        <is>
          <t>常规</t>
        </is>
      </c>
      <c r="AW203" s="39" t="inlineStr">
        <is>
          <t>累计至少385，不机械扩展到2401</t>
        </is>
      </c>
    </row>
    <row r="204" ht="118.0500030517578" customHeight="1">
      <c r="A204" s="6" t="inlineStr">
        <is>
          <t>FR01-F0-W8</t>
        </is>
      </c>
      <c r="B204" s="6" t="inlineStr">
        <is>
          <t>FR01</t>
        </is>
      </c>
      <c r="C204" s="6" t="inlineStr">
        <is>
          <t>FP/SIMD Rename</t>
        </is>
      </c>
      <c r="D204" s="6" t="inlineStr">
        <is>
          <t>FP或Vec speculative RAT的V寄存器→物理寄存器映射项。</t>
        </is>
      </c>
      <c r="E204" s="6" t="inlineStr">
        <is>
          <t>单比特翻转</t>
        </is>
      </c>
      <c r="F204" s="6" t="inlineStr">
        <is>
          <t>在源查表或目的重命名前翻转一个当前FP/Vec物理tag bit。每次运行只选一个当前有效字段，在字段内均匀抽1 bit做XOR；保存动态指令ID、原值、故障值和bit编号。仅当故障字段被下游读取/选择/用于状态转移时计activated。触发：目标V寄存器有有效映射。</t>
        </is>
      </c>
      <c r="G204" s="6" t="inlineStr">
        <is>
          <t>F0</t>
        </is>
      </c>
      <c r="H204" s="6" t="inlineStr">
        <is>
          <t>每次运行只注入1次；warm-up后在 eligible event 中均匀抽样</t>
        </is>
      </c>
      <c r="I204" s="6" t="inlineStr">
        <is>
          <t>W8 FP-ScalarProbe</t>
        </is>
      </c>
      <c r="J204" s="6" t="inlineStr">
        <is>
          <t>FP-ScalarProbe（自设定向负载）
执行定义与oracle：FP32/FP64 add/mul/div/sqrt/FMA、NaN/Inf/±0/subnormal、四种舍入、FP exception；位级结果与 FPSR/FPCR oracle</t>
        </is>
      </c>
      <c r="K204" s="6" t="inlineStr">
        <is>
          <t>目标V寄存器有有效映射</t>
        </is>
      </c>
      <c r="L204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04" s="6" t="inlineStr">
        <is>
          <t>翻到活跃合法tag时产生错误整向量/标量并SDC；空闲tag多为依赖失败</t>
        </is>
      </c>
      <c r="N204" s="6" t="inlineStr">
        <is>
          <t>FP/Vec RAT瞬态基线</t>
        </is>
      </c>
      <c r="O204" s="6" t="inlineStr">
        <is>
          <t>无直接研究；Int RAT机制类比</t>
        </is>
      </c>
      <c r="P204" s="9" t="n"/>
      <c r="Q204" s="9" t="n"/>
      <c r="R204" s="9" t="n"/>
      <c r="S204" s="9" t="n"/>
      <c r="T204" s="9" t="n"/>
      <c r="U204" s="9" t="n"/>
      <c r="V204" s="9" t="n"/>
      <c r="W204" s="9" t="n"/>
      <c r="X204" s="12">
        <f>IF(OR(R204="",R204-AP204&lt;=0),"",AB204/(R204-AP204))</f>
        <v/>
      </c>
      <c r="Y204" s="12">
        <f>IFERROR(R204/AR204,0)</f>
        <v/>
      </c>
      <c r="Z204" s="9" t="inlineStr">
        <is>
          <t>待执行</t>
        </is>
      </c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12">
        <f>IF(OR(R204="",R204-AP204&lt;=0),"",AO204/(R204-AP204))</f>
        <v/>
      </c>
      <c r="AM204" s="11">
        <f>IF(R204="","",SUM(AC204:AF204)-(R204-AP204))</f>
        <v/>
      </c>
      <c r="AN204" s="11">
        <f>IF(R204="","",SUM(S204:W204)+AP204-R204)</f>
        <v/>
      </c>
      <c r="AO204" s="9" t="n"/>
      <c r="AP204" s="9" t="n"/>
      <c r="AQ204" s="27" t="inlineStr">
        <is>
          <t>FR01-a FP RAT源映射tag bit；FR01-b Vec RAT源映射tag bit；FR01-c 目的映射tag bit</t>
        </is>
      </c>
      <c r="AR204" s="39" t="n"/>
      <c r="AS204" s="39">
        <f>IFERROR(AR204/Q204,0)</f>
        <v/>
      </c>
      <c r="AT204" s="39" t="n">
        <v>30</v>
      </c>
      <c r="AU204" s="39" t="n">
        <v>385</v>
      </c>
      <c r="AV204" s="39" t="inlineStr">
        <is>
          <t>常规</t>
        </is>
      </c>
      <c r="AW204" s="39" t="inlineStr">
        <is>
          <t>累计至少385，不机械扩展到2401</t>
        </is>
      </c>
    </row>
    <row r="205" ht="118.0500030517578" customHeight="1">
      <c r="A205" s="6" t="inlineStr">
        <is>
          <t>FR01-F0-W9</t>
        </is>
      </c>
      <c r="B205" s="6" t="inlineStr">
        <is>
          <t>FR01</t>
        </is>
      </c>
      <c r="C205" s="6" t="inlineStr">
        <is>
          <t>FP/SIMD Rename</t>
        </is>
      </c>
      <c r="D205" s="6" t="inlineStr">
        <is>
          <t>FP或Vec speculative RAT的V寄存器→物理寄存器映射项。</t>
        </is>
      </c>
      <c r="E205" s="6" t="inlineStr">
        <is>
          <t>单比特翻转</t>
        </is>
      </c>
      <c r="F205" s="6" t="inlineStr">
        <is>
          <t>在源查表或目的重命名前翻转一个当前FP/Vec物理tag bit。每次运行只选一个当前有效字段，在字段内均匀抽1 bit做XOR；保存动态指令ID、原值、故障值和bit编号。仅当故障字段被下游读取/选择/用于状态转移时计activated。触发：目标V寄存器有有效映射。</t>
        </is>
      </c>
      <c r="G205" s="6" t="inlineStr">
        <is>
          <t>F0</t>
        </is>
      </c>
      <c r="H205" s="6" t="inlineStr">
        <is>
          <t>每次运行只注入1次；warm-up后在 eligible event 中均匀抽样</t>
        </is>
      </c>
      <c r="I205" s="6" t="inlineStr">
        <is>
          <t>W9 NEON-LaneProbe</t>
        </is>
      </c>
      <c r="J205" s="6" t="inlineStr">
        <is>
          <t>NEON-LaneProbe（自设定向负载）
执行定义与oracle：8/16/32/64-bit lane、整数/浮点 AdvSIMD、lane extract/insert、widen/narrow、permute、reduce；逐 lane 比对</t>
        </is>
      </c>
      <c r="K205" s="6" t="inlineStr">
        <is>
          <t>目标V寄存器有有效映射</t>
        </is>
      </c>
      <c r="L205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05" s="6" t="inlineStr">
        <is>
          <t>翻到活跃合法tag时产生错误整向量/标量并SDC；空闲tag多为依赖失败</t>
        </is>
      </c>
      <c r="N205" s="6" t="inlineStr">
        <is>
          <t>FP/Vec RAT瞬态基线</t>
        </is>
      </c>
      <c r="O205" s="6" t="inlineStr">
        <is>
          <t>无直接研究；Int RAT机制类比</t>
        </is>
      </c>
      <c r="P205" s="9" t="n"/>
      <c r="Q205" s="9" t="n"/>
      <c r="R205" s="9" t="n"/>
      <c r="S205" s="9" t="n"/>
      <c r="T205" s="9" t="n"/>
      <c r="U205" s="9" t="n"/>
      <c r="V205" s="9" t="n"/>
      <c r="W205" s="9" t="n"/>
      <c r="X205" s="12">
        <f>IF(OR(R205="",R205-AP205&lt;=0),"",AB205/(R205-AP205))</f>
        <v/>
      </c>
      <c r="Y205" s="12">
        <f>IFERROR(R205/AR205,0)</f>
        <v/>
      </c>
      <c r="Z205" s="9" t="inlineStr">
        <is>
          <t>待执行</t>
        </is>
      </c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12">
        <f>IF(OR(R205="",R205-AP205&lt;=0),"",AO205/(R205-AP205))</f>
        <v/>
      </c>
      <c r="AM205" s="11">
        <f>IF(R205="","",SUM(AC205:AF205)-(R205-AP205))</f>
        <v/>
      </c>
      <c r="AN205" s="11">
        <f>IF(R205="","",SUM(S205:W205)+AP205-R205)</f>
        <v/>
      </c>
      <c r="AO205" s="9" t="n"/>
      <c r="AP205" s="9" t="n"/>
      <c r="AQ205" s="27" t="inlineStr">
        <is>
          <t>FR01-a FP RAT源映射tag bit；FR01-b Vec RAT源映射tag bit；FR01-c 目的映射tag bit</t>
        </is>
      </c>
      <c r="AR205" s="39" t="n"/>
      <c r="AS205" s="39">
        <f>IFERROR(AR205/Q205,0)</f>
        <v/>
      </c>
      <c r="AT205" s="39" t="n">
        <v>30</v>
      </c>
      <c r="AU205" s="39" t="n">
        <v>2401</v>
      </c>
      <c r="AV205" s="39" t="inlineStr">
        <is>
          <t>预登记重点</t>
        </is>
      </c>
      <c r="AW205" s="39" t="inlineStr">
        <is>
          <t>累计2401（含pilot与前385），不得序贯停止</t>
        </is>
      </c>
    </row>
    <row r="206" ht="118.0500030517578" customHeight="1">
      <c r="A206" s="6" t="inlineStr">
        <is>
          <t>FR01-F1-W8</t>
        </is>
      </c>
      <c r="B206" s="6" t="inlineStr">
        <is>
          <t>FR01</t>
        </is>
      </c>
      <c r="C206" s="6" t="inlineStr">
        <is>
          <t>FP/SIMD Rename</t>
        </is>
      </c>
      <c r="D206" s="6" t="inlineStr">
        <is>
          <t>FP或Vec speculative RAT的V寄存器→物理寄存器映射项。</t>
        </is>
      </c>
      <c r="E206" s="6" t="inlineStr">
        <is>
          <t>单比特翻转</t>
        </is>
      </c>
      <c r="F206" s="6" t="inlineStr">
        <is>
          <t>在源查表或目的重命名前翻转一个当前FP/Vec物理tag bit。每次运行只选一个当前有效字段，在字段内均匀抽1 bit做XOR；保存动态指令ID、原值、故障值和bit编号。仅当故障字段被下游读取/选择/用于状态转移时计activated。触发：目标V寄存器有有效映射。</t>
        </is>
      </c>
      <c r="G206" s="6" t="inlineStr">
        <is>
          <t>F1</t>
        </is>
      </c>
      <c r="H206" s="6" t="inlineStr">
        <is>
          <t>平均每1,000,000个 eligible events 注入1次，间隔加入±50%抖动</t>
        </is>
      </c>
      <c r="I206" s="6" t="inlineStr">
        <is>
          <t>W8 FP-ScalarProbe</t>
        </is>
      </c>
      <c r="J206" s="6" t="inlineStr">
        <is>
          <t>FP-ScalarProbe（自设定向负载）
执行定义与oracle：FP32/FP64 add/mul/div/sqrt/FMA、NaN/Inf/±0/subnormal、四种舍入、FP exception；位级结果与 FPSR/FPCR oracle</t>
        </is>
      </c>
      <c r="K206" s="6" t="inlineStr">
        <is>
          <t>目标V寄存器有有效映射</t>
        </is>
      </c>
      <c r="L206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06" s="6" t="inlineStr">
        <is>
          <t>翻到活跃合法tag时产生错误整向量/标量并SDC；空闲tag多为依赖失败</t>
        </is>
      </c>
      <c r="N206" s="6" t="inlineStr">
        <is>
          <t>FP/Vec RAT瞬态基线</t>
        </is>
      </c>
      <c r="O206" s="6" t="inlineStr">
        <is>
          <t>无直接研究；Int RAT机制类比</t>
        </is>
      </c>
      <c r="P206" s="9" t="n"/>
      <c r="Q206" s="9" t="n"/>
      <c r="R206" s="9" t="n"/>
      <c r="S206" s="9" t="n"/>
      <c r="T206" s="9" t="n"/>
      <c r="U206" s="9" t="n"/>
      <c r="V206" s="9" t="n"/>
      <c r="W206" s="9" t="n"/>
      <c r="X206" s="12">
        <f>IF(OR(R206="",R206-AP206&lt;=0),"",AB206/(R206-AP206))</f>
        <v/>
      </c>
      <c r="Y206" s="12">
        <f>IFERROR(R206/AR206,0)</f>
        <v/>
      </c>
      <c r="Z206" s="9" t="inlineStr">
        <is>
          <t>待执行</t>
        </is>
      </c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12">
        <f>IF(OR(R206="",R206-AP206&lt;=0),"",AO206/(R206-AP206))</f>
        <v/>
      </c>
      <c r="AM206" s="11">
        <f>IF(R206="","",SUM(AC206:AF206)-(R206-AP206))</f>
        <v/>
      </c>
      <c r="AN206" s="11">
        <f>IF(R206="","",SUM(S206:W206)+AP206-R206)</f>
        <v/>
      </c>
      <c r="AO206" s="9" t="n"/>
      <c r="AP206" s="9" t="n"/>
      <c r="AQ206" s="27" t="inlineStr">
        <is>
          <t>FR01-a FP RAT源映射tag bit；FR01-b Vec RAT源映射tag bit；FR01-c 目的映射tag bit</t>
        </is>
      </c>
      <c r="AR206" s="39" t="n"/>
      <c r="AS206" s="39">
        <f>IFERROR(AR206/Q206,0)</f>
        <v/>
      </c>
      <c r="AT206" s="39" t="n">
        <v>30</v>
      </c>
      <c r="AU206" s="39" t="n">
        <v>385</v>
      </c>
      <c r="AV206" s="39" t="inlineStr">
        <is>
          <t>常规</t>
        </is>
      </c>
      <c r="AW206" s="39" t="inlineStr">
        <is>
          <t>累计至少385，不机械扩展到2401</t>
        </is>
      </c>
    </row>
    <row r="207" ht="118.0500030517578" customHeight="1">
      <c r="A207" s="6" t="inlineStr">
        <is>
          <t>FR01-F1-W9</t>
        </is>
      </c>
      <c r="B207" s="6" t="inlineStr">
        <is>
          <t>FR01</t>
        </is>
      </c>
      <c r="C207" s="6" t="inlineStr">
        <is>
          <t>FP/SIMD Rename</t>
        </is>
      </c>
      <c r="D207" s="6" t="inlineStr">
        <is>
          <t>FP或Vec speculative RAT的V寄存器→物理寄存器映射项。</t>
        </is>
      </c>
      <c r="E207" s="6" t="inlineStr">
        <is>
          <t>单比特翻转</t>
        </is>
      </c>
      <c r="F207" s="6" t="inlineStr">
        <is>
          <t>在源查表或目的重命名前翻转一个当前FP/Vec物理tag bit。每次运行只选一个当前有效字段，在字段内均匀抽1 bit做XOR；保存动态指令ID、原值、故障值和bit编号。仅当故障字段被下游读取/选择/用于状态转移时计activated。触发：目标V寄存器有有效映射。</t>
        </is>
      </c>
      <c r="G207" s="6" t="inlineStr">
        <is>
          <t>F1</t>
        </is>
      </c>
      <c r="H207" s="6" t="inlineStr">
        <is>
          <t>平均每1,000,000个 eligible events 注入1次，间隔加入±50%抖动</t>
        </is>
      </c>
      <c r="I207" s="6" t="inlineStr">
        <is>
          <t>W9 NEON-LaneProbe</t>
        </is>
      </c>
      <c r="J207" s="6" t="inlineStr">
        <is>
          <t>NEON-LaneProbe（自设定向负载）
执行定义与oracle：8/16/32/64-bit lane、整数/浮点 AdvSIMD、lane extract/insert、widen/narrow、permute、reduce；逐 lane 比对</t>
        </is>
      </c>
      <c r="K207" s="6" t="inlineStr">
        <is>
          <t>目标V寄存器有有效映射</t>
        </is>
      </c>
      <c r="L207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07" s="6" t="inlineStr">
        <is>
          <t>翻到活跃合法tag时产生错误整向量/标量并SDC；空闲tag多为依赖失败</t>
        </is>
      </c>
      <c r="N207" s="6" t="inlineStr">
        <is>
          <t>FP/Vec RAT瞬态基线</t>
        </is>
      </c>
      <c r="O207" s="6" t="inlineStr">
        <is>
          <t>无直接研究；Int RAT机制类比</t>
        </is>
      </c>
      <c r="P207" s="9" t="n"/>
      <c r="Q207" s="9" t="n"/>
      <c r="R207" s="9" t="n"/>
      <c r="S207" s="9" t="n"/>
      <c r="T207" s="9" t="n"/>
      <c r="U207" s="9" t="n"/>
      <c r="V207" s="9" t="n"/>
      <c r="W207" s="9" t="n"/>
      <c r="X207" s="12">
        <f>IF(OR(R207="",R207-AP207&lt;=0),"",AB207/(R207-AP207))</f>
        <v/>
      </c>
      <c r="Y207" s="12">
        <f>IFERROR(R207/AR207,0)</f>
        <v/>
      </c>
      <c r="Z207" s="9" t="inlineStr">
        <is>
          <t>待执行</t>
        </is>
      </c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12">
        <f>IF(OR(R207="",R207-AP207&lt;=0),"",AO207/(R207-AP207))</f>
        <v/>
      </c>
      <c r="AM207" s="11">
        <f>IF(R207="","",SUM(AC207:AF207)-(R207-AP207))</f>
        <v/>
      </c>
      <c r="AN207" s="11">
        <f>IF(R207="","",SUM(S207:W207)+AP207-R207)</f>
        <v/>
      </c>
      <c r="AO207" s="9" t="n"/>
      <c r="AP207" s="9" t="n"/>
      <c r="AQ207" s="27" t="inlineStr">
        <is>
          <t>FR01-a FP RAT源映射tag bit；FR01-b Vec RAT源映射tag bit；FR01-c 目的映射tag bit</t>
        </is>
      </c>
      <c r="AR207" s="39" t="n"/>
      <c r="AS207" s="39">
        <f>IFERROR(AR207/Q207,0)</f>
        <v/>
      </c>
      <c r="AT207" s="39" t="n">
        <v>30</v>
      </c>
      <c r="AU207" s="39" t="n">
        <v>385</v>
      </c>
      <c r="AV207" s="39" t="inlineStr">
        <is>
          <t>常规</t>
        </is>
      </c>
      <c r="AW207" s="39" t="inlineStr">
        <is>
          <t>累计至少385，不机械扩展到2401</t>
        </is>
      </c>
    </row>
    <row r="208" ht="118.0500030517578" customHeight="1">
      <c r="A208" s="6" t="inlineStr">
        <is>
          <t>FR01-F2-W8</t>
        </is>
      </c>
      <c r="B208" s="6" t="inlineStr">
        <is>
          <t>FR01</t>
        </is>
      </c>
      <c r="C208" s="6" t="inlineStr">
        <is>
          <t>FP/SIMD Rename</t>
        </is>
      </c>
      <c r="D208" s="6" t="inlineStr">
        <is>
          <t>FP或Vec speculative RAT的V寄存器→物理寄存器映射项。</t>
        </is>
      </c>
      <c r="E208" s="6" t="inlineStr">
        <is>
          <t>单比特翻转</t>
        </is>
      </c>
      <c r="F208" s="6" t="inlineStr">
        <is>
          <t>在源查表或目的重命名前翻转一个当前FP/Vec物理tag bit。每次运行只选一个当前有效字段，在字段内均匀抽1 bit做XOR；保存动态指令ID、原值、故障值和bit编号。仅当故障字段被下游读取/选择/用于状态转移时计activated。触发：目标V寄存器有有效映射。</t>
        </is>
      </c>
      <c r="G208" s="6" t="inlineStr">
        <is>
          <t>F2</t>
        </is>
      </c>
      <c r="H208" s="6" t="inlineStr">
        <is>
          <t>平均每100,000个 eligible events 注入1次，间隔加入±50%抖动</t>
        </is>
      </c>
      <c r="I208" s="6" t="inlineStr">
        <is>
          <t>W8 FP-ScalarProbe</t>
        </is>
      </c>
      <c r="J208" s="6" t="inlineStr">
        <is>
          <t>FP-ScalarProbe（自设定向负载）
执行定义与oracle：FP32/FP64 add/mul/div/sqrt/FMA、NaN/Inf/±0/subnormal、四种舍入、FP exception；位级结果与 FPSR/FPCR oracle</t>
        </is>
      </c>
      <c r="K208" s="6" t="inlineStr">
        <is>
          <t>目标V寄存器有有效映射</t>
        </is>
      </c>
      <c r="L208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08" s="6" t="inlineStr">
        <is>
          <t>翻到活跃合法tag时产生错误整向量/标量并SDC；空闲tag多为依赖失败</t>
        </is>
      </c>
      <c r="N208" s="6" t="inlineStr">
        <is>
          <t>FP/Vec RAT瞬态基线</t>
        </is>
      </c>
      <c r="O208" s="6" t="inlineStr">
        <is>
          <t>无直接研究；Int RAT机制类比</t>
        </is>
      </c>
      <c r="P208" s="9" t="n"/>
      <c r="Q208" s="9" t="n"/>
      <c r="R208" s="9" t="n"/>
      <c r="S208" s="9" t="n"/>
      <c r="T208" s="9" t="n"/>
      <c r="U208" s="9" t="n"/>
      <c r="V208" s="9" t="n"/>
      <c r="W208" s="9" t="n"/>
      <c r="X208" s="12">
        <f>IF(OR(R208="",R208-AP208&lt;=0),"",AB208/(R208-AP208))</f>
        <v/>
      </c>
      <c r="Y208" s="12">
        <f>IFERROR(R208/AR208,0)</f>
        <v/>
      </c>
      <c r="Z208" s="9" t="inlineStr">
        <is>
          <t>待执行</t>
        </is>
      </c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12">
        <f>IF(OR(R208="",R208-AP208&lt;=0),"",AO208/(R208-AP208))</f>
        <v/>
      </c>
      <c r="AM208" s="11">
        <f>IF(R208="","",SUM(AC208:AF208)-(R208-AP208))</f>
        <v/>
      </c>
      <c r="AN208" s="11">
        <f>IF(R208="","",SUM(S208:W208)+AP208-R208)</f>
        <v/>
      </c>
      <c r="AO208" s="9" t="n"/>
      <c r="AP208" s="9" t="n"/>
      <c r="AQ208" s="27" t="inlineStr">
        <is>
          <t>FR01-a FP RAT源映射tag bit；FR01-b Vec RAT源映射tag bit；FR01-c 目的映射tag bit</t>
        </is>
      </c>
      <c r="AR208" s="39" t="n"/>
      <c r="AS208" s="39">
        <f>IFERROR(AR208/Q208,0)</f>
        <v/>
      </c>
      <c r="AT208" s="39" t="n">
        <v>30</v>
      </c>
      <c r="AU208" s="39" t="n">
        <v>385</v>
      </c>
      <c r="AV208" s="39" t="inlineStr">
        <is>
          <t>常规</t>
        </is>
      </c>
      <c r="AW208" s="39" t="inlineStr">
        <is>
          <t>累计至少385，不机械扩展到2401</t>
        </is>
      </c>
    </row>
    <row r="209" ht="118.0500030517578" customHeight="1">
      <c r="A209" s="6" t="inlineStr">
        <is>
          <t>FR01-F2-W9</t>
        </is>
      </c>
      <c r="B209" s="6" t="inlineStr">
        <is>
          <t>FR01</t>
        </is>
      </c>
      <c r="C209" s="6" t="inlineStr">
        <is>
          <t>FP/SIMD Rename</t>
        </is>
      </c>
      <c r="D209" s="6" t="inlineStr">
        <is>
          <t>FP或Vec speculative RAT的V寄存器→物理寄存器映射项。</t>
        </is>
      </c>
      <c r="E209" s="6" t="inlineStr">
        <is>
          <t>单比特翻转</t>
        </is>
      </c>
      <c r="F209" s="6" t="inlineStr">
        <is>
          <t>在源查表或目的重命名前翻转一个当前FP/Vec物理tag bit。每次运行只选一个当前有效字段，在字段内均匀抽1 bit做XOR；保存动态指令ID、原值、故障值和bit编号。仅当故障字段被下游读取/选择/用于状态转移时计activated。触发：目标V寄存器有有效映射。</t>
        </is>
      </c>
      <c r="G209" s="6" t="inlineStr">
        <is>
          <t>F2</t>
        </is>
      </c>
      <c r="H209" s="6" t="inlineStr">
        <is>
          <t>平均每100,000个 eligible events 注入1次，间隔加入±50%抖动</t>
        </is>
      </c>
      <c r="I209" s="6" t="inlineStr">
        <is>
          <t>W9 NEON-LaneProbe</t>
        </is>
      </c>
      <c r="J209" s="6" t="inlineStr">
        <is>
          <t>NEON-LaneProbe（自设定向负载）
执行定义与oracle：8/16/32/64-bit lane、整数/浮点 AdvSIMD、lane extract/insert、widen/narrow、permute、reduce；逐 lane 比对</t>
        </is>
      </c>
      <c r="K209" s="6" t="inlineStr">
        <is>
          <t>目标V寄存器有有效映射</t>
        </is>
      </c>
      <c r="L209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09" s="6" t="inlineStr">
        <is>
          <t>翻到活跃合法tag时产生错误整向量/标量并SDC；空闲tag多为依赖失败</t>
        </is>
      </c>
      <c r="N209" s="6" t="inlineStr">
        <is>
          <t>FP/Vec RAT瞬态基线</t>
        </is>
      </c>
      <c r="O209" s="6" t="inlineStr">
        <is>
          <t>无直接研究；Int RAT机制类比</t>
        </is>
      </c>
      <c r="P209" s="9" t="n"/>
      <c r="Q209" s="9" t="n"/>
      <c r="R209" s="9" t="n"/>
      <c r="S209" s="9" t="n"/>
      <c r="T209" s="9" t="n"/>
      <c r="U209" s="9" t="n"/>
      <c r="V209" s="9" t="n"/>
      <c r="W209" s="9" t="n"/>
      <c r="X209" s="12">
        <f>IF(OR(R209="",R209-AP209&lt;=0),"",AB209/(R209-AP209))</f>
        <v/>
      </c>
      <c r="Y209" s="12">
        <f>IFERROR(R209/AR209,0)</f>
        <v/>
      </c>
      <c r="Z209" s="9" t="inlineStr">
        <is>
          <t>待执行</t>
        </is>
      </c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12">
        <f>IF(OR(R209="",R209-AP209&lt;=0),"",AO209/(R209-AP209))</f>
        <v/>
      </c>
      <c r="AM209" s="11">
        <f>IF(R209="","",SUM(AC209:AF209)-(R209-AP209))</f>
        <v/>
      </c>
      <c r="AN209" s="11">
        <f>IF(R209="","",SUM(S209:W209)+AP209-R209)</f>
        <v/>
      </c>
      <c r="AO209" s="9" t="n"/>
      <c r="AP209" s="9" t="n"/>
      <c r="AQ209" s="27" t="inlineStr">
        <is>
          <t>FR01-a FP RAT源映射tag bit；FR01-b Vec RAT源映射tag bit；FR01-c 目的映射tag bit</t>
        </is>
      </c>
      <c r="AR209" s="39" t="n"/>
      <c r="AS209" s="39">
        <f>IFERROR(AR209/Q209,0)</f>
        <v/>
      </c>
      <c r="AT209" s="39" t="n">
        <v>30</v>
      </c>
      <c r="AU209" s="39" t="n">
        <v>385</v>
      </c>
      <c r="AV209" s="39" t="inlineStr">
        <is>
          <t>常规</t>
        </is>
      </c>
      <c r="AW209" s="39" t="inlineStr">
        <is>
          <t>累计至少385，不机械扩展到2401</t>
        </is>
      </c>
    </row>
    <row r="210" ht="118.0500030517578" customHeight="1">
      <c r="A210" s="6" t="inlineStr">
        <is>
          <t>FR02-F0-W9</t>
        </is>
      </c>
      <c r="B210" s="6" t="inlineStr">
        <is>
          <t>FR02</t>
        </is>
      </c>
      <c r="C210" s="6" t="inlineStr">
        <is>
          <t>FP/SIMD Rename</t>
        </is>
      </c>
      <c r="D210" s="6" t="inlineStr">
        <is>
          <t>同一FP/Vec RAT tag。</t>
        </is>
      </c>
      <c r="E210" s="6" t="inlineStr">
        <is>
          <t>双比特翻转</t>
        </is>
      </c>
      <c r="F210" s="6" t="inlineStr">
        <is>
          <t>同一tag双bit翻转，并按相邻/非相邻分层。同一字段同时翻转2个不同bit，50%相邻、50%非相邻；两bit在同一事件生效，不与其他字段叠加。保存bit距离和原/故障值。仅当字段被消费时计activated。触发：目标映射将被当前FP/SIMD指令读取。</t>
        </is>
      </c>
      <c r="G210" s="6" t="inlineStr">
        <is>
          <t>F0</t>
        </is>
      </c>
      <c r="H210" s="6" t="inlineStr">
        <is>
          <t>每次运行只注入1次；warm-up后在 eligible event 中均匀抽样</t>
        </is>
      </c>
      <c r="I210" s="6" t="inlineStr">
        <is>
          <t>W9 NEON-LaneProbe</t>
        </is>
      </c>
      <c r="J210" s="6" t="inlineStr">
        <is>
          <t>NEON-LaneProbe（自设定向负载）
执行定义与oracle：8/16/32/64-bit lane、整数/浮点 AdvSIMD、lane extract/insert、widen/narrow、permute、reduce；逐 lane 比对</t>
        </is>
      </c>
      <c r="K210" s="6" t="inlineStr">
        <is>
          <t>目标映射将被当前FP/SIMD指令读取</t>
        </is>
      </c>
      <c r="L210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10" s="6" t="inlineStr">
        <is>
          <t>合法tag命中率决定SDC；向量错误扇出可能高于标量</t>
        </is>
      </c>
      <c r="N210" s="6" t="inlineStr">
        <is>
          <t>覆盖MBU与类别容量差异</t>
        </is>
      </c>
      <c r="O210" s="6" t="inlineStr">
        <is>
          <t>CHAOS26多bit类比</t>
        </is>
      </c>
      <c r="P210" s="9" t="n"/>
      <c r="Q210" s="9" t="n">
        <v>650</v>
      </c>
      <c r="R210" s="9" t="n">
        <v>328</v>
      </c>
      <c r="S210" s="9" t="n">
        <v>275</v>
      </c>
      <c r="T210" s="9" t="n">
        <v>0</v>
      </c>
      <c r="U210" s="9" t="n">
        <v>45</v>
      </c>
      <c r="V210" s="9" t="n">
        <v>8</v>
      </c>
      <c r="W210" s="9" t="n">
        <v>3</v>
      </c>
      <c r="X210" s="41" t="n">
        <v>0.1707317073170732</v>
      </c>
      <c r="Y210" s="12">
        <f>IFERROR(R210/AR210,0)</f>
        <v/>
      </c>
      <c r="Z210" s="9" t="inlineStr">
        <is>
          <t>部分证据/待核对</t>
        </is>
      </c>
      <c r="AA210" s="9" t="inlineStr">
        <is>
          <t>[2026-10-12 过渡回填|0201(huawei0201,172.168.178.81)|HEAD bf3d284|binary 1a618953|触发=F0等价(cycle1000 warm-up,max_faults1,首个eligible)] 已覆盖子模型:FR02-a(同tag相邻双bit,map_bitflip2_adj_vec,rat)。[recount 修正口径,2026-10-10 审计提交 0244e9c]attempted 650/activated 328/Masked 275/SDC 56（Data Corruption 45+RAS-silent Crash 8+RAS-silent Timeout 3）/Crash 8/Hang 3/Inactive 322;假激活 49 条已剔除(旧口径 390/380 作废)。formal 未达标:activated 328 &lt; 385,差 57。负载注意:证据负载为 dep_chain_vec(非 W9 NEON-LaneProbe 定义,W9 探针未开发)→部分证据,FR02-b 未运行。守恒注:3 个 Hang 为 f=null→AN 差额=3 属如实记录。补量待 FP/SIMD Rename 单元按矩阵负载执行。证据:runs/formal_FR02_dcv/c0000/results.jsonl;docs/gem5-fi/ooo/fr02-recount-audit-2026-10-10.md;fr02-correction-overlay-2026-10-10.json；[2026-10-12 SDC口径修正] SDC=56（Data Corruption 45+RAS-silent Crash 8+RAS-silent Timeout 3），原始结局计数不变</t>
        </is>
      </c>
      <c r="AB210" s="9" t="n">
        <v>56</v>
      </c>
      <c r="AC210" s="9" t="n">
        <v>0</v>
      </c>
      <c r="AD210" s="9" t="n">
        <v>8</v>
      </c>
      <c r="AE210" s="9" t="n">
        <v>0</v>
      </c>
      <c r="AF210" s="9" t="n">
        <v>320</v>
      </c>
      <c r="AG210" s="9" t="n"/>
      <c r="AH210" s="9" t="n"/>
      <c r="AI210" s="9" t="n">
        <v>8</v>
      </c>
      <c r="AJ210" s="9" t="n">
        <v>3</v>
      </c>
      <c r="AK210" s="9" t="inlineStr">
        <is>
          <t>SE口径首检：Masked及仅由离线oracle发现的Data Corruption→None；架构Crash/已归因Timeout→OS；Hardware RAS任意时点=0（B0无ECC/parity）。OS/Application检出不排除SDC。</t>
        </is>
      </c>
      <c r="AL210" s="41" t="n">
        <v>0</v>
      </c>
      <c r="AM210" s="11" t="n">
        <v>0</v>
      </c>
      <c r="AN210" s="11">
        <f>IF(R210="","",SUM(S210:W210)+AP210-R210)</f>
        <v/>
      </c>
      <c r="AO210" s="9" t="n">
        <v>0</v>
      </c>
      <c r="AP210" s="9" t="n">
        <v>0</v>
      </c>
      <c r="AQ210" s="27" t="inlineStr">
        <is>
          <t>FR02-a 同tag相邻双bit；FR02-b 同tag非相邻双bit；按FP/Vec tag分层</t>
        </is>
      </c>
      <c r="AR210" s="39" t="n"/>
      <c r="AS210" s="39">
        <f>IFERROR(AR210/Q210,0)</f>
        <v/>
      </c>
      <c r="AT210" s="39" t="n">
        <v>30</v>
      </c>
      <c r="AU210" s="39" t="n">
        <v>385</v>
      </c>
      <c r="AV210" s="39" t="inlineStr">
        <is>
          <t>常规</t>
        </is>
      </c>
      <c r="AW210" s="39" t="inlineStr">
        <is>
          <t>累计至少385，不机械扩展到2401</t>
        </is>
      </c>
    </row>
    <row r="211" ht="118.0500030517578" customHeight="1">
      <c r="A211" s="6" t="inlineStr">
        <is>
          <t>FR02-F0-W10</t>
        </is>
      </c>
      <c r="B211" s="6" t="inlineStr">
        <is>
          <t>FR02</t>
        </is>
      </c>
      <c r="C211" s="6" t="inlineStr">
        <is>
          <t>FP/SIMD Rename</t>
        </is>
      </c>
      <c r="D211" s="6" t="inlineStr">
        <is>
          <t>同一FP/Vec RAT tag。</t>
        </is>
      </c>
      <c r="E211" s="6" t="inlineStr">
        <is>
          <t>双比特翻转</t>
        </is>
      </c>
      <c r="F211" s="6" t="inlineStr">
        <is>
          <t>同一tag双bit翻转，并按相邻/非相邻分层。同一字段同时翻转2个不同bit，50%相邻、50%非相邻；两bit在同一事件生效，不与其他字段叠加。保存bit距离和原/故障值。仅当字段被消费时计activated。触发：目标映射将被当前FP/SIMD指令读取。</t>
        </is>
      </c>
      <c r="G211" s="6" t="inlineStr">
        <is>
          <t>F0</t>
        </is>
      </c>
      <c r="H211" s="6" t="inlineStr">
        <is>
          <t>每次运行只注入1次；warm-up后在 eligible event 中均匀抽样</t>
        </is>
      </c>
      <c r="I211" s="6" t="inlineStr">
        <is>
          <t>W10 PolyBench</t>
        </is>
      </c>
      <c r="J211" s="6" t="inlineStr">
        <is>
          <t>PolyBench（公开通用）
执行定义与oracle：gemm、2mm、lu、cholesky、jacobi-2d；固定规模；输出数组逐元素/容差双校验</t>
        </is>
      </c>
      <c r="K211" s="6" t="inlineStr">
        <is>
          <t>目标映射将被当前FP/SIMD指令读取</t>
        </is>
      </c>
      <c r="L211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11" s="6" t="inlineStr">
        <is>
          <t>合法tag命中率决定SDC；向量错误扇出可能高于标量</t>
        </is>
      </c>
      <c r="N211" s="6" t="inlineStr">
        <is>
          <t>覆盖MBU与类别容量差异</t>
        </is>
      </c>
      <c r="O211" s="6" t="inlineStr">
        <is>
          <t>CHAOS26多bit类比</t>
        </is>
      </c>
      <c r="P211" s="9" t="n"/>
      <c r="Q211" s="9" t="n"/>
      <c r="R211" s="9" t="n"/>
      <c r="S211" s="9" t="n"/>
      <c r="T211" s="9" t="n"/>
      <c r="U211" s="9" t="n"/>
      <c r="V211" s="9" t="n"/>
      <c r="W211" s="9" t="n"/>
      <c r="X211" s="12">
        <f>IF(OR(R211="",R211-AP211&lt;=0),"",AB211/(R211-AP211))</f>
        <v/>
      </c>
      <c r="Y211" s="12">
        <f>IFERROR(R211/AR211,0)</f>
        <v/>
      </c>
      <c r="Z211" s="9" t="inlineStr">
        <is>
          <t>待执行</t>
        </is>
      </c>
      <c r="AA211" s="9" t="inlineStr">
        <is>
          <t>[2026-10-12 过渡回填|0201(huawei0201,172.168.178.81)|HEAD bf3d284|binary 1a618953|触发=F0等价(cycle1000 warm-up,max_faults1,首个eligible)] 备注:FR02-a 子模型现有证据在非矩阵负载 dep_chain_vec 上(recount 修正 activated 328/650,差 57),已记录于 FR02-F0-W9 行。本行 W10 PolyBench 未运行;FP/SIMD Rename 单元轮到时按矩阵负载补量。</t>
        </is>
      </c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12">
        <f>IF(OR(R211="",R211-AP211&lt;=0),"",AO211/(R211-AP211))</f>
        <v/>
      </c>
      <c r="AM211" s="11">
        <f>IF(R211="","",SUM(AC211:AF211)-(R211-AP211))</f>
        <v/>
      </c>
      <c r="AN211" s="11">
        <f>IF(R211="","",SUM(S211:W211)+AP211-R211)</f>
        <v/>
      </c>
      <c r="AO211" s="9" t="n"/>
      <c r="AP211" s="9" t="n"/>
      <c r="AQ211" s="27" t="inlineStr">
        <is>
          <t>FR02-a 同tag相邻双bit；FR02-b 同tag非相邻双bit；按FP/Vec tag分层</t>
        </is>
      </c>
      <c r="AR211" s="39" t="n"/>
      <c r="AS211" s="39">
        <f>IFERROR(AR211/Q211,0)</f>
        <v/>
      </c>
      <c r="AT211" s="39" t="n">
        <v>30</v>
      </c>
      <c r="AU211" s="39" t="n">
        <v>385</v>
      </c>
      <c r="AV211" s="39" t="inlineStr">
        <is>
          <t>常规</t>
        </is>
      </c>
      <c r="AW211" s="39" t="inlineStr">
        <is>
          <t>累计至少385，不机械扩展到2401</t>
        </is>
      </c>
    </row>
    <row r="212" ht="118.0500030517578" customHeight="1">
      <c r="A212" s="6" t="inlineStr">
        <is>
          <t>FR02-F2-W9</t>
        </is>
      </c>
      <c r="B212" s="6" t="inlineStr">
        <is>
          <t>FR02</t>
        </is>
      </c>
      <c r="C212" s="6" t="inlineStr">
        <is>
          <t>FP/SIMD Rename</t>
        </is>
      </c>
      <c r="D212" s="6" t="inlineStr">
        <is>
          <t>同一FP/Vec RAT tag。</t>
        </is>
      </c>
      <c r="E212" s="6" t="inlineStr">
        <is>
          <t>双比特翻转</t>
        </is>
      </c>
      <c r="F212" s="6" t="inlineStr">
        <is>
          <t>同一tag双bit翻转，并按相邻/非相邻分层。同一字段同时翻转2个不同bit，50%相邻、50%非相邻；两bit在同一事件生效，不与其他字段叠加。保存bit距离和原/故障值。仅当字段被消费时计activated。触发：目标映射将被当前FP/SIMD指令读取。</t>
        </is>
      </c>
      <c r="G212" s="6" t="inlineStr">
        <is>
          <t>F2</t>
        </is>
      </c>
      <c r="H212" s="6" t="inlineStr">
        <is>
          <t>平均每100,000个 eligible events 注入1次，间隔加入±50%抖动</t>
        </is>
      </c>
      <c r="I212" s="6" t="inlineStr">
        <is>
          <t>W9 NEON-LaneProbe</t>
        </is>
      </c>
      <c r="J212" s="6" t="inlineStr">
        <is>
          <t>NEON-LaneProbe（自设定向负载）
执行定义与oracle：8/16/32/64-bit lane、整数/浮点 AdvSIMD、lane extract/insert、widen/narrow、permute、reduce；逐 lane 比对</t>
        </is>
      </c>
      <c r="K212" s="6" t="inlineStr">
        <is>
          <t>目标映射将被当前FP/SIMD指令读取</t>
        </is>
      </c>
      <c r="L212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12" s="6" t="inlineStr">
        <is>
          <t>合法tag命中率决定SDC；向量错误扇出可能高于标量</t>
        </is>
      </c>
      <c r="N212" s="6" t="inlineStr">
        <is>
          <t>覆盖MBU与类别容量差异</t>
        </is>
      </c>
      <c r="O212" s="6" t="inlineStr">
        <is>
          <t>CHAOS26多bit类比</t>
        </is>
      </c>
      <c r="P212" s="9" t="n"/>
      <c r="Q212" s="9" t="n"/>
      <c r="R212" s="9" t="n"/>
      <c r="S212" s="9" t="n"/>
      <c r="T212" s="9" t="n"/>
      <c r="U212" s="9" t="n"/>
      <c r="V212" s="9" t="n"/>
      <c r="W212" s="9" t="n"/>
      <c r="X212" s="12">
        <f>IF(OR(R212="",R212-AP212&lt;=0),"",AB212/(R212-AP212))</f>
        <v/>
      </c>
      <c r="Y212" s="12">
        <f>IFERROR(R212/AR212,0)</f>
        <v/>
      </c>
      <c r="Z212" s="9" t="inlineStr">
        <is>
          <t>待执行</t>
        </is>
      </c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12">
        <f>IF(OR(R212="",R212-AP212&lt;=0),"",AO212/(R212-AP212))</f>
        <v/>
      </c>
      <c r="AM212" s="11">
        <f>IF(R212="","",SUM(AC212:AF212)-(R212-AP212))</f>
        <v/>
      </c>
      <c r="AN212" s="11">
        <f>IF(R212="","",SUM(S212:W212)+AP212-R212)</f>
        <v/>
      </c>
      <c r="AO212" s="9" t="n"/>
      <c r="AP212" s="9" t="n"/>
      <c r="AQ212" s="27" t="inlineStr">
        <is>
          <t>FR02-a 同tag相邻双bit；FR02-b 同tag非相邻双bit；按FP/Vec tag分层</t>
        </is>
      </c>
      <c r="AR212" s="39" t="n"/>
      <c r="AS212" s="39">
        <f>IFERROR(AR212/Q212,0)</f>
        <v/>
      </c>
      <c r="AT212" s="39" t="n">
        <v>30</v>
      </c>
      <c r="AU212" s="39" t="n">
        <v>385</v>
      </c>
      <c r="AV212" s="39" t="inlineStr">
        <is>
          <t>常规</t>
        </is>
      </c>
      <c r="AW212" s="39" t="inlineStr">
        <is>
          <t>累计至少385，不机械扩展到2401</t>
        </is>
      </c>
    </row>
    <row r="213" ht="118.0500030517578" customHeight="1">
      <c r="A213" s="6" t="inlineStr">
        <is>
          <t>FR02-F2-W10</t>
        </is>
      </c>
      <c r="B213" s="6" t="inlineStr">
        <is>
          <t>FR02</t>
        </is>
      </c>
      <c r="C213" s="6" t="inlineStr">
        <is>
          <t>FP/SIMD Rename</t>
        </is>
      </c>
      <c r="D213" s="6" t="inlineStr">
        <is>
          <t>同一FP/Vec RAT tag。</t>
        </is>
      </c>
      <c r="E213" s="6" t="inlineStr">
        <is>
          <t>双比特翻转</t>
        </is>
      </c>
      <c r="F213" s="6" t="inlineStr">
        <is>
          <t>同一tag双bit翻转，并按相邻/非相邻分层。同一字段同时翻转2个不同bit，50%相邻、50%非相邻；两bit在同一事件生效，不与其他字段叠加。保存bit距离和原/故障值。仅当字段被消费时计activated。触发：目标映射将被当前FP/SIMD指令读取。</t>
        </is>
      </c>
      <c r="G213" s="6" t="inlineStr">
        <is>
          <t>F2</t>
        </is>
      </c>
      <c r="H213" s="6" t="inlineStr">
        <is>
          <t>平均每100,000个 eligible events 注入1次，间隔加入±50%抖动</t>
        </is>
      </c>
      <c r="I213" s="6" t="inlineStr">
        <is>
          <t>W10 PolyBench</t>
        </is>
      </c>
      <c r="J213" s="6" t="inlineStr">
        <is>
          <t>PolyBench（公开通用）
执行定义与oracle：gemm、2mm、lu、cholesky、jacobi-2d；固定规模；输出数组逐元素/容差双校验</t>
        </is>
      </c>
      <c r="K213" s="6" t="inlineStr">
        <is>
          <t>目标映射将被当前FP/SIMD指令读取</t>
        </is>
      </c>
      <c r="L213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13" s="6" t="inlineStr">
        <is>
          <t>合法tag命中率决定SDC；向量错误扇出可能高于标量</t>
        </is>
      </c>
      <c r="N213" s="6" t="inlineStr">
        <is>
          <t>覆盖MBU与类别容量差异</t>
        </is>
      </c>
      <c r="O213" s="6" t="inlineStr">
        <is>
          <t>CHAOS26多bit类比</t>
        </is>
      </c>
      <c r="P213" s="9" t="n"/>
      <c r="Q213" s="9" t="n"/>
      <c r="R213" s="9" t="n"/>
      <c r="S213" s="9" t="n"/>
      <c r="T213" s="9" t="n"/>
      <c r="U213" s="9" t="n"/>
      <c r="V213" s="9" t="n"/>
      <c r="W213" s="9" t="n"/>
      <c r="X213" s="12">
        <f>IF(OR(R213="",R213-AP213&lt;=0),"",AB213/(R213-AP213))</f>
        <v/>
      </c>
      <c r="Y213" s="12">
        <f>IFERROR(R213/AR213,0)</f>
        <v/>
      </c>
      <c r="Z213" s="9" t="inlineStr">
        <is>
          <t>待执行</t>
        </is>
      </c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12">
        <f>IF(OR(R213="",R213-AP213&lt;=0),"",AO213/(R213-AP213))</f>
        <v/>
      </c>
      <c r="AM213" s="11">
        <f>IF(R213="","",SUM(AC213:AF213)-(R213-AP213))</f>
        <v/>
      </c>
      <c r="AN213" s="11">
        <f>IF(R213="","",SUM(S213:W213)+AP213-R213)</f>
        <v/>
      </c>
      <c r="AO213" s="9" t="n"/>
      <c r="AP213" s="9" t="n"/>
      <c r="AQ213" s="27" t="inlineStr">
        <is>
          <t>FR02-a 同tag相邻双bit；FR02-b 同tag非相邻双bit；按FP/Vec tag分层</t>
        </is>
      </c>
      <c r="AR213" s="39" t="n"/>
      <c r="AS213" s="39">
        <f>IFERROR(AR213/Q213,0)</f>
        <v/>
      </c>
      <c r="AT213" s="39" t="n">
        <v>30</v>
      </c>
      <c r="AU213" s="39" t="n">
        <v>385</v>
      </c>
      <c r="AV213" s="39" t="inlineStr">
        <is>
          <t>常规</t>
        </is>
      </c>
      <c r="AW213" s="39" t="inlineStr">
        <is>
          <t>累计至少385，不机械扩展到2401</t>
        </is>
      </c>
    </row>
    <row r="214" ht="118.0500030517578" customHeight="1">
      <c r="A214" s="6" t="inlineStr">
        <is>
          <t>FR03-F0-W8</t>
        </is>
      </c>
      <c r="B214" s="6" t="inlineStr">
        <is>
          <t>FR03</t>
        </is>
      </c>
      <c r="C214" s="6" t="inlineStr">
        <is>
          <t>FP/SIMD Rename</t>
        </is>
      </c>
      <c r="D214" s="6" t="inlineStr">
        <is>
          <t>FP/Vec源物理tag和寄存器类别选择。</t>
        </is>
      </c>
      <c r="E214" s="6" t="inlineStr">
        <is>
          <t>换值</t>
        </is>
      </c>
      <c r="F214" s="6" t="inlineStr">
        <is>
          <t>把源tag换成另一活跃ready tag；FP↔Vec跨类别仅在宽度兼容时作为独立子模型。从当前有效且生命周期合法的候选集合中选择另一个合法值；禁止空闲、越界或编码非法候选。保存source/target和候选集大小。仅当替换值被消费时计activated。触发：兼容活跃候选tag非空。</t>
        </is>
      </c>
      <c r="G214" s="6" t="inlineStr">
        <is>
          <t>F0</t>
        </is>
      </c>
      <c r="H214" s="6" t="inlineStr">
        <is>
          <t>每次运行只注入1次；warm-up后在 eligible event 中均匀抽样</t>
        </is>
      </c>
      <c r="I214" s="6" t="inlineStr">
        <is>
          <t>W8 FP-ScalarProbe</t>
        </is>
      </c>
      <c r="J214" s="6" t="inlineStr">
        <is>
          <t>FP-ScalarProbe（自设定向负载）
执行定义与oracle：FP32/FP64 add/mul/div/sqrt/FMA、NaN/Inf/±0/subnormal、四种舍入、FP exception；位级结果与 FPSR/FPCR oracle</t>
        </is>
      </c>
      <c r="K214" s="6" t="inlineStr">
        <is>
          <t>兼容活跃候选tag非空</t>
        </is>
      </c>
      <c r="L214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14" s="6" t="inlineStr">
        <is>
          <t>合法旧值读取预期高SDC；跨类别错误可能表现为lane重解释</t>
        </is>
      </c>
      <c r="N214" s="6" t="inlineStr">
        <is>
          <t>覆盖合法错误依赖与类别选择</t>
        </is>
      </c>
      <c r="O214" s="6" t="inlineStr">
        <is>
          <t>本方案结构化模型</t>
        </is>
      </c>
      <c r="P214" s="9" t="n"/>
      <c r="Q214" s="9" t="n"/>
      <c r="R214" s="9" t="n"/>
      <c r="S214" s="9" t="n"/>
      <c r="T214" s="9" t="n"/>
      <c r="U214" s="9" t="n"/>
      <c r="V214" s="9" t="n"/>
      <c r="W214" s="9" t="n"/>
      <c r="X214" s="12">
        <f>IF(OR(R214="",R214-AP214&lt;=0),"",AB214/(R214-AP214))</f>
        <v/>
      </c>
      <c r="Y214" s="12">
        <f>IFERROR(R214/AR214,0)</f>
        <v/>
      </c>
      <c r="Z214" s="9" t="inlineStr">
        <is>
          <t>待执行</t>
        </is>
      </c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12">
        <f>IF(OR(R214="",R214-AP214&lt;=0),"",AO214/(R214-AP214))</f>
        <v/>
      </c>
      <c r="AM214" s="11">
        <f>IF(R214="","",SUM(AC214:AF214)-(R214-AP214))</f>
        <v/>
      </c>
      <c r="AN214" s="11">
        <f>IF(R214="","",SUM(S214:W214)+AP214-R214)</f>
        <v/>
      </c>
      <c r="AO214" s="9" t="n"/>
      <c r="AP214" s="9" t="n"/>
      <c r="AQ214" s="27" t="inlineStr">
        <is>
          <t>FR03-a FP源tag合法换值；FR03-b Vec源tag合法换值；FR03-c FP↔Vec跨类别换值（宽度兼容）</t>
        </is>
      </c>
      <c r="AR214" s="39" t="n"/>
      <c r="AS214" s="39">
        <f>IFERROR(AR214/Q214,0)</f>
        <v/>
      </c>
      <c r="AT214" s="39" t="n">
        <v>30</v>
      </c>
      <c r="AU214" s="39" t="n">
        <v>385</v>
      </c>
      <c r="AV214" s="39" t="inlineStr">
        <is>
          <t>常规</t>
        </is>
      </c>
      <c r="AW214" s="39" t="inlineStr">
        <is>
          <t>累计至少385，不机械扩展到2401</t>
        </is>
      </c>
    </row>
    <row r="215" ht="118.0500030517578" customHeight="1">
      <c r="A215" s="6" t="inlineStr">
        <is>
          <t>FR03-F0-W9</t>
        </is>
      </c>
      <c r="B215" s="6" t="inlineStr">
        <is>
          <t>FR03</t>
        </is>
      </c>
      <c r="C215" s="6" t="inlineStr">
        <is>
          <t>FP/SIMD Rename</t>
        </is>
      </c>
      <c r="D215" s="6" t="inlineStr">
        <is>
          <t>FP/Vec源物理tag和寄存器类别选择。</t>
        </is>
      </c>
      <c r="E215" s="6" t="inlineStr">
        <is>
          <t>换值</t>
        </is>
      </c>
      <c r="F215" s="6" t="inlineStr">
        <is>
          <t>把源tag换成另一活跃ready tag；FP↔Vec跨类别仅在宽度兼容时作为独立子模型。从当前有效且生命周期合法的候选集合中选择另一个合法值；禁止空闲、越界或编码非法候选。保存source/target和候选集大小。仅当替换值被消费时计activated。触发：兼容活跃候选tag非空。</t>
        </is>
      </c>
      <c r="G215" s="6" t="inlineStr">
        <is>
          <t>F0</t>
        </is>
      </c>
      <c r="H215" s="6" t="inlineStr">
        <is>
          <t>每次运行只注入1次；warm-up后在 eligible event 中均匀抽样</t>
        </is>
      </c>
      <c r="I215" s="6" t="inlineStr">
        <is>
          <t>W9 NEON-LaneProbe</t>
        </is>
      </c>
      <c r="J215" s="6" t="inlineStr">
        <is>
          <t>NEON-LaneProbe（自设定向负载）
执行定义与oracle：8/16/32/64-bit lane、整数/浮点 AdvSIMD、lane extract/insert、widen/narrow、permute、reduce；逐 lane 比对</t>
        </is>
      </c>
      <c r="K215" s="6" t="inlineStr">
        <is>
          <t>兼容活跃候选tag非空</t>
        </is>
      </c>
      <c r="L215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15" s="6" t="inlineStr">
        <is>
          <t>合法旧值读取预期高SDC；跨类别错误可能表现为lane重解释</t>
        </is>
      </c>
      <c r="N215" s="6" t="inlineStr">
        <is>
          <t>覆盖合法错误依赖与类别选择</t>
        </is>
      </c>
      <c r="O215" s="6" t="inlineStr">
        <is>
          <t>本方案结构化模型</t>
        </is>
      </c>
      <c r="P215" s="9" t="n"/>
      <c r="Q215" s="9" t="n"/>
      <c r="R215" s="9" t="n"/>
      <c r="S215" s="9" t="n"/>
      <c r="T215" s="9" t="n"/>
      <c r="U215" s="9" t="n"/>
      <c r="V215" s="9" t="n"/>
      <c r="W215" s="9" t="n"/>
      <c r="X215" s="12">
        <f>IF(OR(R215="",R215-AP215&lt;=0),"",AB215/(R215-AP215))</f>
        <v/>
      </c>
      <c r="Y215" s="12">
        <f>IFERROR(R215/AR215,0)</f>
        <v/>
      </c>
      <c r="Z215" s="9" t="inlineStr">
        <is>
          <t>待执行</t>
        </is>
      </c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12">
        <f>IF(OR(R215="",R215-AP215&lt;=0),"",AO215/(R215-AP215))</f>
        <v/>
      </c>
      <c r="AM215" s="11">
        <f>IF(R215="","",SUM(AC215:AF215)-(R215-AP215))</f>
        <v/>
      </c>
      <c r="AN215" s="11">
        <f>IF(R215="","",SUM(S215:W215)+AP215-R215)</f>
        <v/>
      </c>
      <c r="AO215" s="9" t="n"/>
      <c r="AP215" s="9" t="n"/>
      <c r="AQ215" s="27" t="inlineStr">
        <is>
          <t>FR03-a FP源tag合法换值；FR03-b Vec源tag合法换值；FR03-c FP↔Vec跨类别换值（宽度兼容）</t>
        </is>
      </c>
      <c r="AR215" s="39" t="n"/>
      <c r="AS215" s="39">
        <f>IFERROR(AR215/Q215,0)</f>
        <v/>
      </c>
      <c r="AT215" s="39" t="n">
        <v>30</v>
      </c>
      <c r="AU215" s="39" t="n">
        <v>385</v>
      </c>
      <c r="AV215" s="39" t="inlineStr">
        <is>
          <t>常规</t>
        </is>
      </c>
      <c r="AW215" s="39" t="inlineStr">
        <is>
          <t>累计至少385，不机械扩展到2401</t>
        </is>
      </c>
    </row>
    <row r="216" ht="118.0500030517578" customHeight="1">
      <c r="A216" s="6" t="inlineStr">
        <is>
          <t>FR03-F2-W8</t>
        </is>
      </c>
      <c r="B216" s="6" t="inlineStr">
        <is>
          <t>FR03</t>
        </is>
      </c>
      <c r="C216" s="6" t="inlineStr">
        <is>
          <t>FP/SIMD Rename</t>
        </is>
      </c>
      <c r="D216" s="6" t="inlineStr">
        <is>
          <t>FP/Vec源物理tag和寄存器类别选择。</t>
        </is>
      </c>
      <c r="E216" s="6" t="inlineStr">
        <is>
          <t>换值</t>
        </is>
      </c>
      <c r="F216" s="6" t="inlineStr">
        <is>
          <t>把源tag换成另一活跃ready tag；FP↔Vec跨类别仅在宽度兼容时作为独立子模型。从当前有效且生命周期合法的候选集合中选择另一个合法值；禁止空闲、越界或编码非法候选。保存source/target和候选集大小。仅当替换值被消费时计activated。触发：兼容活跃候选tag非空。</t>
        </is>
      </c>
      <c r="G216" s="6" t="inlineStr">
        <is>
          <t>F2</t>
        </is>
      </c>
      <c r="H216" s="6" t="inlineStr">
        <is>
          <t>平均每100,000个 eligible events 注入1次，间隔加入±50%抖动</t>
        </is>
      </c>
      <c r="I216" s="6" t="inlineStr">
        <is>
          <t>W8 FP-ScalarProbe</t>
        </is>
      </c>
      <c r="J216" s="6" t="inlineStr">
        <is>
          <t>FP-ScalarProbe（自设定向负载）
执行定义与oracle：FP32/FP64 add/mul/div/sqrt/FMA、NaN/Inf/±0/subnormal、四种舍入、FP exception；位级结果与 FPSR/FPCR oracle</t>
        </is>
      </c>
      <c r="K216" s="6" t="inlineStr">
        <is>
          <t>兼容活跃候选tag非空</t>
        </is>
      </c>
      <c r="L216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16" s="6" t="inlineStr">
        <is>
          <t>合法旧值读取预期高SDC；跨类别错误可能表现为lane重解释</t>
        </is>
      </c>
      <c r="N216" s="6" t="inlineStr">
        <is>
          <t>覆盖合法错误依赖与类别选择</t>
        </is>
      </c>
      <c r="O216" s="6" t="inlineStr">
        <is>
          <t>本方案结构化模型</t>
        </is>
      </c>
      <c r="P216" s="9" t="n"/>
      <c r="Q216" s="9" t="n"/>
      <c r="R216" s="9" t="n"/>
      <c r="S216" s="9" t="n"/>
      <c r="T216" s="9" t="n"/>
      <c r="U216" s="9" t="n"/>
      <c r="V216" s="9" t="n"/>
      <c r="W216" s="9" t="n"/>
      <c r="X216" s="12">
        <f>IF(OR(R216="",R216-AP216&lt;=0),"",AB216/(R216-AP216))</f>
        <v/>
      </c>
      <c r="Y216" s="12">
        <f>IFERROR(R216/AR216,0)</f>
        <v/>
      </c>
      <c r="Z216" s="9" t="inlineStr">
        <is>
          <t>待执行</t>
        </is>
      </c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12">
        <f>IF(OR(R216="",R216-AP216&lt;=0),"",AO216/(R216-AP216))</f>
        <v/>
      </c>
      <c r="AM216" s="11">
        <f>IF(R216="","",SUM(AC216:AF216)-(R216-AP216))</f>
        <v/>
      </c>
      <c r="AN216" s="11">
        <f>IF(R216="","",SUM(S216:W216)+AP216-R216)</f>
        <v/>
      </c>
      <c r="AO216" s="9" t="n"/>
      <c r="AP216" s="9" t="n"/>
      <c r="AQ216" s="27" t="inlineStr">
        <is>
          <t>FR03-a FP源tag合法换值；FR03-b Vec源tag合法换值；FR03-c FP↔Vec跨类别换值（宽度兼容）</t>
        </is>
      </c>
      <c r="AR216" s="39" t="n"/>
      <c r="AS216" s="39">
        <f>IFERROR(AR216/Q216,0)</f>
        <v/>
      </c>
      <c r="AT216" s="39" t="n">
        <v>30</v>
      </c>
      <c r="AU216" s="39" t="n">
        <v>385</v>
      </c>
      <c r="AV216" s="39" t="inlineStr">
        <is>
          <t>常规</t>
        </is>
      </c>
      <c r="AW216" s="39" t="inlineStr">
        <is>
          <t>累计至少385，不机械扩展到2401</t>
        </is>
      </c>
    </row>
    <row r="217" ht="118.0500030517578" customHeight="1">
      <c r="A217" s="6" t="inlineStr">
        <is>
          <t>FR03-F2-W9</t>
        </is>
      </c>
      <c r="B217" s="6" t="inlineStr">
        <is>
          <t>FR03</t>
        </is>
      </c>
      <c r="C217" s="6" t="inlineStr">
        <is>
          <t>FP/SIMD Rename</t>
        </is>
      </c>
      <c r="D217" s="6" t="inlineStr">
        <is>
          <t>FP/Vec源物理tag和寄存器类别选择。</t>
        </is>
      </c>
      <c r="E217" s="6" t="inlineStr">
        <is>
          <t>换值</t>
        </is>
      </c>
      <c r="F217" s="6" t="inlineStr">
        <is>
          <t>把源tag换成另一活跃ready tag；FP↔Vec跨类别仅在宽度兼容时作为独立子模型。从当前有效且生命周期合法的候选集合中选择另一个合法值；禁止空闲、越界或编码非法候选。保存source/target和候选集大小。仅当替换值被消费时计activated。触发：兼容活跃候选tag非空。</t>
        </is>
      </c>
      <c r="G217" s="6" t="inlineStr">
        <is>
          <t>F2</t>
        </is>
      </c>
      <c r="H217" s="6" t="inlineStr">
        <is>
          <t>平均每100,000个 eligible events 注入1次，间隔加入±50%抖动</t>
        </is>
      </c>
      <c r="I217" s="6" t="inlineStr">
        <is>
          <t>W9 NEON-LaneProbe</t>
        </is>
      </c>
      <c r="J217" s="6" t="inlineStr">
        <is>
          <t>NEON-LaneProbe（自设定向负载）
执行定义与oracle：8/16/32/64-bit lane、整数/浮点 AdvSIMD、lane extract/insert、widen/narrow、permute、reduce；逐 lane 比对</t>
        </is>
      </c>
      <c r="K217" s="6" t="inlineStr">
        <is>
          <t>兼容活跃候选tag非空</t>
        </is>
      </c>
      <c r="L217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17" s="6" t="inlineStr">
        <is>
          <t>合法旧值读取预期高SDC；跨类别错误可能表现为lane重解释</t>
        </is>
      </c>
      <c r="N217" s="6" t="inlineStr">
        <is>
          <t>覆盖合法错误依赖与类别选择</t>
        </is>
      </c>
      <c r="O217" s="6" t="inlineStr">
        <is>
          <t>本方案结构化模型</t>
        </is>
      </c>
      <c r="P217" s="9" t="n"/>
      <c r="Q217" s="9" t="n"/>
      <c r="R217" s="9" t="n"/>
      <c r="S217" s="9" t="n"/>
      <c r="T217" s="9" t="n"/>
      <c r="U217" s="9" t="n"/>
      <c r="V217" s="9" t="n"/>
      <c r="W217" s="9" t="n"/>
      <c r="X217" s="12">
        <f>IF(OR(R217="",R217-AP217&lt;=0),"",AB217/(R217-AP217))</f>
        <v/>
      </c>
      <c r="Y217" s="12">
        <f>IFERROR(R217/AR217,0)</f>
        <v/>
      </c>
      <c r="Z217" s="9" t="inlineStr">
        <is>
          <t>待执行</t>
        </is>
      </c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12">
        <f>IF(OR(R217="",R217-AP217&lt;=0),"",AO217/(R217-AP217))</f>
        <v/>
      </c>
      <c r="AM217" s="11">
        <f>IF(R217="","",SUM(AC217:AF217)-(R217-AP217))</f>
        <v/>
      </c>
      <c r="AN217" s="11">
        <f>IF(R217="","",SUM(S217:W217)+AP217-R217)</f>
        <v/>
      </c>
      <c r="AO217" s="9" t="n"/>
      <c r="AP217" s="9" t="n"/>
      <c r="AQ217" s="27" t="inlineStr">
        <is>
          <t>FR03-a FP源tag合法换值；FR03-b Vec源tag合法换值；FR03-c FP↔Vec跨类别换值（宽度兼容）</t>
        </is>
      </c>
      <c r="AR217" s="39" t="n"/>
      <c r="AS217" s="39">
        <f>IFERROR(AR217/Q217,0)</f>
        <v/>
      </c>
      <c r="AT217" s="39" t="n">
        <v>30</v>
      </c>
      <c r="AU217" s="39" t="n">
        <v>385</v>
      </c>
      <c r="AV217" s="39" t="inlineStr">
        <is>
          <t>常规</t>
        </is>
      </c>
      <c r="AW217" s="39" t="inlineStr">
        <is>
          <t>累计至少385，不机械扩展到2401</t>
        </is>
      </c>
    </row>
    <row r="218" ht="118.0500030517578" customHeight="1">
      <c r="A218" s="6" t="inlineStr">
        <is>
          <t>FR03-F6-W8</t>
        </is>
      </c>
      <c r="B218" s="6" t="inlineStr">
        <is>
          <t>FR03</t>
        </is>
      </c>
      <c r="C218" s="6" t="inlineStr">
        <is>
          <t>FP/SIMD Rename</t>
        </is>
      </c>
      <c r="D218" s="6" t="inlineStr">
        <is>
          <t>FP/Vec源物理tag和寄存器类别选择。</t>
        </is>
      </c>
      <c r="E218" s="6" t="inlineStr">
        <is>
          <t>换值</t>
        </is>
      </c>
      <c r="F218" s="6" t="inlineStr">
        <is>
          <t>把源tag换成另一活跃ready tag；FP↔Vec跨类别仅在宽度兼容时作为独立子模型。从当前有效且生命周期合法的候选集合中选择另一个合法值；禁止空闲、越界或编码非法候选。保存source/target和候选集大小。仅当替换值被消费时计activated。触发：兼容活跃候选tag非空。</t>
        </is>
      </c>
      <c r="G218" s="6" t="inlineStr">
        <is>
          <t>F6</t>
        </is>
      </c>
      <c r="H218" s="6" t="inlineStr">
        <is>
          <t>首次出现指定稀有事件时注入1次，保证结构化模型被激活</t>
        </is>
      </c>
      <c r="I218" s="6" t="inlineStr">
        <is>
          <t>W8 FP-ScalarProbe</t>
        </is>
      </c>
      <c r="J218" s="6" t="inlineStr">
        <is>
          <t>FP-ScalarProbe（自设定向负载）
执行定义与oracle：FP32/FP64 add/mul/div/sqrt/FMA、NaN/Inf/±0/subnormal、四种舍入、FP exception；位级结果与 FPSR/FPCR oracle</t>
        </is>
      </c>
      <c r="K218" s="6" t="inlineStr">
        <is>
          <t>兼容活跃候选tag非空</t>
        </is>
      </c>
      <c r="L218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18" s="6" t="inlineStr">
        <is>
          <t>合法旧值读取预期高SDC；跨类别错误可能表现为lane重解释</t>
        </is>
      </c>
      <c r="N218" s="6" t="inlineStr">
        <is>
          <t>覆盖合法错误依赖与类别选择</t>
        </is>
      </c>
      <c r="O218" s="6" t="inlineStr">
        <is>
          <t>本方案结构化模型</t>
        </is>
      </c>
      <c r="P218" s="9" t="n"/>
      <c r="Q218" s="9" t="n"/>
      <c r="R218" s="9" t="n"/>
      <c r="S218" s="9" t="n"/>
      <c r="T218" s="9" t="n"/>
      <c r="U218" s="9" t="n"/>
      <c r="V218" s="9" t="n"/>
      <c r="W218" s="9" t="n"/>
      <c r="X218" s="12">
        <f>IF(OR(R218="",R218-AP218&lt;=0),"",AB218/(R218-AP218))</f>
        <v/>
      </c>
      <c r="Y218" s="12">
        <f>IFERROR(R218/AR218,0)</f>
        <v/>
      </c>
      <c r="Z218" s="9" t="inlineStr">
        <is>
          <t>待执行</t>
        </is>
      </c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12">
        <f>IF(OR(R218="",R218-AP218&lt;=0),"",AO218/(R218-AP218))</f>
        <v/>
      </c>
      <c r="AM218" s="11">
        <f>IF(R218="","",SUM(AC218:AF218)-(R218-AP218))</f>
        <v/>
      </c>
      <c r="AN218" s="11">
        <f>IF(R218="","",SUM(S218:W218)+AP218-R218)</f>
        <v/>
      </c>
      <c r="AO218" s="9" t="n"/>
      <c r="AP218" s="9" t="n"/>
      <c r="AQ218" s="27" t="inlineStr">
        <is>
          <t>FR03-a FP源tag合法换值；FR03-b Vec源tag合法换值；FR03-c FP↔Vec跨类别换值（宽度兼容）</t>
        </is>
      </c>
      <c r="AR218" s="39" t="n"/>
      <c r="AS218" s="39">
        <f>IFERROR(AR218/Q218,0)</f>
        <v/>
      </c>
      <c r="AT218" s="39" t="n">
        <v>30</v>
      </c>
      <c r="AU218" s="39" t="n">
        <v>2401</v>
      </c>
      <c r="AV218" s="39" t="inlineStr">
        <is>
          <t>预登记重点</t>
        </is>
      </c>
      <c r="AW218" s="39" t="inlineStr">
        <is>
          <t>累计2401（含pilot与前385），不得序贯停止</t>
        </is>
      </c>
    </row>
    <row r="219" ht="118.0500030517578" customHeight="1">
      <c r="A219" s="6" t="inlineStr">
        <is>
          <t>FR03-F6-W9</t>
        </is>
      </c>
      <c r="B219" s="6" t="inlineStr">
        <is>
          <t>FR03</t>
        </is>
      </c>
      <c r="C219" s="6" t="inlineStr">
        <is>
          <t>FP/SIMD Rename</t>
        </is>
      </c>
      <c r="D219" s="6" t="inlineStr">
        <is>
          <t>FP/Vec源物理tag和寄存器类别选择。</t>
        </is>
      </c>
      <c r="E219" s="6" t="inlineStr">
        <is>
          <t>换值</t>
        </is>
      </c>
      <c r="F219" s="6" t="inlineStr">
        <is>
          <t>把源tag换成另一活跃ready tag；FP↔Vec跨类别仅在宽度兼容时作为独立子模型。从当前有效且生命周期合法的候选集合中选择另一个合法值；禁止空闲、越界或编码非法候选。保存source/target和候选集大小。仅当替换值被消费时计activated。触发：兼容活跃候选tag非空。</t>
        </is>
      </c>
      <c r="G219" s="6" t="inlineStr">
        <is>
          <t>F6</t>
        </is>
      </c>
      <c r="H219" s="6" t="inlineStr">
        <is>
          <t>首次出现指定稀有事件时注入1次，保证结构化模型被激活</t>
        </is>
      </c>
      <c r="I219" s="6" t="inlineStr">
        <is>
          <t>W9 NEON-LaneProbe</t>
        </is>
      </c>
      <c r="J219" s="6" t="inlineStr">
        <is>
          <t>NEON-LaneProbe（自设定向负载）
执行定义与oracle：8/16/32/64-bit lane、整数/浮点 AdvSIMD、lane extract/insert、widen/narrow、permute、reduce；逐 lane 比对</t>
        </is>
      </c>
      <c r="K219" s="6" t="inlineStr">
        <is>
          <t>兼容活跃候选tag非空</t>
        </is>
      </c>
      <c r="L219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19" s="6" t="inlineStr">
        <is>
          <t>合法旧值读取预期高SDC；跨类别错误可能表现为lane重解释</t>
        </is>
      </c>
      <c r="N219" s="6" t="inlineStr">
        <is>
          <t>覆盖合法错误依赖与类别选择</t>
        </is>
      </c>
      <c r="O219" s="6" t="inlineStr">
        <is>
          <t>本方案结构化模型</t>
        </is>
      </c>
      <c r="P219" s="9" t="n"/>
      <c r="Q219" s="9" t="n"/>
      <c r="R219" s="9" t="n"/>
      <c r="S219" s="9" t="n"/>
      <c r="T219" s="9" t="n"/>
      <c r="U219" s="9" t="n"/>
      <c r="V219" s="9" t="n"/>
      <c r="W219" s="9" t="n"/>
      <c r="X219" s="12">
        <f>IF(OR(R219="",R219-AP219&lt;=0),"",AB219/(R219-AP219))</f>
        <v/>
      </c>
      <c r="Y219" s="12">
        <f>IFERROR(R219/AR219,0)</f>
        <v/>
      </c>
      <c r="Z219" s="9" t="inlineStr">
        <is>
          <t>待执行</t>
        </is>
      </c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12">
        <f>IF(OR(R219="",R219-AP219&lt;=0),"",AO219/(R219-AP219))</f>
        <v/>
      </c>
      <c r="AM219" s="11">
        <f>IF(R219="","",SUM(AC219:AF219)-(R219-AP219))</f>
        <v/>
      </c>
      <c r="AN219" s="11">
        <f>IF(R219="","",SUM(S219:W219)+AP219-R219)</f>
        <v/>
      </c>
      <c r="AO219" s="9" t="n"/>
      <c r="AP219" s="9" t="n"/>
      <c r="AQ219" s="27" t="inlineStr">
        <is>
          <t>FR03-a FP源tag合法换值；FR03-b Vec源tag合法换值；FR03-c FP↔Vec跨类别换值（宽度兼容）</t>
        </is>
      </c>
      <c r="AR219" s="39" t="n"/>
      <c r="AS219" s="39">
        <f>IFERROR(AR219/Q219,0)</f>
        <v/>
      </c>
      <c r="AT219" s="39" t="n">
        <v>30</v>
      </c>
      <c r="AU219" s="39" t="n">
        <v>385</v>
      </c>
      <c r="AV219" s="39" t="inlineStr">
        <is>
          <t>常规</t>
        </is>
      </c>
      <c r="AW219" s="39" t="inlineStr">
        <is>
          <t>累计至少385，不机械扩展到2401</t>
        </is>
      </c>
    </row>
    <row r="220" ht="118.0500030517578" customHeight="1">
      <c r="A220" s="6" t="inlineStr">
        <is>
          <t>FR04-F0-W9</t>
        </is>
      </c>
      <c r="B220" s="6" t="inlineStr">
        <is>
          <t>FR04</t>
        </is>
      </c>
      <c r="C220" s="6" t="inlineStr">
        <is>
          <t>FP/SIMD Rename</t>
        </is>
      </c>
      <c r="D220" s="6" t="inlineStr">
        <is>
          <t>FP/Vec目的new-dest和old-dest tag。</t>
        </is>
      </c>
      <c r="E220" s="6" t="inlineStr">
        <is>
          <t>换值</t>
        </is>
      </c>
      <c r="F220" s="6" t="inlineStr">
        <is>
          <t>分别替换new-dest为空闲合法tag、old-dest为另一活跃tag。从当前有效且生命周期合法的候选集合中选择另一个合法值；禁止空闲、越界或编码非法候选。保存source/target和候选集大小。仅当替换值被消费时计activated。触发：FP/SIMD目的需要分配。</t>
        </is>
      </c>
      <c r="G220" s="6" t="inlineStr">
        <is>
          <t>F0</t>
        </is>
      </c>
      <c r="H220" s="6" t="inlineStr">
        <is>
          <t>每次运行只注入1次；warm-up后在 eligible event 中均匀抽样</t>
        </is>
      </c>
      <c r="I220" s="6" t="inlineStr">
        <is>
          <t>W9 NEON-LaneProbe</t>
        </is>
      </c>
      <c r="J220" s="6" t="inlineStr">
        <is>
          <t>NEON-LaneProbe（自设定向负载）
执行定义与oracle：8/16/32/64-bit lane、整数/浮点 AdvSIMD、lane extract/insert、widen/narrow、permute、reduce；逐 lane 比对</t>
        </is>
      </c>
      <c r="K220" s="6" t="inlineStr">
        <is>
          <t>FP/SIMD目的需要分配</t>
        </is>
      </c>
      <c r="L220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20" s="6" t="inlineStr">
        <is>
          <t>错误new-dest可造成writeback/consumer错配；错误old-dest导致延迟释放错误</t>
        </is>
      </c>
      <c r="N220" s="6" t="inlineStr">
        <is>
          <t>区分即时数据路径和生命周期传播</t>
        </is>
      </c>
      <c r="O220" s="6" t="inlineStr">
        <is>
          <t>本方案结构化模型</t>
        </is>
      </c>
      <c r="P220" s="9" t="n"/>
      <c r="Q220" s="9" t="n"/>
      <c r="R220" s="9" t="n"/>
      <c r="S220" s="9" t="n"/>
      <c r="T220" s="9" t="n"/>
      <c r="U220" s="9" t="n"/>
      <c r="V220" s="9" t="n"/>
      <c r="W220" s="9" t="n"/>
      <c r="X220" s="12">
        <f>IF(OR(R220="",R220-AP220&lt;=0),"",AB220/(R220-AP220))</f>
        <v/>
      </c>
      <c r="Y220" s="12">
        <f>IFERROR(R220/AR220,0)</f>
        <v/>
      </c>
      <c r="Z220" s="9" t="inlineStr">
        <is>
          <t>待执行</t>
        </is>
      </c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12">
        <f>IF(OR(R220="",R220-AP220&lt;=0),"",AO220/(R220-AP220))</f>
        <v/>
      </c>
      <c r="AM220" s="11">
        <f>IF(R220="","",SUM(AC220:AF220)-(R220-AP220))</f>
        <v/>
      </c>
      <c r="AN220" s="11">
        <f>IF(R220="","",SUM(S220:W220)+AP220-R220)</f>
        <v/>
      </c>
      <c r="AO220" s="9" t="n"/>
      <c r="AP220" s="9" t="n"/>
      <c r="AQ220" s="27" t="inlineStr">
        <is>
          <t>FR04-a FP/Vec new-dest替换；FR04-b FP/Vec old-dest替换；子模型分开统计</t>
        </is>
      </c>
      <c r="AR220" s="39" t="n"/>
      <c r="AS220" s="39">
        <f>IFERROR(AR220/Q220,0)</f>
        <v/>
      </c>
      <c r="AT220" s="39" t="n">
        <v>30</v>
      </c>
      <c r="AU220" s="39" t="n">
        <v>385</v>
      </c>
      <c r="AV220" s="39" t="inlineStr">
        <is>
          <t>常规</t>
        </is>
      </c>
      <c r="AW220" s="39" t="inlineStr">
        <is>
          <t>累计至少385，不机械扩展到2401</t>
        </is>
      </c>
    </row>
    <row r="221" ht="118.0500030517578" customHeight="1">
      <c r="A221" s="6" t="inlineStr">
        <is>
          <t>FR04-F0-W10</t>
        </is>
      </c>
      <c r="B221" s="6" t="inlineStr">
        <is>
          <t>FR04</t>
        </is>
      </c>
      <c r="C221" s="6" t="inlineStr">
        <is>
          <t>FP/SIMD Rename</t>
        </is>
      </c>
      <c r="D221" s="6" t="inlineStr">
        <is>
          <t>FP/Vec目的new-dest和old-dest tag。</t>
        </is>
      </c>
      <c r="E221" s="6" t="inlineStr">
        <is>
          <t>换值</t>
        </is>
      </c>
      <c r="F221" s="6" t="inlineStr">
        <is>
          <t>分别替换new-dest为空闲合法tag、old-dest为另一活跃tag。从当前有效且生命周期合法的候选集合中选择另一个合法值；禁止空闲、越界或编码非法候选。保存source/target和候选集大小。仅当替换值被消费时计activated。触发：FP/SIMD目的需要分配。</t>
        </is>
      </c>
      <c r="G221" s="6" t="inlineStr">
        <is>
          <t>F0</t>
        </is>
      </c>
      <c r="H221" s="6" t="inlineStr">
        <is>
          <t>每次运行只注入1次；warm-up后在 eligible event 中均匀抽样</t>
        </is>
      </c>
      <c r="I221" s="6" t="inlineStr">
        <is>
          <t>W10 PolyBench</t>
        </is>
      </c>
      <c r="J221" s="6" t="inlineStr">
        <is>
          <t>PolyBench（公开通用）
执行定义与oracle：gemm、2mm、lu、cholesky、jacobi-2d；固定规模；输出数组逐元素/容差双校验</t>
        </is>
      </c>
      <c r="K221" s="6" t="inlineStr">
        <is>
          <t>FP/SIMD目的需要分配</t>
        </is>
      </c>
      <c r="L221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21" s="6" t="inlineStr">
        <is>
          <t>错误new-dest可造成writeback/consumer错配；错误old-dest导致延迟释放错误</t>
        </is>
      </c>
      <c r="N221" s="6" t="inlineStr">
        <is>
          <t>区分即时数据路径和生命周期传播</t>
        </is>
      </c>
      <c r="O221" s="6" t="inlineStr">
        <is>
          <t>本方案结构化模型</t>
        </is>
      </c>
      <c r="P221" s="9" t="n"/>
      <c r="Q221" s="9" t="n"/>
      <c r="R221" s="9" t="n"/>
      <c r="S221" s="9" t="n"/>
      <c r="T221" s="9" t="n"/>
      <c r="U221" s="9" t="n"/>
      <c r="V221" s="9" t="n"/>
      <c r="W221" s="9" t="n"/>
      <c r="X221" s="12">
        <f>IF(OR(R221="",R221-AP221&lt;=0),"",AB221/(R221-AP221))</f>
        <v/>
      </c>
      <c r="Y221" s="12">
        <f>IFERROR(R221/AR221,0)</f>
        <v/>
      </c>
      <c r="Z221" s="9" t="inlineStr">
        <is>
          <t>待执行</t>
        </is>
      </c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12">
        <f>IF(OR(R221="",R221-AP221&lt;=0),"",AO221/(R221-AP221))</f>
        <v/>
      </c>
      <c r="AM221" s="11">
        <f>IF(R221="","",SUM(AC221:AF221)-(R221-AP221))</f>
        <v/>
      </c>
      <c r="AN221" s="11">
        <f>IF(R221="","",SUM(S221:W221)+AP221-R221)</f>
        <v/>
      </c>
      <c r="AO221" s="9" t="n"/>
      <c r="AP221" s="9" t="n"/>
      <c r="AQ221" s="27" t="inlineStr">
        <is>
          <t>FR04-a FP/Vec new-dest替换；FR04-b FP/Vec old-dest替换；子模型分开统计</t>
        </is>
      </c>
      <c r="AR221" s="39" t="n"/>
      <c r="AS221" s="39">
        <f>IFERROR(AR221/Q221,0)</f>
        <v/>
      </c>
      <c r="AT221" s="39" t="n">
        <v>30</v>
      </c>
      <c r="AU221" s="39" t="n">
        <v>385</v>
      </c>
      <c r="AV221" s="39" t="inlineStr">
        <is>
          <t>常规</t>
        </is>
      </c>
      <c r="AW221" s="39" t="inlineStr">
        <is>
          <t>累计至少385，不机械扩展到2401</t>
        </is>
      </c>
    </row>
    <row r="222" ht="118.0500030517578" customHeight="1">
      <c r="A222" s="6" t="inlineStr">
        <is>
          <t>FR04-F2-W9</t>
        </is>
      </c>
      <c r="B222" s="6" t="inlineStr">
        <is>
          <t>FR04</t>
        </is>
      </c>
      <c r="C222" s="6" t="inlineStr">
        <is>
          <t>FP/SIMD Rename</t>
        </is>
      </c>
      <c r="D222" s="6" t="inlineStr">
        <is>
          <t>FP/Vec目的new-dest和old-dest tag。</t>
        </is>
      </c>
      <c r="E222" s="6" t="inlineStr">
        <is>
          <t>换值</t>
        </is>
      </c>
      <c r="F222" s="6" t="inlineStr">
        <is>
          <t>分别替换new-dest为空闲合法tag、old-dest为另一活跃tag。从当前有效且生命周期合法的候选集合中选择另一个合法值；禁止空闲、越界或编码非法候选。保存source/target和候选集大小。仅当替换值被消费时计activated。触发：FP/SIMD目的需要分配。</t>
        </is>
      </c>
      <c r="G222" s="6" t="inlineStr">
        <is>
          <t>F2</t>
        </is>
      </c>
      <c r="H222" s="6" t="inlineStr">
        <is>
          <t>平均每100,000个 eligible events 注入1次，间隔加入±50%抖动</t>
        </is>
      </c>
      <c r="I222" s="6" t="inlineStr">
        <is>
          <t>W9 NEON-LaneProbe</t>
        </is>
      </c>
      <c r="J222" s="6" t="inlineStr">
        <is>
          <t>NEON-LaneProbe（自设定向负载）
执行定义与oracle：8/16/32/64-bit lane、整数/浮点 AdvSIMD、lane extract/insert、widen/narrow、permute、reduce；逐 lane 比对</t>
        </is>
      </c>
      <c r="K222" s="6" t="inlineStr">
        <is>
          <t>FP/SIMD目的需要分配</t>
        </is>
      </c>
      <c r="L222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22" s="6" t="inlineStr">
        <is>
          <t>错误new-dest可造成writeback/consumer错配；错误old-dest导致延迟释放错误</t>
        </is>
      </c>
      <c r="N222" s="6" t="inlineStr">
        <is>
          <t>区分即时数据路径和生命周期传播</t>
        </is>
      </c>
      <c r="O222" s="6" t="inlineStr">
        <is>
          <t>本方案结构化模型</t>
        </is>
      </c>
      <c r="P222" s="9" t="n"/>
      <c r="Q222" s="9" t="n"/>
      <c r="R222" s="9" t="n"/>
      <c r="S222" s="9" t="n"/>
      <c r="T222" s="9" t="n"/>
      <c r="U222" s="9" t="n"/>
      <c r="V222" s="9" t="n"/>
      <c r="W222" s="9" t="n"/>
      <c r="X222" s="12">
        <f>IF(OR(R222="",R222-AP222&lt;=0),"",AB222/(R222-AP222))</f>
        <v/>
      </c>
      <c r="Y222" s="12">
        <f>IFERROR(R222/AR222,0)</f>
        <v/>
      </c>
      <c r="Z222" s="9" t="inlineStr">
        <is>
          <t>待执行</t>
        </is>
      </c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12">
        <f>IF(OR(R222="",R222-AP222&lt;=0),"",AO222/(R222-AP222))</f>
        <v/>
      </c>
      <c r="AM222" s="11">
        <f>IF(R222="","",SUM(AC222:AF222)-(R222-AP222))</f>
        <v/>
      </c>
      <c r="AN222" s="11">
        <f>IF(R222="","",SUM(S222:W222)+AP222-R222)</f>
        <v/>
      </c>
      <c r="AO222" s="9" t="n"/>
      <c r="AP222" s="9" t="n"/>
      <c r="AQ222" s="27" t="inlineStr">
        <is>
          <t>FR04-a FP/Vec new-dest替换；FR04-b FP/Vec old-dest替换；子模型分开统计</t>
        </is>
      </c>
      <c r="AR222" s="39" t="n"/>
      <c r="AS222" s="39">
        <f>IFERROR(AR222/Q222,0)</f>
        <v/>
      </c>
      <c r="AT222" s="39" t="n">
        <v>30</v>
      </c>
      <c r="AU222" s="39" t="n">
        <v>385</v>
      </c>
      <c r="AV222" s="39" t="inlineStr">
        <is>
          <t>常规</t>
        </is>
      </c>
      <c r="AW222" s="39" t="inlineStr">
        <is>
          <t>累计至少385，不机械扩展到2401</t>
        </is>
      </c>
    </row>
    <row r="223" ht="118.0500030517578" customHeight="1">
      <c r="A223" s="6" t="inlineStr">
        <is>
          <t>FR04-F2-W10</t>
        </is>
      </c>
      <c r="B223" s="6" t="inlineStr">
        <is>
          <t>FR04</t>
        </is>
      </c>
      <c r="C223" s="6" t="inlineStr">
        <is>
          <t>FP/SIMD Rename</t>
        </is>
      </c>
      <c r="D223" s="6" t="inlineStr">
        <is>
          <t>FP/Vec目的new-dest和old-dest tag。</t>
        </is>
      </c>
      <c r="E223" s="6" t="inlineStr">
        <is>
          <t>换值</t>
        </is>
      </c>
      <c r="F223" s="6" t="inlineStr">
        <is>
          <t>分别替换new-dest为空闲合法tag、old-dest为另一活跃tag。从当前有效且生命周期合法的候选集合中选择另一个合法值；禁止空闲、越界或编码非法候选。保存source/target和候选集大小。仅当替换值被消费时计activated。触发：FP/SIMD目的需要分配。</t>
        </is>
      </c>
      <c r="G223" s="6" t="inlineStr">
        <is>
          <t>F2</t>
        </is>
      </c>
      <c r="H223" s="6" t="inlineStr">
        <is>
          <t>平均每100,000个 eligible events 注入1次，间隔加入±50%抖动</t>
        </is>
      </c>
      <c r="I223" s="6" t="inlineStr">
        <is>
          <t>W10 PolyBench</t>
        </is>
      </c>
      <c r="J223" s="6" t="inlineStr">
        <is>
          <t>PolyBench（公开通用）
执行定义与oracle：gemm、2mm、lu、cholesky、jacobi-2d；固定规模；输出数组逐元素/容差双校验</t>
        </is>
      </c>
      <c r="K223" s="6" t="inlineStr">
        <is>
          <t>FP/SIMD目的需要分配</t>
        </is>
      </c>
      <c r="L223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23" s="6" t="inlineStr">
        <is>
          <t>错误new-dest可造成writeback/consumer错配；错误old-dest导致延迟释放错误</t>
        </is>
      </c>
      <c r="N223" s="6" t="inlineStr">
        <is>
          <t>区分即时数据路径和生命周期传播</t>
        </is>
      </c>
      <c r="O223" s="6" t="inlineStr">
        <is>
          <t>本方案结构化模型</t>
        </is>
      </c>
      <c r="P223" s="9" t="n"/>
      <c r="Q223" s="9" t="n"/>
      <c r="R223" s="9" t="n"/>
      <c r="S223" s="9" t="n"/>
      <c r="T223" s="9" t="n"/>
      <c r="U223" s="9" t="n"/>
      <c r="V223" s="9" t="n"/>
      <c r="W223" s="9" t="n"/>
      <c r="X223" s="12">
        <f>IF(OR(R223="",R223-AP223&lt;=0),"",AB223/(R223-AP223))</f>
        <v/>
      </c>
      <c r="Y223" s="12">
        <f>IFERROR(R223/AR223,0)</f>
        <v/>
      </c>
      <c r="Z223" s="9" t="inlineStr">
        <is>
          <t>待执行</t>
        </is>
      </c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12">
        <f>IF(OR(R223="",R223-AP223&lt;=0),"",AO223/(R223-AP223))</f>
        <v/>
      </c>
      <c r="AM223" s="11">
        <f>IF(R223="","",SUM(AC223:AF223)-(R223-AP223))</f>
        <v/>
      </c>
      <c r="AN223" s="11">
        <f>IF(R223="","",SUM(S223:W223)+AP223-R223)</f>
        <v/>
      </c>
      <c r="AO223" s="9" t="n"/>
      <c r="AP223" s="9" t="n"/>
      <c r="AQ223" s="27" t="inlineStr">
        <is>
          <t>FR04-a FP/Vec new-dest替换；FR04-b FP/Vec old-dest替换；子模型分开统计</t>
        </is>
      </c>
      <c r="AR223" s="39" t="n"/>
      <c r="AS223" s="39">
        <f>IFERROR(AR223/Q223,0)</f>
        <v/>
      </c>
      <c r="AT223" s="39" t="n">
        <v>30</v>
      </c>
      <c r="AU223" s="39" t="n">
        <v>385</v>
      </c>
      <c r="AV223" s="39" t="inlineStr">
        <is>
          <t>常规</t>
        </is>
      </c>
      <c r="AW223" s="39" t="inlineStr">
        <is>
          <t>累计至少385，不机械扩展到2401</t>
        </is>
      </c>
    </row>
    <row r="224" ht="118.0500030517578" customHeight="1">
      <c r="A224" s="6" t="inlineStr">
        <is>
          <t>FR04-F6-W9</t>
        </is>
      </c>
      <c r="B224" s="6" t="inlineStr">
        <is>
          <t>FR04</t>
        </is>
      </c>
      <c r="C224" s="6" t="inlineStr">
        <is>
          <t>FP/SIMD Rename</t>
        </is>
      </c>
      <c r="D224" s="6" t="inlineStr">
        <is>
          <t>FP/Vec目的new-dest和old-dest tag。</t>
        </is>
      </c>
      <c r="E224" s="6" t="inlineStr">
        <is>
          <t>换值</t>
        </is>
      </c>
      <c r="F224" s="6" t="inlineStr">
        <is>
          <t>分别替换new-dest为空闲合法tag、old-dest为另一活跃tag。从当前有效且生命周期合法的候选集合中选择另一个合法值；禁止空闲、越界或编码非法候选。保存source/target和候选集大小。仅当替换值被消费时计activated。触发：FP/SIMD目的需要分配。</t>
        </is>
      </c>
      <c r="G224" s="6" t="inlineStr">
        <is>
          <t>F6</t>
        </is>
      </c>
      <c r="H224" s="6" t="inlineStr">
        <is>
          <t>首次出现指定稀有事件时注入1次，保证结构化模型被激活</t>
        </is>
      </c>
      <c r="I224" s="6" t="inlineStr">
        <is>
          <t>W9 NEON-LaneProbe</t>
        </is>
      </c>
      <c r="J224" s="6" t="inlineStr">
        <is>
          <t>NEON-LaneProbe（自设定向负载）
执行定义与oracle：8/16/32/64-bit lane、整数/浮点 AdvSIMD、lane extract/insert、widen/narrow、permute、reduce；逐 lane 比对</t>
        </is>
      </c>
      <c r="K224" s="6" t="inlineStr">
        <is>
          <t>FP/SIMD目的需要分配</t>
        </is>
      </c>
      <c r="L224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24" s="6" t="inlineStr">
        <is>
          <t>错误new-dest可造成writeback/consumer错配；错误old-dest导致延迟释放错误</t>
        </is>
      </c>
      <c r="N224" s="6" t="inlineStr">
        <is>
          <t>区分即时数据路径和生命周期传播</t>
        </is>
      </c>
      <c r="O224" s="6" t="inlineStr">
        <is>
          <t>本方案结构化模型</t>
        </is>
      </c>
      <c r="P224" s="9" t="n"/>
      <c r="Q224" s="9" t="n"/>
      <c r="R224" s="9" t="n"/>
      <c r="S224" s="9" t="n"/>
      <c r="T224" s="9" t="n"/>
      <c r="U224" s="9" t="n"/>
      <c r="V224" s="9" t="n"/>
      <c r="W224" s="9" t="n"/>
      <c r="X224" s="12">
        <f>IF(OR(R224="",R224-AP224&lt;=0),"",AB224/(R224-AP224))</f>
        <v/>
      </c>
      <c r="Y224" s="12">
        <f>IFERROR(R224/AR224,0)</f>
        <v/>
      </c>
      <c r="Z224" s="9" t="inlineStr">
        <is>
          <t>待执行</t>
        </is>
      </c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12">
        <f>IF(OR(R224="",R224-AP224&lt;=0),"",AO224/(R224-AP224))</f>
        <v/>
      </c>
      <c r="AM224" s="11">
        <f>IF(R224="","",SUM(AC224:AF224)-(R224-AP224))</f>
        <v/>
      </c>
      <c r="AN224" s="11">
        <f>IF(R224="","",SUM(S224:W224)+AP224-R224)</f>
        <v/>
      </c>
      <c r="AO224" s="9" t="n"/>
      <c r="AP224" s="9" t="n"/>
      <c r="AQ224" s="27" t="inlineStr">
        <is>
          <t>FR04-a FP/Vec new-dest替换；FR04-b FP/Vec old-dest替换；子模型分开统计</t>
        </is>
      </c>
      <c r="AR224" s="39" t="n"/>
      <c r="AS224" s="39">
        <f>IFERROR(AR224/Q224,0)</f>
        <v/>
      </c>
      <c r="AT224" s="39" t="n">
        <v>30</v>
      </c>
      <c r="AU224" s="39" t="n">
        <v>385</v>
      </c>
      <c r="AV224" s="39" t="inlineStr">
        <is>
          <t>常规</t>
        </is>
      </c>
      <c r="AW224" s="39" t="inlineStr">
        <is>
          <t>累计至少385，不机械扩展到2401</t>
        </is>
      </c>
    </row>
    <row r="225" ht="118.0500030517578" customHeight="1">
      <c r="A225" s="6" t="inlineStr">
        <is>
          <t>FR04-F6-W10</t>
        </is>
      </c>
      <c r="B225" s="6" t="inlineStr">
        <is>
          <t>FR04</t>
        </is>
      </c>
      <c r="C225" s="6" t="inlineStr">
        <is>
          <t>FP/SIMD Rename</t>
        </is>
      </c>
      <c r="D225" s="6" t="inlineStr">
        <is>
          <t>FP/Vec目的new-dest和old-dest tag。</t>
        </is>
      </c>
      <c r="E225" s="6" t="inlineStr">
        <is>
          <t>换值</t>
        </is>
      </c>
      <c r="F225" s="6" t="inlineStr">
        <is>
          <t>分别替换new-dest为空闲合法tag、old-dest为另一活跃tag。从当前有效且生命周期合法的候选集合中选择另一个合法值；禁止空闲、越界或编码非法候选。保存source/target和候选集大小。仅当替换值被消费时计activated。触发：FP/SIMD目的需要分配。</t>
        </is>
      </c>
      <c r="G225" s="6" t="inlineStr">
        <is>
          <t>F6</t>
        </is>
      </c>
      <c r="H225" s="6" t="inlineStr">
        <is>
          <t>首次出现指定稀有事件时注入1次，保证结构化模型被激活</t>
        </is>
      </c>
      <c r="I225" s="6" t="inlineStr">
        <is>
          <t>W10 PolyBench</t>
        </is>
      </c>
      <c r="J225" s="6" t="inlineStr">
        <is>
          <t>PolyBench（公开通用）
执行定义与oracle：gemm、2mm、lu、cholesky、jacobi-2d；固定规模；输出数组逐元素/容差双校验</t>
        </is>
      </c>
      <c r="K225" s="6" t="inlineStr">
        <is>
          <t>FP/SIMD目的需要分配</t>
        </is>
      </c>
      <c r="L225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25" s="6" t="inlineStr">
        <is>
          <t>错误new-dest可造成writeback/consumer错配；错误old-dest导致延迟释放错误</t>
        </is>
      </c>
      <c r="N225" s="6" t="inlineStr">
        <is>
          <t>区分即时数据路径和生命周期传播</t>
        </is>
      </c>
      <c r="O225" s="6" t="inlineStr">
        <is>
          <t>本方案结构化模型</t>
        </is>
      </c>
      <c r="P225" s="9" t="n"/>
      <c r="Q225" s="9" t="n"/>
      <c r="R225" s="9" t="n"/>
      <c r="S225" s="9" t="n"/>
      <c r="T225" s="9" t="n"/>
      <c r="U225" s="9" t="n"/>
      <c r="V225" s="9" t="n"/>
      <c r="W225" s="9" t="n"/>
      <c r="X225" s="12">
        <f>IF(OR(R225="",R225-AP225&lt;=0),"",AB225/(R225-AP225))</f>
        <v/>
      </c>
      <c r="Y225" s="12">
        <f>IFERROR(R225/AR225,0)</f>
        <v/>
      </c>
      <c r="Z225" s="9" t="inlineStr">
        <is>
          <t>待执行</t>
        </is>
      </c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12">
        <f>IF(OR(R225="",R225-AP225&lt;=0),"",AO225/(R225-AP225))</f>
        <v/>
      </c>
      <c r="AM225" s="11">
        <f>IF(R225="","",SUM(AC225:AF225)-(R225-AP225))</f>
        <v/>
      </c>
      <c r="AN225" s="11">
        <f>IF(R225="","",SUM(S225:W225)+AP225-R225)</f>
        <v/>
      </c>
      <c r="AO225" s="9" t="n"/>
      <c r="AP225" s="9" t="n"/>
      <c r="AQ225" s="27" t="inlineStr">
        <is>
          <t>FR04-a FP/Vec new-dest替换；FR04-b FP/Vec old-dest替换；子模型分开统计</t>
        </is>
      </c>
      <c r="AR225" s="39" t="n"/>
      <c r="AS225" s="39">
        <f>IFERROR(AR225/Q225,0)</f>
        <v/>
      </c>
      <c r="AT225" s="39" t="n">
        <v>30</v>
      </c>
      <c r="AU225" s="39" t="n">
        <v>385</v>
      </c>
      <c r="AV225" s="39" t="inlineStr">
        <is>
          <t>常规</t>
        </is>
      </c>
      <c r="AW225" s="39" t="inlineStr">
        <is>
          <t>累计至少385，不机械扩展到2401</t>
        </is>
      </c>
    </row>
    <row r="226" ht="118.0500030517578" customHeight="1">
      <c r="A226" s="6" t="inlineStr">
        <is>
          <t>FR05-F0-W9</t>
        </is>
      </c>
      <c r="B226" s="6" t="inlineStr">
        <is>
          <t>FR05</t>
        </is>
      </c>
      <c r="C226" s="6" t="inlineStr">
        <is>
          <t>FP/SIMD Rename</t>
        </is>
      </c>
      <c r="D226" s="6" t="inlineStr">
        <is>
          <t>FP/Vec free list bitmap/队列与head。</t>
        </is>
      </c>
      <c r="E226" s="6" t="inlineStr">
        <is>
          <t>状态</t>
        </is>
      </c>
      <c r="F226" s="6" t="inlineStr">
        <is>
          <t>制造一个tag泄漏、重复分配或head合法跳转；FP和Vec池分开。清零、伪造、提前置位和延后清除分成独立子模型，每次运行只改变一种状态转移；记录前后状态机轨迹和关联动态指令。仅当错误状态参与仲裁/转移时计activated。触发：发生FP/Vec目的分配。</t>
        </is>
      </c>
      <c r="G226" s="6" t="inlineStr">
        <is>
          <t>F0</t>
        </is>
      </c>
      <c r="H226" s="6" t="inlineStr">
        <is>
          <t>每次运行只注入1次；warm-up后在 eligible event 中均匀抽样</t>
        </is>
      </c>
      <c r="I226" s="6" t="inlineStr">
        <is>
          <t>W9 NEON-LaneProbe</t>
        </is>
      </c>
      <c r="J226" s="6" t="inlineStr">
        <is>
          <t>NEON-LaneProbe（自设定向负载）
执行定义与oracle：8/16/32/64-bit lane、整数/浮点 AdvSIMD、lane extract/insert、widen/narrow、permute、reduce；逐 lane 比对</t>
        </is>
      </c>
      <c r="K226" s="6" t="inlineStr">
        <is>
          <t>发生FP/Vec目的分配</t>
        </is>
      </c>
      <c r="L226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26" s="6" t="inlineStr">
        <is>
          <t>泄漏导致资源耗尽；重复分配可能让两个向量目的相互覆盖并SDC</t>
        </is>
      </c>
      <c r="N226" s="6" t="inlineStr">
        <is>
          <t>适配独立物理寄存器池</t>
        </is>
      </c>
      <c r="O226" s="6" t="inlineStr">
        <is>
          <t>本方案结构化模型</t>
        </is>
      </c>
      <c r="P226" s="9" t="n"/>
      <c r="Q226" s="9" t="n"/>
      <c r="R226" s="9" t="n"/>
      <c r="S226" s="9" t="n"/>
      <c r="T226" s="9" t="n"/>
      <c r="U226" s="9" t="n"/>
      <c r="V226" s="9" t="n"/>
      <c r="W226" s="9" t="n"/>
      <c r="X226" s="12">
        <f>IF(OR(R226="",R226-AP226&lt;=0),"",AB226/(R226-AP226))</f>
        <v/>
      </c>
      <c r="Y226" s="12">
        <f>IFERROR(R226/AR226,0)</f>
        <v/>
      </c>
      <c r="Z226" s="9" t="inlineStr">
        <is>
          <t>待执行</t>
        </is>
      </c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12">
        <f>IF(OR(R226="",R226-AP226&lt;=0),"",AO226/(R226-AP226))</f>
        <v/>
      </c>
      <c r="AM226" s="11">
        <f>IF(R226="","",SUM(AC226:AF226)-(R226-AP226))</f>
        <v/>
      </c>
      <c r="AN226" s="11">
        <f>IF(R226="","",SUM(S226:W226)+AP226-R226)</f>
        <v/>
      </c>
      <c r="AO226" s="9" t="n"/>
      <c r="AP226" s="9" t="n"/>
      <c r="AQ226" s="27" t="inlineStr">
        <is>
          <t>FR05-a FP free-list泄漏；FR05-b Vec free-list泄漏；FR05-c 重复分配；FR05-d head合法跳转</t>
        </is>
      </c>
      <c r="AR226" s="39" t="n"/>
      <c r="AS226" s="39">
        <f>IFERROR(AR226/Q226,0)</f>
        <v/>
      </c>
      <c r="AT226" s="39" t="n">
        <v>30</v>
      </c>
      <c r="AU226" s="39" t="n">
        <v>385</v>
      </c>
      <c r="AV226" s="39" t="inlineStr">
        <is>
          <t>常规</t>
        </is>
      </c>
      <c r="AW226" s="39" t="inlineStr">
        <is>
          <t>累计至少385，不机械扩展到2401</t>
        </is>
      </c>
    </row>
    <row r="227" ht="118.0500030517578" customHeight="1">
      <c r="A227" s="6" t="inlineStr">
        <is>
          <t>FR05-F0-W10</t>
        </is>
      </c>
      <c r="B227" s="6" t="inlineStr">
        <is>
          <t>FR05</t>
        </is>
      </c>
      <c r="C227" s="6" t="inlineStr">
        <is>
          <t>FP/SIMD Rename</t>
        </is>
      </c>
      <c r="D227" s="6" t="inlineStr">
        <is>
          <t>FP/Vec free list bitmap/队列与head。</t>
        </is>
      </c>
      <c r="E227" s="6" t="inlineStr">
        <is>
          <t>状态</t>
        </is>
      </c>
      <c r="F227" s="6" t="inlineStr">
        <is>
          <t>制造一个tag泄漏、重复分配或head合法跳转；FP和Vec池分开。清零、伪造、提前置位和延后清除分成独立子模型，每次运行只改变一种状态转移；记录前后状态机轨迹和关联动态指令。仅当错误状态参与仲裁/转移时计activated。触发：发生FP/Vec目的分配。</t>
        </is>
      </c>
      <c r="G227" s="6" t="inlineStr">
        <is>
          <t>F0</t>
        </is>
      </c>
      <c r="H227" s="6" t="inlineStr">
        <is>
          <t>每次运行只注入1次；warm-up后在 eligible event 中均匀抽样</t>
        </is>
      </c>
      <c r="I227" s="6" t="inlineStr">
        <is>
          <t>W10 PolyBench</t>
        </is>
      </c>
      <c r="J227" s="6" t="inlineStr">
        <is>
          <t>PolyBench（公开通用）
执行定义与oracle：gemm、2mm、lu、cholesky、jacobi-2d；固定规模；输出数组逐元素/容差双校验</t>
        </is>
      </c>
      <c r="K227" s="6" t="inlineStr">
        <is>
          <t>发生FP/Vec目的分配</t>
        </is>
      </c>
      <c r="L227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27" s="6" t="inlineStr">
        <is>
          <t>泄漏导致资源耗尽；重复分配可能让两个向量目的相互覆盖并SDC</t>
        </is>
      </c>
      <c r="N227" s="6" t="inlineStr">
        <is>
          <t>适配独立物理寄存器池</t>
        </is>
      </c>
      <c r="O227" s="6" t="inlineStr">
        <is>
          <t>本方案结构化模型</t>
        </is>
      </c>
      <c r="P227" s="9" t="n"/>
      <c r="Q227" s="9" t="n"/>
      <c r="R227" s="9" t="n"/>
      <c r="S227" s="9" t="n"/>
      <c r="T227" s="9" t="n"/>
      <c r="U227" s="9" t="n"/>
      <c r="V227" s="9" t="n"/>
      <c r="W227" s="9" t="n"/>
      <c r="X227" s="12">
        <f>IF(OR(R227="",R227-AP227&lt;=0),"",AB227/(R227-AP227))</f>
        <v/>
      </c>
      <c r="Y227" s="12">
        <f>IFERROR(R227/AR227,0)</f>
        <v/>
      </c>
      <c r="Z227" s="9" t="inlineStr">
        <is>
          <t>待执行</t>
        </is>
      </c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12">
        <f>IF(OR(R227="",R227-AP227&lt;=0),"",AO227/(R227-AP227))</f>
        <v/>
      </c>
      <c r="AM227" s="11">
        <f>IF(R227="","",SUM(AC227:AF227)-(R227-AP227))</f>
        <v/>
      </c>
      <c r="AN227" s="11">
        <f>IF(R227="","",SUM(S227:W227)+AP227-R227)</f>
        <v/>
      </c>
      <c r="AO227" s="9" t="n"/>
      <c r="AP227" s="9" t="n"/>
      <c r="AQ227" s="27" t="inlineStr">
        <is>
          <t>FR05-a FP free-list泄漏；FR05-b Vec free-list泄漏；FR05-c 重复分配；FR05-d head合法跳转</t>
        </is>
      </c>
      <c r="AR227" s="39" t="n"/>
      <c r="AS227" s="39">
        <f>IFERROR(AR227/Q227,0)</f>
        <v/>
      </c>
      <c r="AT227" s="39" t="n">
        <v>30</v>
      </c>
      <c r="AU227" s="39" t="n">
        <v>385</v>
      </c>
      <c r="AV227" s="39" t="inlineStr">
        <is>
          <t>常规</t>
        </is>
      </c>
      <c r="AW227" s="39" t="inlineStr">
        <is>
          <t>累计至少385，不机械扩展到2401</t>
        </is>
      </c>
    </row>
    <row r="228" ht="118.0500030517578" customHeight="1">
      <c r="A228" s="6" t="inlineStr">
        <is>
          <t>FR05-F2-W9</t>
        </is>
      </c>
      <c r="B228" s="6" t="inlineStr">
        <is>
          <t>FR05</t>
        </is>
      </c>
      <c r="C228" s="6" t="inlineStr">
        <is>
          <t>FP/SIMD Rename</t>
        </is>
      </c>
      <c r="D228" s="6" t="inlineStr">
        <is>
          <t>FP/Vec free list bitmap/队列与head。</t>
        </is>
      </c>
      <c r="E228" s="6" t="inlineStr">
        <is>
          <t>状态</t>
        </is>
      </c>
      <c r="F228" s="6" t="inlineStr">
        <is>
          <t>制造一个tag泄漏、重复分配或head合法跳转；FP和Vec池分开。清零、伪造、提前置位和延后清除分成独立子模型，每次运行只改变一种状态转移；记录前后状态机轨迹和关联动态指令。仅当错误状态参与仲裁/转移时计activated。触发：发生FP/Vec目的分配。</t>
        </is>
      </c>
      <c r="G228" s="6" t="inlineStr">
        <is>
          <t>F2</t>
        </is>
      </c>
      <c r="H228" s="6" t="inlineStr">
        <is>
          <t>平均每100,000个 eligible events 注入1次，间隔加入±50%抖动</t>
        </is>
      </c>
      <c r="I228" s="6" t="inlineStr">
        <is>
          <t>W9 NEON-LaneProbe</t>
        </is>
      </c>
      <c r="J228" s="6" t="inlineStr">
        <is>
          <t>NEON-LaneProbe（自设定向负载）
执行定义与oracle：8/16/32/64-bit lane、整数/浮点 AdvSIMD、lane extract/insert、widen/narrow、permute、reduce；逐 lane 比对</t>
        </is>
      </c>
      <c r="K228" s="6" t="inlineStr">
        <is>
          <t>发生FP/Vec目的分配</t>
        </is>
      </c>
      <c r="L228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28" s="6" t="inlineStr">
        <is>
          <t>泄漏导致资源耗尽；重复分配可能让两个向量目的相互覆盖并SDC</t>
        </is>
      </c>
      <c r="N228" s="6" t="inlineStr">
        <is>
          <t>适配独立物理寄存器池</t>
        </is>
      </c>
      <c r="O228" s="6" t="inlineStr">
        <is>
          <t>本方案结构化模型</t>
        </is>
      </c>
      <c r="P228" s="9" t="n"/>
      <c r="Q228" s="9" t="n"/>
      <c r="R228" s="9" t="n"/>
      <c r="S228" s="9" t="n"/>
      <c r="T228" s="9" t="n"/>
      <c r="U228" s="9" t="n"/>
      <c r="V228" s="9" t="n"/>
      <c r="W228" s="9" t="n"/>
      <c r="X228" s="12">
        <f>IF(OR(R228="",R228-AP228&lt;=0),"",AB228/(R228-AP228))</f>
        <v/>
      </c>
      <c r="Y228" s="12">
        <f>IFERROR(R228/AR228,0)</f>
        <v/>
      </c>
      <c r="Z228" s="9" t="inlineStr">
        <is>
          <t>待执行</t>
        </is>
      </c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12">
        <f>IF(OR(R228="",R228-AP228&lt;=0),"",AO228/(R228-AP228))</f>
        <v/>
      </c>
      <c r="AM228" s="11">
        <f>IF(R228="","",SUM(AC228:AF228)-(R228-AP228))</f>
        <v/>
      </c>
      <c r="AN228" s="11">
        <f>IF(R228="","",SUM(S228:W228)+AP228-R228)</f>
        <v/>
      </c>
      <c r="AO228" s="9" t="n"/>
      <c r="AP228" s="9" t="n"/>
      <c r="AQ228" s="27" t="inlineStr">
        <is>
          <t>FR05-a FP free-list泄漏；FR05-b Vec free-list泄漏；FR05-c 重复分配；FR05-d head合法跳转</t>
        </is>
      </c>
      <c r="AR228" s="39" t="n"/>
      <c r="AS228" s="39">
        <f>IFERROR(AR228/Q228,0)</f>
        <v/>
      </c>
      <c r="AT228" s="39" t="n">
        <v>30</v>
      </c>
      <c r="AU228" s="39" t="n">
        <v>385</v>
      </c>
      <c r="AV228" s="39" t="inlineStr">
        <is>
          <t>常规</t>
        </is>
      </c>
      <c r="AW228" s="39" t="inlineStr">
        <is>
          <t>累计至少385，不机械扩展到2401</t>
        </is>
      </c>
    </row>
    <row r="229" ht="118.0500030517578" customHeight="1">
      <c r="A229" s="6" t="inlineStr">
        <is>
          <t>FR05-F2-W10</t>
        </is>
      </c>
      <c r="B229" s="6" t="inlineStr">
        <is>
          <t>FR05</t>
        </is>
      </c>
      <c r="C229" s="6" t="inlineStr">
        <is>
          <t>FP/SIMD Rename</t>
        </is>
      </c>
      <c r="D229" s="6" t="inlineStr">
        <is>
          <t>FP/Vec free list bitmap/队列与head。</t>
        </is>
      </c>
      <c r="E229" s="6" t="inlineStr">
        <is>
          <t>状态</t>
        </is>
      </c>
      <c r="F229" s="6" t="inlineStr">
        <is>
          <t>制造一个tag泄漏、重复分配或head合法跳转；FP和Vec池分开。清零、伪造、提前置位和延后清除分成独立子模型，每次运行只改变一种状态转移；记录前后状态机轨迹和关联动态指令。仅当错误状态参与仲裁/转移时计activated。触发：发生FP/Vec目的分配。</t>
        </is>
      </c>
      <c r="G229" s="6" t="inlineStr">
        <is>
          <t>F2</t>
        </is>
      </c>
      <c r="H229" s="6" t="inlineStr">
        <is>
          <t>平均每100,000个 eligible events 注入1次，间隔加入±50%抖动</t>
        </is>
      </c>
      <c r="I229" s="6" t="inlineStr">
        <is>
          <t>W10 PolyBench</t>
        </is>
      </c>
      <c r="J229" s="6" t="inlineStr">
        <is>
          <t>PolyBench（公开通用）
执行定义与oracle：gemm、2mm、lu、cholesky、jacobi-2d；固定规模；输出数组逐元素/容差双校验</t>
        </is>
      </c>
      <c r="K229" s="6" t="inlineStr">
        <is>
          <t>发生FP/Vec目的分配</t>
        </is>
      </c>
      <c r="L229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29" s="6" t="inlineStr">
        <is>
          <t>泄漏导致资源耗尽；重复分配可能让两个向量目的相互覆盖并SDC</t>
        </is>
      </c>
      <c r="N229" s="6" t="inlineStr">
        <is>
          <t>适配独立物理寄存器池</t>
        </is>
      </c>
      <c r="O229" s="6" t="inlineStr">
        <is>
          <t>本方案结构化模型</t>
        </is>
      </c>
      <c r="P229" s="9" t="n"/>
      <c r="Q229" s="9" t="n"/>
      <c r="R229" s="9" t="n"/>
      <c r="S229" s="9" t="n"/>
      <c r="T229" s="9" t="n"/>
      <c r="U229" s="9" t="n"/>
      <c r="V229" s="9" t="n"/>
      <c r="W229" s="9" t="n"/>
      <c r="X229" s="12">
        <f>IF(OR(R229="",R229-AP229&lt;=0),"",AB229/(R229-AP229))</f>
        <v/>
      </c>
      <c r="Y229" s="12">
        <f>IFERROR(R229/AR229,0)</f>
        <v/>
      </c>
      <c r="Z229" s="9" t="inlineStr">
        <is>
          <t>待执行</t>
        </is>
      </c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12">
        <f>IF(OR(R229="",R229-AP229&lt;=0),"",AO229/(R229-AP229))</f>
        <v/>
      </c>
      <c r="AM229" s="11">
        <f>IF(R229="","",SUM(AC229:AF229)-(R229-AP229))</f>
        <v/>
      </c>
      <c r="AN229" s="11">
        <f>IF(R229="","",SUM(S229:W229)+AP229-R229)</f>
        <v/>
      </c>
      <c r="AO229" s="9" t="n"/>
      <c r="AP229" s="9" t="n"/>
      <c r="AQ229" s="27" t="inlineStr">
        <is>
          <t>FR05-a FP free-list泄漏；FR05-b Vec free-list泄漏；FR05-c 重复分配；FR05-d head合法跳转</t>
        </is>
      </c>
      <c r="AR229" s="39" t="n"/>
      <c r="AS229" s="39">
        <f>IFERROR(AR229/Q229,0)</f>
        <v/>
      </c>
      <c r="AT229" s="39" t="n">
        <v>30</v>
      </c>
      <c r="AU229" s="39" t="n">
        <v>385</v>
      </c>
      <c r="AV229" s="39" t="inlineStr">
        <is>
          <t>常规</t>
        </is>
      </c>
      <c r="AW229" s="39" t="inlineStr">
        <is>
          <t>累计至少385，不机械扩展到2401</t>
        </is>
      </c>
    </row>
    <row r="230" ht="118.0500030517578" customHeight="1">
      <c r="A230" s="6" t="inlineStr">
        <is>
          <t>FR05-F6-W9</t>
        </is>
      </c>
      <c r="B230" s="6" t="inlineStr">
        <is>
          <t>FR05</t>
        </is>
      </c>
      <c r="C230" s="6" t="inlineStr">
        <is>
          <t>FP/SIMD Rename</t>
        </is>
      </c>
      <c r="D230" s="6" t="inlineStr">
        <is>
          <t>FP/Vec free list bitmap/队列与head。</t>
        </is>
      </c>
      <c r="E230" s="6" t="inlineStr">
        <is>
          <t>状态</t>
        </is>
      </c>
      <c r="F230" s="6" t="inlineStr">
        <is>
          <t>制造一个tag泄漏、重复分配或head合法跳转；FP和Vec池分开。清零、伪造、提前置位和延后清除分成独立子模型，每次运行只改变一种状态转移；记录前后状态机轨迹和关联动态指令。仅当错误状态参与仲裁/转移时计activated。触发：发生FP/Vec目的分配。</t>
        </is>
      </c>
      <c r="G230" s="6" t="inlineStr">
        <is>
          <t>F6</t>
        </is>
      </c>
      <c r="H230" s="6" t="inlineStr">
        <is>
          <t>首次出现指定稀有事件时注入1次，保证结构化模型被激活</t>
        </is>
      </c>
      <c r="I230" s="6" t="inlineStr">
        <is>
          <t>W9 NEON-LaneProbe</t>
        </is>
      </c>
      <c r="J230" s="6" t="inlineStr">
        <is>
          <t>NEON-LaneProbe（自设定向负载）
执行定义与oracle：8/16/32/64-bit lane、整数/浮点 AdvSIMD、lane extract/insert、widen/narrow、permute、reduce；逐 lane 比对</t>
        </is>
      </c>
      <c r="K230" s="6" t="inlineStr">
        <is>
          <t>发生FP/Vec目的分配</t>
        </is>
      </c>
      <c r="L230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30" s="6" t="inlineStr">
        <is>
          <t>泄漏导致资源耗尽；重复分配可能让两个向量目的相互覆盖并SDC</t>
        </is>
      </c>
      <c r="N230" s="6" t="inlineStr">
        <is>
          <t>适配独立物理寄存器池</t>
        </is>
      </c>
      <c r="O230" s="6" t="inlineStr">
        <is>
          <t>本方案结构化模型</t>
        </is>
      </c>
      <c r="P230" s="9" t="n"/>
      <c r="Q230" s="9" t="n"/>
      <c r="R230" s="9" t="n"/>
      <c r="S230" s="9" t="n"/>
      <c r="T230" s="9" t="n"/>
      <c r="U230" s="9" t="n"/>
      <c r="V230" s="9" t="n"/>
      <c r="W230" s="9" t="n"/>
      <c r="X230" s="12">
        <f>IF(OR(R230="",R230-AP230&lt;=0),"",AB230/(R230-AP230))</f>
        <v/>
      </c>
      <c r="Y230" s="12">
        <f>IFERROR(R230/AR230,0)</f>
        <v/>
      </c>
      <c r="Z230" s="9" t="inlineStr">
        <is>
          <t>待执行</t>
        </is>
      </c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12">
        <f>IF(OR(R230="",R230-AP230&lt;=0),"",AO230/(R230-AP230))</f>
        <v/>
      </c>
      <c r="AM230" s="11">
        <f>IF(R230="","",SUM(AC230:AF230)-(R230-AP230))</f>
        <v/>
      </c>
      <c r="AN230" s="11">
        <f>IF(R230="","",SUM(S230:W230)+AP230-R230)</f>
        <v/>
      </c>
      <c r="AO230" s="9" t="n"/>
      <c r="AP230" s="9" t="n"/>
      <c r="AQ230" s="27" t="inlineStr">
        <is>
          <t>FR05-a FP free-list泄漏；FR05-b Vec free-list泄漏；FR05-c 重复分配；FR05-d head合法跳转</t>
        </is>
      </c>
      <c r="AR230" s="39" t="n"/>
      <c r="AS230" s="39">
        <f>IFERROR(AR230/Q230,0)</f>
        <v/>
      </c>
      <c r="AT230" s="39" t="n">
        <v>30</v>
      </c>
      <c r="AU230" s="39" t="n">
        <v>385</v>
      </c>
      <c r="AV230" s="39" t="inlineStr">
        <is>
          <t>常规</t>
        </is>
      </c>
      <c r="AW230" s="39" t="inlineStr">
        <is>
          <t>累计至少385，不机械扩展到2401</t>
        </is>
      </c>
    </row>
    <row r="231" ht="118.0500030517578" customHeight="1">
      <c r="A231" s="6" t="inlineStr">
        <is>
          <t>FR05-F6-W10</t>
        </is>
      </c>
      <c r="B231" s="6" t="inlineStr">
        <is>
          <t>FR05</t>
        </is>
      </c>
      <c r="C231" s="6" t="inlineStr">
        <is>
          <t>FP/SIMD Rename</t>
        </is>
      </c>
      <c r="D231" s="6" t="inlineStr">
        <is>
          <t>FP/Vec free list bitmap/队列与head。</t>
        </is>
      </c>
      <c r="E231" s="6" t="inlineStr">
        <is>
          <t>状态</t>
        </is>
      </c>
      <c r="F231" s="6" t="inlineStr">
        <is>
          <t>制造一个tag泄漏、重复分配或head合法跳转；FP和Vec池分开。清零、伪造、提前置位和延后清除分成独立子模型，每次运行只改变一种状态转移；记录前后状态机轨迹和关联动态指令。仅当错误状态参与仲裁/转移时计activated。触发：发生FP/Vec目的分配。</t>
        </is>
      </c>
      <c r="G231" s="6" t="inlineStr">
        <is>
          <t>F6</t>
        </is>
      </c>
      <c r="H231" s="6" t="inlineStr">
        <is>
          <t>首次出现指定稀有事件时注入1次，保证结构化模型被激活</t>
        </is>
      </c>
      <c r="I231" s="6" t="inlineStr">
        <is>
          <t>W10 PolyBench</t>
        </is>
      </c>
      <c r="J231" s="6" t="inlineStr">
        <is>
          <t>PolyBench（公开通用）
执行定义与oracle：gemm、2mm、lu、cholesky、jacobi-2d；固定规模；输出数组逐元素/容差双校验</t>
        </is>
      </c>
      <c r="K231" s="6" t="inlineStr">
        <is>
          <t>发生FP/Vec目的分配</t>
        </is>
      </c>
      <c r="L231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31" s="6" t="inlineStr">
        <is>
          <t>泄漏导致资源耗尽；重复分配可能让两个向量目的相互覆盖并SDC</t>
        </is>
      </c>
      <c r="N231" s="6" t="inlineStr">
        <is>
          <t>适配独立物理寄存器池</t>
        </is>
      </c>
      <c r="O231" s="6" t="inlineStr">
        <is>
          <t>本方案结构化模型</t>
        </is>
      </c>
      <c r="P231" s="9" t="n"/>
      <c r="Q231" s="9" t="n"/>
      <c r="R231" s="9" t="n"/>
      <c r="S231" s="9" t="n"/>
      <c r="T231" s="9" t="n"/>
      <c r="U231" s="9" t="n"/>
      <c r="V231" s="9" t="n"/>
      <c r="W231" s="9" t="n"/>
      <c r="X231" s="12">
        <f>IF(OR(R231="",R231-AP231&lt;=0),"",AB231/(R231-AP231))</f>
        <v/>
      </c>
      <c r="Y231" s="12">
        <f>IFERROR(R231/AR231,0)</f>
        <v/>
      </c>
      <c r="Z231" s="9" t="inlineStr">
        <is>
          <t>待执行</t>
        </is>
      </c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12">
        <f>IF(OR(R231="",R231-AP231&lt;=0),"",AO231/(R231-AP231))</f>
        <v/>
      </c>
      <c r="AM231" s="11">
        <f>IF(R231="","",SUM(AC231:AF231)-(R231-AP231))</f>
        <v/>
      </c>
      <c r="AN231" s="11">
        <f>IF(R231="","",SUM(S231:W231)+AP231-R231)</f>
        <v/>
      </c>
      <c r="AO231" s="9" t="n"/>
      <c r="AP231" s="9" t="n"/>
      <c r="AQ231" s="27" t="inlineStr">
        <is>
          <t>FR05-a FP free-list泄漏；FR05-b Vec free-list泄漏；FR05-c 重复分配；FR05-d head合法跳转</t>
        </is>
      </c>
      <c r="AR231" s="39" t="n"/>
      <c r="AS231" s="39">
        <f>IFERROR(AR231/Q231,0)</f>
        <v/>
      </c>
      <c r="AT231" s="39" t="n">
        <v>30</v>
      </c>
      <c r="AU231" s="39" t="n">
        <v>385</v>
      </c>
      <c r="AV231" s="39" t="inlineStr">
        <is>
          <t>常规</t>
        </is>
      </c>
      <c r="AW231" s="39" t="inlineStr">
        <is>
          <t>累计至少385，不机械扩展到2401</t>
        </is>
      </c>
    </row>
    <row r="232" ht="118.0500030517578" customHeight="1">
      <c r="A232" s="6" t="inlineStr">
        <is>
          <t>FR06-F0-W10</t>
        </is>
      </c>
      <c r="B232" s="6" t="inlineStr">
        <is>
          <t>FR06</t>
        </is>
      </c>
      <c r="C232" s="6" t="inlineStr">
        <is>
          <t>FP/SIMD Rename</t>
        </is>
      </c>
      <c r="D232" s="6" t="inlineStr">
        <is>
          <t>分支checkpoint中的FP/Vec RAT状态。</t>
        </is>
      </c>
      <c r="E232" s="6" t="inlineStr">
        <is>
          <t>换值</t>
        </is>
      </c>
      <c r="F232" s="6" t="inlineStr">
        <is>
          <t>mispredict恢复时选错checkpoint或恢复一个V寄存器的旧合法tag。从当前有效且生命周期合法的候选集合中选择另一个合法值；禁止空闲、越界或编码非法候选。保存source/target和候选集大小。仅当替换值被消费时计activated。触发：FP/SIMD活跃区间内发生嵌套分支squash。</t>
        </is>
      </c>
      <c r="G232" s="6" t="inlineStr">
        <is>
          <t>F0</t>
        </is>
      </c>
      <c r="H232" s="6" t="inlineStr">
        <is>
          <t>每次运行只注入1次；warm-up后在 eligible event 中均匀抽样</t>
        </is>
      </c>
      <c r="I232" s="6" t="inlineStr">
        <is>
          <t>W10 PolyBench</t>
        </is>
      </c>
      <c r="J232" s="6" t="inlineStr">
        <is>
          <t>PolyBench（公开通用）
执行定义与oracle：gemm、2mm、lu、cholesky、jacobi-2d；固定规模；输出数组逐元素/容差双校验</t>
        </is>
      </c>
      <c r="K232" s="6" t="inlineStr">
        <is>
          <t>FP/SIMD活跃区间内发生嵌套分支squash</t>
        </is>
      </c>
      <c r="L232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32" s="6" t="inlineStr">
        <is>
          <t>错误只在恢复后出现，潜伏距离长；旧向量值仍合法，SDC风险高</t>
        </is>
      </c>
      <c r="N232" s="6" t="inlineStr">
        <is>
          <t>覆盖投机恢复对FP状态的影响</t>
        </is>
      </c>
      <c r="O232" s="6" t="inlineStr">
        <is>
          <t>本方案结构化模型</t>
        </is>
      </c>
      <c r="P232" s="9" t="n"/>
      <c r="Q232" s="9" t="n"/>
      <c r="R232" s="9" t="n"/>
      <c r="S232" s="9" t="n"/>
      <c r="T232" s="9" t="n"/>
      <c r="U232" s="9" t="n"/>
      <c r="V232" s="9" t="n"/>
      <c r="W232" s="9" t="n"/>
      <c r="X232" s="12">
        <f>IF(OR(R232="",R232-AP232&lt;=0),"",AB232/(R232-AP232))</f>
        <v/>
      </c>
      <c r="Y232" s="12">
        <f>IFERROR(R232/AR232,0)</f>
        <v/>
      </c>
      <c r="Z232" s="9" t="inlineStr">
        <is>
          <t>待执行</t>
        </is>
      </c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12">
        <f>IF(OR(R232="",R232-AP232&lt;=0),"",AO232/(R232-AP232))</f>
        <v/>
      </c>
      <c r="AM232" s="11">
        <f>IF(R232="","",SUM(AC232:AF232)-(R232-AP232))</f>
        <v/>
      </c>
      <c r="AN232" s="11">
        <f>IF(R232="","",SUM(S232:W232)+AP232-R232)</f>
        <v/>
      </c>
      <c r="AO232" s="9" t="n"/>
      <c r="AP232" s="9" t="n"/>
      <c r="AQ232" s="27" t="inlineStr">
        <is>
          <t>FR06-a 选择错误FP/Vec checkpoint；FR06-b 恢复旧V寄存器合法tag</t>
        </is>
      </c>
      <c r="AR232" s="39" t="n"/>
      <c r="AS232" s="39">
        <f>IFERROR(AR232/Q232,0)</f>
        <v/>
      </c>
      <c r="AT232" s="39" t="n">
        <v>30</v>
      </c>
      <c r="AU232" s="39" t="n">
        <v>385</v>
      </c>
      <c r="AV232" s="39" t="inlineStr">
        <is>
          <t>常规</t>
        </is>
      </c>
      <c r="AW232" s="39" t="inlineStr">
        <is>
          <t>累计至少385，不机械扩展到2401</t>
        </is>
      </c>
    </row>
    <row r="233" ht="118.0500030517578" customHeight="1">
      <c r="A233" s="6" t="inlineStr">
        <is>
          <t>FR06-F0-W13</t>
        </is>
      </c>
      <c r="B233" s="6" t="inlineStr">
        <is>
          <t>FR06</t>
        </is>
      </c>
      <c r="C233" s="6" t="inlineStr">
        <is>
          <t>FP/SIMD Rename</t>
        </is>
      </c>
      <c r="D233" s="6" t="inlineStr">
        <is>
          <t>分支checkpoint中的FP/Vec RAT状态。</t>
        </is>
      </c>
      <c r="E233" s="6" t="inlineStr">
        <is>
          <t>换值</t>
        </is>
      </c>
      <c r="F233" s="6" t="inlineStr">
        <is>
          <t>mispredict恢复时选错checkpoint或恢复一个V寄存器的旧合法tag。从当前有效且生命周期合法的候选集合中选择另一个合法值；禁止空闲、越界或编码非法候选。保存source/target和候选集大小。仅当替换值被消费时计activated。触发：FP/SIMD活跃区间内发生嵌套分支squash。</t>
        </is>
      </c>
      <c r="G233" s="6" t="inlineStr">
        <is>
          <t>F0</t>
        </is>
      </c>
      <c r="H233" s="6" t="inlineStr">
        <is>
          <t>每次运行只注入1次；warm-up后在 eligible event 中均匀抽样</t>
        </is>
      </c>
      <c r="I233" s="6" t="inlineStr">
        <is>
          <t>W13 FP-ExceptionRecovery</t>
        </is>
      </c>
      <c r="J233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233" s="6" t="inlineStr">
        <is>
          <t>FP/SIMD活跃区间内发生嵌套分支squash</t>
        </is>
      </c>
      <c r="L233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33" s="6" t="inlineStr">
        <is>
          <t>错误只在恢复后出现，潜伏距离长；旧向量值仍合法，SDC风险高</t>
        </is>
      </c>
      <c r="N233" s="6" t="inlineStr">
        <is>
          <t>覆盖投机恢复对FP状态的影响</t>
        </is>
      </c>
      <c r="O233" s="6" t="inlineStr">
        <is>
          <t>本方案结构化模型</t>
        </is>
      </c>
      <c r="P233" s="9" t="n"/>
      <c r="Q233" s="9" t="n"/>
      <c r="R233" s="9" t="n"/>
      <c r="S233" s="9" t="n"/>
      <c r="T233" s="9" t="n"/>
      <c r="U233" s="9" t="n"/>
      <c r="V233" s="9" t="n"/>
      <c r="W233" s="9" t="n"/>
      <c r="X233" s="12">
        <f>IF(OR(R233="",R233-AP233&lt;=0),"",AB233/(R233-AP233))</f>
        <v/>
      </c>
      <c r="Y233" s="12">
        <f>IFERROR(R233/AR233,0)</f>
        <v/>
      </c>
      <c r="Z233" s="9" t="inlineStr">
        <is>
          <t>待执行</t>
        </is>
      </c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12">
        <f>IF(OR(R233="",R233-AP233&lt;=0),"",AO233/(R233-AP233))</f>
        <v/>
      </c>
      <c r="AM233" s="11">
        <f>IF(R233="","",SUM(AC233:AF233)-(R233-AP233))</f>
        <v/>
      </c>
      <c r="AN233" s="11">
        <f>IF(R233="","",SUM(S233:W233)+AP233-R233)</f>
        <v/>
      </c>
      <c r="AO233" s="9" t="n"/>
      <c r="AP233" s="9" t="n"/>
      <c r="AQ233" s="27" t="inlineStr">
        <is>
          <t>FR06-a 选择错误FP/Vec checkpoint；FR06-b 恢复旧V寄存器合法tag</t>
        </is>
      </c>
      <c r="AR233" s="39" t="n"/>
      <c r="AS233" s="39">
        <f>IFERROR(AR233/Q233,0)</f>
        <v/>
      </c>
      <c r="AT233" s="39" t="n">
        <v>30</v>
      </c>
      <c r="AU233" s="39" t="n">
        <v>385</v>
      </c>
      <c r="AV233" s="39" t="inlineStr">
        <is>
          <t>常规</t>
        </is>
      </c>
      <c r="AW233" s="39" t="inlineStr">
        <is>
          <t>累计至少385，不机械扩展到2401</t>
        </is>
      </c>
    </row>
    <row r="234" ht="118.0500030517578" customHeight="1">
      <c r="A234" s="6" t="inlineStr">
        <is>
          <t>FR06-F2-W10</t>
        </is>
      </c>
      <c r="B234" s="6" t="inlineStr">
        <is>
          <t>FR06</t>
        </is>
      </c>
      <c r="C234" s="6" t="inlineStr">
        <is>
          <t>FP/SIMD Rename</t>
        </is>
      </c>
      <c r="D234" s="6" t="inlineStr">
        <is>
          <t>分支checkpoint中的FP/Vec RAT状态。</t>
        </is>
      </c>
      <c r="E234" s="6" t="inlineStr">
        <is>
          <t>换值</t>
        </is>
      </c>
      <c r="F234" s="6" t="inlineStr">
        <is>
          <t>mispredict恢复时选错checkpoint或恢复一个V寄存器的旧合法tag。从当前有效且生命周期合法的候选集合中选择另一个合法值；禁止空闲、越界或编码非法候选。保存source/target和候选集大小。仅当替换值被消费时计activated。触发：FP/SIMD活跃区间内发生嵌套分支squash。</t>
        </is>
      </c>
      <c r="G234" s="6" t="inlineStr">
        <is>
          <t>F2</t>
        </is>
      </c>
      <c r="H234" s="6" t="inlineStr">
        <is>
          <t>平均每100,000个 eligible events 注入1次，间隔加入±50%抖动</t>
        </is>
      </c>
      <c r="I234" s="6" t="inlineStr">
        <is>
          <t>W10 PolyBench</t>
        </is>
      </c>
      <c r="J234" s="6" t="inlineStr">
        <is>
          <t>PolyBench（公开通用）
执行定义与oracle：gemm、2mm、lu、cholesky、jacobi-2d；固定规模；输出数组逐元素/容差双校验</t>
        </is>
      </c>
      <c r="K234" s="6" t="inlineStr">
        <is>
          <t>FP/SIMD活跃区间内发生嵌套分支squash</t>
        </is>
      </c>
      <c r="L234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34" s="6" t="inlineStr">
        <is>
          <t>错误只在恢复后出现，潜伏距离长；旧向量值仍合法，SDC风险高</t>
        </is>
      </c>
      <c r="N234" s="6" t="inlineStr">
        <is>
          <t>覆盖投机恢复对FP状态的影响</t>
        </is>
      </c>
      <c r="O234" s="6" t="inlineStr">
        <is>
          <t>本方案结构化模型</t>
        </is>
      </c>
      <c r="P234" s="9" t="n"/>
      <c r="Q234" s="9" t="n"/>
      <c r="R234" s="9" t="n"/>
      <c r="S234" s="9" t="n"/>
      <c r="T234" s="9" t="n"/>
      <c r="U234" s="9" t="n"/>
      <c r="V234" s="9" t="n"/>
      <c r="W234" s="9" t="n"/>
      <c r="X234" s="12">
        <f>IF(OR(R234="",R234-AP234&lt;=0),"",AB234/(R234-AP234))</f>
        <v/>
      </c>
      <c r="Y234" s="12">
        <f>IFERROR(R234/AR234,0)</f>
        <v/>
      </c>
      <c r="Z234" s="9" t="inlineStr">
        <is>
          <t>待执行</t>
        </is>
      </c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12">
        <f>IF(OR(R234="",R234-AP234&lt;=0),"",AO234/(R234-AP234))</f>
        <v/>
      </c>
      <c r="AM234" s="11">
        <f>IF(R234="","",SUM(AC234:AF234)-(R234-AP234))</f>
        <v/>
      </c>
      <c r="AN234" s="11">
        <f>IF(R234="","",SUM(S234:W234)+AP234-R234)</f>
        <v/>
      </c>
      <c r="AO234" s="9" t="n"/>
      <c r="AP234" s="9" t="n"/>
      <c r="AQ234" s="27" t="inlineStr">
        <is>
          <t>FR06-a 选择错误FP/Vec checkpoint；FR06-b 恢复旧V寄存器合法tag</t>
        </is>
      </c>
      <c r="AR234" s="39" t="n"/>
      <c r="AS234" s="39">
        <f>IFERROR(AR234/Q234,0)</f>
        <v/>
      </c>
      <c r="AT234" s="39" t="n">
        <v>30</v>
      </c>
      <c r="AU234" s="39" t="n">
        <v>385</v>
      </c>
      <c r="AV234" s="39" t="inlineStr">
        <is>
          <t>常规</t>
        </is>
      </c>
      <c r="AW234" s="39" t="inlineStr">
        <is>
          <t>累计至少385，不机械扩展到2401</t>
        </is>
      </c>
    </row>
    <row r="235" ht="118.0500030517578" customHeight="1">
      <c r="A235" s="6" t="inlineStr">
        <is>
          <t>FR06-F2-W13</t>
        </is>
      </c>
      <c r="B235" s="6" t="inlineStr">
        <is>
          <t>FR06</t>
        </is>
      </c>
      <c r="C235" s="6" t="inlineStr">
        <is>
          <t>FP/SIMD Rename</t>
        </is>
      </c>
      <c r="D235" s="6" t="inlineStr">
        <is>
          <t>分支checkpoint中的FP/Vec RAT状态。</t>
        </is>
      </c>
      <c r="E235" s="6" t="inlineStr">
        <is>
          <t>换值</t>
        </is>
      </c>
      <c r="F235" s="6" t="inlineStr">
        <is>
          <t>mispredict恢复时选错checkpoint或恢复一个V寄存器的旧合法tag。从当前有效且生命周期合法的候选集合中选择另一个合法值；禁止空闲、越界或编码非法候选。保存source/target和候选集大小。仅当替换值被消费时计activated。触发：FP/SIMD活跃区间内发生嵌套分支squash。</t>
        </is>
      </c>
      <c r="G235" s="6" t="inlineStr">
        <is>
          <t>F2</t>
        </is>
      </c>
      <c r="H235" s="6" t="inlineStr">
        <is>
          <t>平均每100,000个 eligible events 注入1次，间隔加入±50%抖动</t>
        </is>
      </c>
      <c r="I235" s="6" t="inlineStr">
        <is>
          <t>W13 FP-ExceptionRecovery</t>
        </is>
      </c>
      <c r="J235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235" s="6" t="inlineStr">
        <is>
          <t>FP/SIMD活跃区间内发生嵌套分支squash</t>
        </is>
      </c>
      <c r="L235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35" s="6" t="inlineStr">
        <is>
          <t>错误只在恢复后出现，潜伏距离长；旧向量值仍合法，SDC风险高</t>
        </is>
      </c>
      <c r="N235" s="6" t="inlineStr">
        <is>
          <t>覆盖投机恢复对FP状态的影响</t>
        </is>
      </c>
      <c r="O235" s="6" t="inlineStr">
        <is>
          <t>本方案结构化模型</t>
        </is>
      </c>
      <c r="P235" s="9" t="n"/>
      <c r="Q235" s="9" t="n"/>
      <c r="R235" s="9" t="n"/>
      <c r="S235" s="9" t="n"/>
      <c r="T235" s="9" t="n"/>
      <c r="U235" s="9" t="n"/>
      <c r="V235" s="9" t="n"/>
      <c r="W235" s="9" t="n"/>
      <c r="X235" s="12">
        <f>IF(OR(R235="",R235-AP235&lt;=0),"",AB235/(R235-AP235))</f>
        <v/>
      </c>
      <c r="Y235" s="12">
        <f>IFERROR(R235/AR235,0)</f>
        <v/>
      </c>
      <c r="Z235" s="9" t="inlineStr">
        <is>
          <t>待执行</t>
        </is>
      </c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12">
        <f>IF(OR(R235="",R235-AP235&lt;=0),"",AO235/(R235-AP235))</f>
        <v/>
      </c>
      <c r="AM235" s="11">
        <f>IF(R235="","",SUM(AC235:AF235)-(R235-AP235))</f>
        <v/>
      </c>
      <c r="AN235" s="11">
        <f>IF(R235="","",SUM(S235:W235)+AP235-R235)</f>
        <v/>
      </c>
      <c r="AO235" s="9" t="n"/>
      <c r="AP235" s="9" t="n"/>
      <c r="AQ235" s="27" t="inlineStr">
        <is>
          <t>FR06-a 选择错误FP/Vec checkpoint；FR06-b 恢复旧V寄存器合法tag</t>
        </is>
      </c>
      <c r="AR235" s="39" t="n"/>
      <c r="AS235" s="39">
        <f>IFERROR(AR235/Q235,0)</f>
        <v/>
      </c>
      <c r="AT235" s="39" t="n">
        <v>30</v>
      </c>
      <c r="AU235" s="39" t="n">
        <v>385</v>
      </c>
      <c r="AV235" s="39" t="inlineStr">
        <is>
          <t>常规</t>
        </is>
      </c>
      <c r="AW235" s="39" t="inlineStr">
        <is>
          <t>累计至少385，不机械扩展到2401</t>
        </is>
      </c>
    </row>
    <row r="236" ht="118.0500030517578" customHeight="1">
      <c r="A236" s="6" t="inlineStr">
        <is>
          <t>FR06-F6-W10</t>
        </is>
      </c>
      <c r="B236" s="6" t="inlineStr">
        <is>
          <t>FR06</t>
        </is>
      </c>
      <c r="C236" s="6" t="inlineStr">
        <is>
          <t>FP/SIMD Rename</t>
        </is>
      </c>
      <c r="D236" s="6" t="inlineStr">
        <is>
          <t>分支checkpoint中的FP/Vec RAT状态。</t>
        </is>
      </c>
      <c r="E236" s="6" t="inlineStr">
        <is>
          <t>换值</t>
        </is>
      </c>
      <c r="F236" s="6" t="inlineStr">
        <is>
          <t>mispredict恢复时选错checkpoint或恢复一个V寄存器的旧合法tag。从当前有效且生命周期合法的候选集合中选择另一个合法值；禁止空闲、越界或编码非法候选。保存source/target和候选集大小。仅当替换值被消费时计activated。触发：FP/SIMD活跃区间内发生嵌套分支squash。</t>
        </is>
      </c>
      <c r="G236" s="6" t="inlineStr">
        <is>
          <t>F6</t>
        </is>
      </c>
      <c r="H236" s="6" t="inlineStr">
        <is>
          <t>首次出现指定稀有事件时注入1次，保证结构化模型被激活</t>
        </is>
      </c>
      <c r="I236" s="6" t="inlineStr">
        <is>
          <t>W10 PolyBench</t>
        </is>
      </c>
      <c r="J236" s="6" t="inlineStr">
        <is>
          <t>PolyBench（公开通用）
执行定义与oracle：gemm、2mm、lu、cholesky、jacobi-2d；固定规模；输出数组逐元素/容差双校验</t>
        </is>
      </c>
      <c r="K236" s="6" t="inlineStr">
        <is>
          <t>FP/SIMD活跃区间内发生嵌套分支squash</t>
        </is>
      </c>
      <c r="L236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36" s="6" t="inlineStr">
        <is>
          <t>错误只在恢复后出现，潜伏距离长；旧向量值仍合法，SDC风险高</t>
        </is>
      </c>
      <c r="N236" s="6" t="inlineStr">
        <is>
          <t>覆盖投机恢复对FP状态的影响</t>
        </is>
      </c>
      <c r="O236" s="6" t="inlineStr">
        <is>
          <t>本方案结构化模型</t>
        </is>
      </c>
      <c r="P236" s="9" t="n"/>
      <c r="Q236" s="9" t="n"/>
      <c r="R236" s="9" t="n"/>
      <c r="S236" s="9" t="n"/>
      <c r="T236" s="9" t="n"/>
      <c r="U236" s="9" t="n"/>
      <c r="V236" s="9" t="n"/>
      <c r="W236" s="9" t="n"/>
      <c r="X236" s="12">
        <f>IF(OR(R236="",R236-AP236&lt;=0),"",AB236/(R236-AP236))</f>
        <v/>
      </c>
      <c r="Y236" s="12">
        <f>IFERROR(R236/AR236,0)</f>
        <v/>
      </c>
      <c r="Z236" s="9" t="inlineStr">
        <is>
          <t>待执行</t>
        </is>
      </c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12">
        <f>IF(OR(R236="",R236-AP236&lt;=0),"",AO236/(R236-AP236))</f>
        <v/>
      </c>
      <c r="AM236" s="11">
        <f>IF(R236="","",SUM(AC236:AF236)-(R236-AP236))</f>
        <v/>
      </c>
      <c r="AN236" s="11">
        <f>IF(R236="","",SUM(S236:W236)+AP236-R236)</f>
        <v/>
      </c>
      <c r="AO236" s="9" t="n"/>
      <c r="AP236" s="9" t="n"/>
      <c r="AQ236" s="27" t="inlineStr">
        <is>
          <t>FR06-a 选择错误FP/Vec checkpoint；FR06-b 恢复旧V寄存器合法tag</t>
        </is>
      </c>
      <c r="AR236" s="39" t="n"/>
      <c r="AS236" s="39">
        <f>IFERROR(AR236/Q236,0)</f>
        <v/>
      </c>
      <c r="AT236" s="39" t="n">
        <v>30</v>
      </c>
      <c r="AU236" s="39" t="n">
        <v>385</v>
      </c>
      <c r="AV236" s="39" t="inlineStr">
        <is>
          <t>常规</t>
        </is>
      </c>
      <c r="AW236" s="39" t="inlineStr">
        <is>
          <t>累计至少385，不机械扩展到2401</t>
        </is>
      </c>
    </row>
    <row r="237" ht="118.0500030517578" customHeight="1">
      <c r="A237" s="6" t="inlineStr">
        <is>
          <t>FR06-F6-W13</t>
        </is>
      </c>
      <c r="B237" s="6" t="inlineStr">
        <is>
          <t>FR06</t>
        </is>
      </c>
      <c r="C237" s="6" t="inlineStr">
        <is>
          <t>FP/SIMD Rename</t>
        </is>
      </c>
      <c r="D237" s="6" t="inlineStr">
        <is>
          <t>分支checkpoint中的FP/Vec RAT状态。</t>
        </is>
      </c>
      <c r="E237" s="6" t="inlineStr">
        <is>
          <t>换值</t>
        </is>
      </c>
      <c r="F237" s="6" t="inlineStr">
        <is>
          <t>mispredict恢复时选错checkpoint或恢复一个V寄存器的旧合法tag。从当前有效且生命周期合法的候选集合中选择另一个合法值；禁止空闲、越界或编码非法候选。保存source/target和候选集大小。仅当替换值被消费时计activated。触发：FP/SIMD活跃区间内发生嵌套分支squash。</t>
        </is>
      </c>
      <c r="G237" s="6" t="inlineStr">
        <is>
          <t>F6</t>
        </is>
      </c>
      <c r="H237" s="6" t="inlineStr">
        <is>
          <t>首次出现指定稀有事件时注入1次，保证结构化模型被激活</t>
        </is>
      </c>
      <c r="I237" s="6" t="inlineStr">
        <is>
          <t>W13 FP-ExceptionRecovery</t>
        </is>
      </c>
      <c r="J237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237" s="6" t="inlineStr">
        <is>
          <t>FP/SIMD活跃区间内发生嵌套分支squash</t>
        </is>
      </c>
      <c r="L237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37" s="6" t="inlineStr">
        <is>
          <t>错误只在恢复后出现，潜伏距离长；旧向量值仍合法，SDC风险高</t>
        </is>
      </c>
      <c r="N237" s="6" t="inlineStr">
        <is>
          <t>覆盖投机恢复对FP状态的影响</t>
        </is>
      </c>
      <c r="O237" s="6" t="inlineStr">
        <is>
          <t>本方案结构化模型</t>
        </is>
      </c>
      <c r="P237" s="9" t="n"/>
      <c r="Q237" s="9" t="n"/>
      <c r="R237" s="9" t="n"/>
      <c r="S237" s="9" t="n"/>
      <c r="T237" s="9" t="n"/>
      <c r="U237" s="9" t="n"/>
      <c r="V237" s="9" t="n"/>
      <c r="W237" s="9" t="n"/>
      <c r="X237" s="12">
        <f>IF(OR(R237="",R237-AP237&lt;=0),"",AB237/(R237-AP237))</f>
        <v/>
      </c>
      <c r="Y237" s="12">
        <f>IFERROR(R237/AR237,0)</f>
        <v/>
      </c>
      <c r="Z237" s="9" t="inlineStr">
        <is>
          <t>待执行</t>
        </is>
      </c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12">
        <f>IF(OR(R237="",R237-AP237&lt;=0),"",AO237/(R237-AP237))</f>
        <v/>
      </c>
      <c r="AM237" s="11">
        <f>IF(R237="","",SUM(AC237:AF237)-(R237-AP237))</f>
        <v/>
      </c>
      <c r="AN237" s="11">
        <f>IF(R237="","",SUM(S237:W237)+AP237-R237)</f>
        <v/>
      </c>
      <c r="AO237" s="9" t="n"/>
      <c r="AP237" s="9" t="n"/>
      <c r="AQ237" s="27" t="inlineStr">
        <is>
          <t>FR06-a 选择错误FP/Vec checkpoint；FR06-b 恢复旧V寄存器合法tag</t>
        </is>
      </c>
      <c r="AR237" s="39" t="n"/>
      <c r="AS237" s="39">
        <f>IFERROR(AR237/Q237,0)</f>
        <v/>
      </c>
      <c r="AT237" s="39" t="n">
        <v>30</v>
      </c>
      <c r="AU237" s="39" t="n">
        <v>385</v>
      </c>
      <c r="AV237" s="39" t="inlineStr">
        <is>
          <t>常规</t>
        </is>
      </c>
      <c r="AW237" s="39" t="inlineStr">
        <is>
          <t>累计至少385，不机械扩展到2401</t>
        </is>
      </c>
    </row>
    <row r="238" ht="118.0500030517578" customHeight="1">
      <c r="A238" s="6" t="inlineStr">
        <is>
          <t>FR07-F0-W8</t>
        </is>
      </c>
      <c r="B238" s="6" t="inlineStr">
        <is>
          <t>FR07</t>
        </is>
      </c>
      <c r="C238" s="6" t="inlineStr">
        <is>
          <t>FP/SIMD Rename</t>
        </is>
      </c>
      <c r="D238" s="6" t="inlineStr">
        <is>
          <t>FP/Vec ready/busy scoreboard。</t>
        </is>
      </c>
      <c r="E238" s="6" t="inlineStr">
        <is>
          <t>状态</t>
        </is>
      </c>
      <c r="F238" s="6" t="inlineStr">
        <is>
          <t>提前ready、丢失ready或错误清除busy，不改变PRF内容。清零、伪造、提前置位和延后清除分成独立子模型，每次运行只改变一种状态转移；记录前后状态机轨迹和关联动态指令。仅当错误状态参与仲裁/转移时计activated。触发：消费者等待长延迟FP生产者。</t>
        </is>
      </c>
      <c r="G238" s="6" t="inlineStr">
        <is>
          <t>F0</t>
        </is>
      </c>
      <c r="H238" s="6" t="inlineStr">
        <is>
          <t>每次运行只注入1次；warm-up后在 eligible event 中均匀抽样</t>
        </is>
      </c>
      <c r="I238" s="6" t="inlineStr">
        <is>
          <t>W8 FP-ScalarProbe</t>
        </is>
      </c>
      <c r="J238" s="6" t="inlineStr">
        <is>
          <t>FP-ScalarProbe（自设定向负载）
执行定义与oracle：FP32/FP64 add/mul/div/sqrt/FMA、NaN/Inf/±0/subnormal、四种舍入、FP exception；位级结果与 FPSR/FPCR oracle</t>
        </is>
      </c>
      <c r="K238" s="6" t="inlineStr">
        <is>
          <t>消费者等待长延迟FP生产者</t>
        </is>
      </c>
      <c r="L238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38" s="6" t="inlineStr">
        <is>
          <t>提前ready可读取旧向量，特别是div/sqrt长延迟；丢失ready多为Timeout</t>
        </is>
      </c>
      <c r="N238" s="6" t="inlineStr">
        <is>
          <t>长延迟FP使ready时序窗口更大</t>
        </is>
      </c>
      <c r="O238" s="6" t="inlineStr">
        <is>
          <t>本方案结构化模型</t>
        </is>
      </c>
      <c r="P238" s="9" t="n"/>
      <c r="Q238" s="9" t="n"/>
      <c r="R238" s="9" t="n"/>
      <c r="S238" s="9" t="n"/>
      <c r="T238" s="9" t="n"/>
      <c r="U238" s="9" t="n"/>
      <c r="V238" s="9" t="n"/>
      <c r="W238" s="9" t="n"/>
      <c r="X238" s="12">
        <f>IF(OR(R238="",R238-AP238&lt;=0),"",AB238/(R238-AP238))</f>
        <v/>
      </c>
      <c r="Y238" s="12">
        <f>IFERROR(R238/AR238,0)</f>
        <v/>
      </c>
      <c r="Z238" s="9" t="inlineStr">
        <is>
          <t>待执行</t>
        </is>
      </c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12">
        <f>IF(OR(R238="",R238-AP238&lt;=0),"",AO238/(R238-AP238))</f>
        <v/>
      </c>
      <c r="AM238" s="11">
        <f>IF(R238="","",SUM(AC238:AF238)-(R238-AP238))</f>
        <v/>
      </c>
      <c r="AN238" s="11">
        <f>IF(R238="","",SUM(S238:W238)+AP238-R238)</f>
        <v/>
      </c>
      <c r="AO238" s="9" t="n"/>
      <c r="AP238" s="9" t="n"/>
      <c r="AQ238" s="27" t="inlineStr">
        <is>
          <t>FR07-a 提前ready；FR07-b 丢失ready；FR07-c 错误清除busy</t>
        </is>
      </c>
      <c r="AR238" s="39" t="n"/>
      <c r="AS238" s="39">
        <f>IFERROR(AR238/Q238,0)</f>
        <v/>
      </c>
      <c r="AT238" s="39" t="n">
        <v>30</v>
      </c>
      <c r="AU238" s="39" t="n">
        <v>385</v>
      </c>
      <c r="AV238" s="39" t="inlineStr">
        <is>
          <t>常规</t>
        </is>
      </c>
      <c r="AW238" s="39" t="inlineStr">
        <is>
          <t>累计至少385，不机械扩展到2401</t>
        </is>
      </c>
    </row>
    <row r="239" ht="118.0500030517578" customHeight="1">
      <c r="A239" s="6" t="inlineStr">
        <is>
          <t>FR07-F0-W10</t>
        </is>
      </c>
      <c r="B239" s="6" t="inlineStr">
        <is>
          <t>FR07</t>
        </is>
      </c>
      <c r="C239" s="6" t="inlineStr">
        <is>
          <t>FP/SIMD Rename</t>
        </is>
      </c>
      <c r="D239" s="6" t="inlineStr">
        <is>
          <t>FP/Vec ready/busy scoreboard。</t>
        </is>
      </c>
      <c r="E239" s="6" t="inlineStr">
        <is>
          <t>状态</t>
        </is>
      </c>
      <c r="F239" s="6" t="inlineStr">
        <is>
          <t>提前ready、丢失ready或错误清除busy，不改变PRF内容。清零、伪造、提前置位和延后清除分成独立子模型，每次运行只改变一种状态转移；记录前后状态机轨迹和关联动态指令。仅当错误状态参与仲裁/转移时计activated。触发：消费者等待长延迟FP生产者。</t>
        </is>
      </c>
      <c r="G239" s="6" t="inlineStr">
        <is>
          <t>F0</t>
        </is>
      </c>
      <c r="H239" s="6" t="inlineStr">
        <is>
          <t>每次运行只注入1次；warm-up后在 eligible event 中均匀抽样</t>
        </is>
      </c>
      <c r="I239" s="6" t="inlineStr">
        <is>
          <t>W10 PolyBench</t>
        </is>
      </c>
      <c r="J239" s="6" t="inlineStr">
        <is>
          <t>PolyBench（公开通用）
执行定义与oracle：gemm、2mm、lu、cholesky、jacobi-2d；固定规模；输出数组逐元素/容差双校验</t>
        </is>
      </c>
      <c r="K239" s="6" t="inlineStr">
        <is>
          <t>消费者等待长延迟FP生产者</t>
        </is>
      </c>
      <c r="L239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39" s="6" t="inlineStr">
        <is>
          <t>提前ready可读取旧向量，特别是div/sqrt长延迟；丢失ready多为Timeout</t>
        </is>
      </c>
      <c r="N239" s="6" t="inlineStr">
        <is>
          <t>长延迟FP使ready时序窗口更大</t>
        </is>
      </c>
      <c r="O239" s="6" t="inlineStr">
        <is>
          <t>本方案结构化模型</t>
        </is>
      </c>
      <c r="P239" s="9" t="n"/>
      <c r="Q239" s="9" t="n"/>
      <c r="R239" s="9" t="n"/>
      <c r="S239" s="9" t="n"/>
      <c r="T239" s="9" t="n"/>
      <c r="U239" s="9" t="n"/>
      <c r="V239" s="9" t="n"/>
      <c r="W239" s="9" t="n"/>
      <c r="X239" s="12">
        <f>IF(OR(R239="",R239-AP239&lt;=0),"",AB239/(R239-AP239))</f>
        <v/>
      </c>
      <c r="Y239" s="12">
        <f>IFERROR(R239/AR239,0)</f>
        <v/>
      </c>
      <c r="Z239" s="9" t="inlineStr">
        <is>
          <t>待执行</t>
        </is>
      </c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12">
        <f>IF(OR(R239="",R239-AP239&lt;=0),"",AO239/(R239-AP239))</f>
        <v/>
      </c>
      <c r="AM239" s="11">
        <f>IF(R239="","",SUM(AC239:AF239)-(R239-AP239))</f>
        <v/>
      </c>
      <c r="AN239" s="11">
        <f>IF(R239="","",SUM(S239:W239)+AP239-R239)</f>
        <v/>
      </c>
      <c r="AO239" s="9" t="n"/>
      <c r="AP239" s="9" t="n"/>
      <c r="AQ239" s="27" t="inlineStr">
        <is>
          <t>FR07-a 提前ready；FR07-b 丢失ready；FR07-c 错误清除busy</t>
        </is>
      </c>
      <c r="AR239" s="39" t="n"/>
      <c r="AS239" s="39">
        <f>IFERROR(AR239/Q239,0)</f>
        <v/>
      </c>
      <c r="AT239" s="39" t="n">
        <v>30</v>
      </c>
      <c r="AU239" s="39" t="n">
        <v>385</v>
      </c>
      <c r="AV239" s="39" t="inlineStr">
        <is>
          <t>常规</t>
        </is>
      </c>
      <c r="AW239" s="39" t="inlineStr">
        <is>
          <t>累计至少385，不机械扩展到2401</t>
        </is>
      </c>
    </row>
    <row r="240" ht="118.0500030517578" customHeight="1">
      <c r="A240" s="6" t="inlineStr">
        <is>
          <t>FR07-F4-W8</t>
        </is>
      </c>
      <c r="B240" s="6" t="inlineStr">
        <is>
          <t>FR07</t>
        </is>
      </c>
      <c r="C240" s="6" t="inlineStr">
        <is>
          <t>FP/SIMD Rename</t>
        </is>
      </c>
      <c r="D240" s="6" t="inlineStr">
        <is>
          <t>FP/Vec ready/busy scoreboard。</t>
        </is>
      </c>
      <c r="E240" s="6" t="inlineStr">
        <is>
          <t>状态</t>
        </is>
      </c>
      <c r="F240" s="6" t="inlineStr">
        <is>
          <t>提前ready、丢失ready或错误清除busy，不改变PRF内容。清零、伪造、提前置位和延后清除分成独立子模型，每次运行只改变一种状态转移；记录前后状态机轨迹和关联动态指令。仅当错误状态参与仲裁/转移时计activated。触发：消费者等待长延迟FP生产者。</t>
        </is>
      </c>
      <c r="G240" s="6" t="inlineStr">
        <is>
          <t>F4</t>
        </is>
      </c>
      <c r="H240" s="6" t="inlineStr">
        <is>
          <t>每100,000个 eligible events 触发一次，连续污染2-4个 eligible events</t>
        </is>
      </c>
      <c r="I240" s="6" t="inlineStr">
        <is>
          <t>W8 FP-ScalarProbe</t>
        </is>
      </c>
      <c r="J240" s="6" t="inlineStr">
        <is>
          <t>FP-ScalarProbe（自设定向负载）
执行定义与oracle：FP32/FP64 add/mul/div/sqrt/FMA、NaN/Inf/±0/subnormal、四种舍入、FP exception；位级结果与 FPSR/FPCR oracle</t>
        </is>
      </c>
      <c r="K240" s="6" t="inlineStr">
        <is>
          <t>消费者等待长延迟FP生产者</t>
        </is>
      </c>
      <c r="L240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40" s="6" t="inlineStr">
        <is>
          <t>提前ready可读取旧向量，特别是div/sqrt长延迟；丢失ready多为Timeout</t>
        </is>
      </c>
      <c r="N240" s="6" t="inlineStr">
        <is>
          <t>长延迟FP使ready时序窗口更大</t>
        </is>
      </c>
      <c r="O240" s="6" t="inlineStr">
        <is>
          <t>本方案结构化模型</t>
        </is>
      </c>
      <c r="P240" s="9" t="n"/>
      <c r="Q240" s="9" t="n"/>
      <c r="R240" s="9" t="n"/>
      <c r="S240" s="9" t="n"/>
      <c r="T240" s="9" t="n"/>
      <c r="U240" s="9" t="n"/>
      <c r="V240" s="9" t="n"/>
      <c r="W240" s="9" t="n"/>
      <c r="X240" s="12">
        <f>IF(OR(R240="",R240-AP240&lt;=0),"",AB240/(R240-AP240))</f>
        <v/>
      </c>
      <c r="Y240" s="12">
        <f>IFERROR(R240/AR240,0)</f>
        <v/>
      </c>
      <c r="Z240" s="9" t="inlineStr">
        <is>
          <t>待执行</t>
        </is>
      </c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12">
        <f>IF(OR(R240="",R240-AP240&lt;=0),"",AO240/(R240-AP240))</f>
        <v/>
      </c>
      <c r="AM240" s="11">
        <f>IF(R240="","",SUM(AC240:AF240)-(R240-AP240))</f>
        <v/>
      </c>
      <c r="AN240" s="11">
        <f>IF(R240="","",SUM(S240:W240)+AP240-R240)</f>
        <v/>
      </c>
      <c r="AO240" s="9" t="n"/>
      <c r="AP240" s="9" t="n"/>
      <c r="AQ240" s="27" t="inlineStr">
        <is>
          <t>FR07-a 提前ready；FR07-b 丢失ready；FR07-c 错误清除busy</t>
        </is>
      </c>
      <c r="AR240" s="39" t="n"/>
      <c r="AS240" s="39">
        <f>IFERROR(AR240/Q240,0)</f>
        <v/>
      </c>
      <c r="AT240" s="39" t="n">
        <v>30</v>
      </c>
      <c r="AU240" s="39" t="n">
        <v>385</v>
      </c>
      <c r="AV240" s="39" t="inlineStr">
        <is>
          <t>常规</t>
        </is>
      </c>
      <c r="AW240" s="39" t="inlineStr">
        <is>
          <t>累计至少385，不机械扩展到2401</t>
        </is>
      </c>
    </row>
    <row r="241" ht="118.0500030517578" customHeight="1">
      <c r="A241" s="6" t="inlineStr">
        <is>
          <t>FR07-F4-W10</t>
        </is>
      </c>
      <c r="B241" s="6" t="inlineStr">
        <is>
          <t>FR07</t>
        </is>
      </c>
      <c r="C241" s="6" t="inlineStr">
        <is>
          <t>FP/SIMD Rename</t>
        </is>
      </c>
      <c r="D241" s="6" t="inlineStr">
        <is>
          <t>FP/Vec ready/busy scoreboard。</t>
        </is>
      </c>
      <c r="E241" s="6" t="inlineStr">
        <is>
          <t>状态</t>
        </is>
      </c>
      <c r="F241" s="6" t="inlineStr">
        <is>
          <t>提前ready、丢失ready或错误清除busy，不改变PRF内容。清零、伪造、提前置位和延后清除分成独立子模型，每次运行只改变一种状态转移；记录前后状态机轨迹和关联动态指令。仅当错误状态参与仲裁/转移时计activated。触发：消费者等待长延迟FP生产者。</t>
        </is>
      </c>
      <c r="G241" s="6" t="inlineStr">
        <is>
          <t>F4</t>
        </is>
      </c>
      <c r="H241" s="6" t="inlineStr">
        <is>
          <t>每100,000个 eligible events 触发一次，连续污染2-4个 eligible events</t>
        </is>
      </c>
      <c r="I241" s="6" t="inlineStr">
        <is>
          <t>W10 PolyBench</t>
        </is>
      </c>
      <c r="J241" s="6" t="inlineStr">
        <is>
          <t>PolyBench（公开通用）
执行定义与oracle：gemm、2mm、lu、cholesky、jacobi-2d；固定规模；输出数组逐元素/容差双校验</t>
        </is>
      </c>
      <c r="K241" s="6" t="inlineStr">
        <is>
          <t>消费者等待长延迟FP生产者</t>
        </is>
      </c>
      <c r="L241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41" s="6" t="inlineStr">
        <is>
          <t>提前ready可读取旧向量，特别是div/sqrt长延迟；丢失ready多为Timeout</t>
        </is>
      </c>
      <c r="N241" s="6" t="inlineStr">
        <is>
          <t>长延迟FP使ready时序窗口更大</t>
        </is>
      </c>
      <c r="O241" s="6" t="inlineStr">
        <is>
          <t>本方案结构化模型</t>
        </is>
      </c>
      <c r="P241" s="9" t="n"/>
      <c r="Q241" s="9" t="n"/>
      <c r="R241" s="9" t="n"/>
      <c r="S241" s="9" t="n"/>
      <c r="T241" s="9" t="n"/>
      <c r="U241" s="9" t="n"/>
      <c r="V241" s="9" t="n"/>
      <c r="W241" s="9" t="n"/>
      <c r="X241" s="12">
        <f>IF(OR(R241="",R241-AP241&lt;=0),"",AB241/(R241-AP241))</f>
        <v/>
      </c>
      <c r="Y241" s="12">
        <f>IFERROR(R241/AR241,0)</f>
        <v/>
      </c>
      <c r="Z241" s="9" t="inlineStr">
        <is>
          <t>待执行</t>
        </is>
      </c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12">
        <f>IF(OR(R241="",R241-AP241&lt;=0),"",AO241/(R241-AP241))</f>
        <v/>
      </c>
      <c r="AM241" s="11">
        <f>IF(R241="","",SUM(AC241:AF241)-(R241-AP241))</f>
        <v/>
      </c>
      <c r="AN241" s="11">
        <f>IF(R241="","",SUM(S241:W241)+AP241-R241)</f>
        <v/>
      </c>
      <c r="AO241" s="9" t="n"/>
      <c r="AP241" s="9" t="n"/>
      <c r="AQ241" s="27" t="inlineStr">
        <is>
          <t>FR07-a 提前ready；FR07-b 丢失ready；FR07-c 错误清除busy</t>
        </is>
      </c>
      <c r="AR241" s="39" t="n"/>
      <c r="AS241" s="39">
        <f>IFERROR(AR241/Q241,0)</f>
        <v/>
      </c>
      <c r="AT241" s="39" t="n">
        <v>30</v>
      </c>
      <c r="AU241" s="39" t="n">
        <v>385</v>
      </c>
      <c r="AV241" s="39" t="inlineStr">
        <is>
          <t>常规</t>
        </is>
      </c>
      <c r="AW241" s="39" t="inlineStr">
        <is>
          <t>累计至少385，不机械扩展到2401</t>
        </is>
      </c>
    </row>
    <row r="242" ht="118.0500030517578" customHeight="1">
      <c r="A242" s="6" t="inlineStr">
        <is>
          <t>FR07-F6-W8</t>
        </is>
      </c>
      <c r="B242" s="6" t="inlineStr">
        <is>
          <t>FR07</t>
        </is>
      </c>
      <c r="C242" s="6" t="inlineStr">
        <is>
          <t>FP/SIMD Rename</t>
        </is>
      </c>
      <c r="D242" s="6" t="inlineStr">
        <is>
          <t>FP/Vec ready/busy scoreboard。</t>
        </is>
      </c>
      <c r="E242" s="6" t="inlineStr">
        <is>
          <t>状态</t>
        </is>
      </c>
      <c r="F242" s="6" t="inlineStr">
        <is>
          <t>提前ready、丢失ready或错误清除busy，不改变PRF内容。清零、伪造、提前置位和延后清除分成独立子模型，每次运行只改变一种状态转移；记录前后状态机轨迹和关联动态指令。仅当错误状态参与仲裁/转移时计activated。触发：消费者等待长延迟FP生产者。</t>
        </is>
      </c>
      <c r="G242" s="6" t="inlineStr">
        <is>
          <t>F6</t>
        </is>
      </c>
      <c r="H242" s="6" t="inlineStr">
        <is>
          <t>首次出现指定稀有事件时注入1次，保证结构化模型被激活</t>
        </is>
      </c>
      <c r="I242" s="6" t="inlineStr">
        <is>
          <t>W8 FP-ScalarProbe</t>
        </is>
      </c>
      <c r="J242" s="6" t="inlineStr">
        <is>
          <t>FP-ScalarProbe（自设定向负载）
执行定义与oracle：FP32/FP64 add/mul/div/sqrt/FMA、NaN/Inf/±0/subnormal、四种舍入、FP exception；位级结果与 FPSR/FPCR oracle</t>
        </is>
      </c>
      <c r="K242" s="6" t="inlineStr">
        <is>
          <t>消费者等待长延迟FP生产者</t>
        </is>
      </c>
      <c r="L242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42" s="6" t="inlineStr">
        <is>
          <t>提前ready可读取旧向量，特别是div/sqrt长延迟；丢失ready多为Timeout</t>
        </is>
      </c>
      <c r="N242" s="6" t="inlineStr">
        <is>
          <t>长延迟FP使ready时序窗口更大</t>
        </is>
      </c>
      <c r="O242" s="6" t="inlineStr">
        <is>
          <t>本方案结构化模型</t>
        </is>
      </c>
      <c r="P242" s="9" t="n"/>
      <c r="Q242" s="9" t="n"/>
      <c r="R242" s="9" t="n"/>
      <c r="S242" s="9" t="n"/>
      <c r="T242" s="9" t="n"/>
      <c r="U242" s="9" t="n"/>
      <c r="V242" s="9" t="n"/>
      <c r="W242" s="9" t="n"/>
      <c r="X242" s="12">
        <f>IF(OR(R242="",R242-AP242&lt;=0),"",AB242/(R242-AP242))</f>
        <v/>
      </c>
      <c r="Y242" s="12">
        <f>IFERROR(R242/AR242,0)</f>
        <v/>
      </c>
      <c r="Z242" s="9" t="inlineStr">
        <is>
          <t>待执行</t>
        </is>
      </c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12">
        <f>IF(OR(R242="",R242-AP242&lt;=0),"",AO242/(R242-AP242))</f>
        <v/>
      </c>
      <c r="AM242" s="11">
        <f>IF(R242="","",SUM(AC242:AF242)-(R242-AP242))</f>
        <v/>
      </c>
      <c r="AN242" s="11">
        <f>IF(R242="","",SUM(S242:W242)+AP242-R242)</f>
        <v/>
      </c>
      <c r="AO242" s="9" t="n"/>
      <c r="AP242" s="9" t="n"/>
      <c r="AQ242" s="27" t="inlineStr">
        <is>
          <t>FR07-a 提前ready；FR07-b 丢失ready；FR07-c 错误清除busy</t>
        </is>
      </c>
      <c r="AR242" s="39" t="n"/>
      <c r="AS242" s="39">
        <f>IFERROR(AR242/Q242,0)</f>
        <v/>
      </c>
      <c r="AT242" s="39" t="n">
        <v>30</v>
      </c>
      <c r="AU242" s="39" t="n">
        <v>385</v>
      </c>
      <c r="AV242" s="39" t="inlineStr">
        <is>
          <t>常规</t>
        </is>
      </c>
      <c r="AW242" s="39" t="inlineStr">
        <is>
          <t>累计至少385，不机械扩展到2401</t>
        </is>
      </c>
    </row>
    <row r="243" ht="118.0500030517578" customHeight="1">
      <c r="A243" s="6" t="inlineStr">
        <is>
          <t>FR07-F6-W10</t>
        </is>
      </c>
      <c r="B243" s="6" t="inlineStr">
        <is>
          <t>FR07</t>
        </is>
      </c>
      <c r="C243" s="6" t="inlineStr">
        <is>
          <t>FP/SIMD Rename</t>
        </is>
      </c>
      <c r="D243" s="6" t="inlineStr">
        <is>
          <t>FP/Vec ready/busy scoreboard。</t>
        </is>
      </c>
      <c r="E243" s="6" t="inlineStr">
        <is>
          <t>状态</t>
        </is>
      </c>
      <c r="F243" s="6" t="inlineStr">
        <is>
          <t>提前ready、丢失ready或错误清除busy，不改变PRF内容。清零、伪造、提前置位和延后清除分成独立子模型，每次运行只改变一种状态转移；记录前后状态机轨迹和关联动态指令。仅当错误状态参与仲裁/转移时计activated。触发：消费者等待长延迟FP生产者。</t>
        </is>
      </c>
      <c r="G243" s="6" t="inlineStr">
        <is>
          <t>F6</t>
        </is>
      </c>
      <c r="H243" s="6" t="inlineStr">
        <is>
          <t>首次出现指定稀有事件时注入1次，保证结构化模型被激活</t>
        </is>
      </c>
      <c r="I243" s="6" t="inlineStr">
        <is>
          <t>W10 PolyBench</t>
        </is>
      </c>
      <c r="J243" s="6" t="inlineStr">
        <is>
          <t>PolyBench（公开通用）
执行定义与oracle：gemm、2mm、lu、cholesky、jacobi-2d；固定规模；输出数组逐元素/容差双校验</t>
        </is>
      </c>
      <c r="K243" s="6" t="inlineStr">
        <is>
          <t>消费者等待长延迟FP生产者</t>
        </is>
      </c>
      <c r="L243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43" s="6" t="inlineStr">
        <is>
          <t>提前ready可读取旧向量，特别是div/sqrt长延迟；丢失ready多为Timeout</t>
        </is>
      </c>
      <c r="N243" s="6" t="inlineStr">
        <is>
          <t>长延迟FP使ready时序窗口更大</t>
        </is>
      </c>
      <c r="O243" s="6" t="inlineStr">
        <is>
          <t>本方案结构化模型</t>
        </is>
      </c>
      <c r="P243" s="9" t="n"/>
      <c r="Q243" s="9" t="n"/>
      <c r="R243" s="9" t="n"/>
      <c r="S243" s="9" t="n"/>
      <c r="T243" s="9" t="n"/>
      <c r="U243" s="9" t="n"/>
      <c r="V243" s="9" t="n"/>
      <c r="W243" s="9" t="n"/>
      <c r="X243" s="12">
        <f>IF(OR(R243="",R243-AP243&lt;=0),"",AB243/(R243-AP243))</f>
        <v/>
      </c>
      <c r="Y243" s="12">
        <f>IFERROR(R243/AR243,0)</f>
        <v/>
      </c>
      <c r="Z243" s="9" t="inlineStr">
        <is>
          <t>待执行</t>
        </is>
      </c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12">
        <f>IF(OR(R243="",R243-AP243&lt;=0),"",AO243/(R243-AP243))</f>
        <v/>
      </c>
      <c r="AM243" s="11">
        <f>IF(R243="","",SUM(AC243:AF243)-(R243-AP243))</f>
        <v/>
      </c>
      <c r="AN243" s="11">
        <f>IF(R243="","",SUM(S243:W243)+AP243-R243)</f>
        <v/>
      </c>
      <c r="AO243" s="9" t="n"/>
      <c r="AP243" s="9" t="n"/>
      <c r="AQ243" s="27" t="inlineStr">
        <is>
          <t>FR07-a 提前ready；FR07-b 丢失ready；FR07-c 错误清除busy</t>
        </is>
      </c>
      <c r="AR243" s="39" t="n"/>
      <c r="AS243" s="39">
        <f>IFERROR(AR243/Q243,0)</f>
        <v/>
      </c>
      <c r="AT243" s="39" t="n">
        <v>30</v>
      </c>
      <c r="AU243" s="39" t="n">
        <v>385</v>
      </c>
      <c r="AV243" s="39" t="inlineStr">
        <is>
          <t>常规</t>
        </is>
      </c>
      <c r="AW243" s="39" t="inlineStr">
        <is>
          <t>累计至少385，不机械扩展到2401</t>
        </is>
      </c>
    </row>
    <row r="244" ht="118.0500030517578" customHeight="1">
      <c r="A244" s="6" t="inlineStr">
        <is>
          <t>FR08-F0-W8</t>
        </is>
      </c>
      <c r="B244" s="6" t="inlineStr">
        <is>
          <t>FR08</t>
        </is>
      </c>
      <c r="C244" s="6" t="inlineStr">
        <is>
          <t>FP/SIMD Rename</t>
        </is>
      </c>
      <c r="D244" s="6" t="inlineStr">
        <is>
          <t>标量写、窄lane写与全128-bit向量写的保留/清零/合并语义元数据。</t>
        </is>
      </c>
      <c r="E244" s="6" t="inlineStr">
        <is>
          <t>错位拼接</t>
        </is>
      </c>
      <c r="F244" s="6" t="inlineStr">
        <is>
          <t>把preserve/zero/merge选择换成另一合法模式，或把新lane与上一版本的错误lane拼接；每种规则独立。仅当后续读取受影响lane时activated。</t>
        </is>
      </c>
      <c r="G244" s="6" t="inlineStr">
        <is>
          <t>F0</t>
        </is>
      </c>
      <c r="H244" s="6" t="inlineStr">
        <is>
          <t>每次运行只注入1次；warm-up后在 eligible event 中均匀抽样</t>
        </is>
      </c>
      <c r="I244" s="6" t="inlineStr">
        <is>
          <t>W8 FP-ScalarProbe</t>
        </is>
      </c>
      <c r="J244" s="6" t="inlineStr">
        <is>
          <t>FP-ScalarProbe（自设定向负载）
执行定义与oracle：FP32/FP64 add/mul/div/sqrt/FMA、NaN/Inf/±0/subnormal、四种舍入、FP exception；位级结果与 FPSR/FPCR oracle</t>
        </is>
      </c>
      <c r="K244" s="6" t="inlineStr">
        <is>
          <t>发生partial-width或lane写入并随后读取</t>
        </is>
      </c>
      <c r="L244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44" s="6" t="inlineStr">
        <is>
          <t>产生半新半旧向量，易逃过标量结果检查；逐lane oracle可定位</t>
        </is>
      </c>
      <c r="N244" s="6" t="inlineStr">
        <is>
          <t>FP/SIMD重命名和物理值合并的专属结构化模型</t>
        </is>
      </c>
      <c r="O244" s="6" t="inlineStr">
        <is>
          <t>本方案结构化模型</t>
        </is>
      </c>
      <c r="P244" s="9" t="n"/>
      <c r="Q244" s="9" t="n"/>
      <c r="R244" s="9" t="n"/>
      <c r="S244" s="9" t="n"/>
      <c r="T244" s="9" t="n"/>
      <c r="U244" s="9" t="n"/>
      <c r="V244" s="9" t="n"/>
      <c r="W244" s="9" t="n"/>
      <c r="X244" s="12">
        <f>IF(OR(R244="",R244-AP244&lt;=0),"",AB244/(R244-AP244))</f>
        <v/>
      </c>
      <c r="Y244" s="12">
        <f>IFERROR(R244/AR244,0)</f>
        <v/>
      </c>
      <c r="Z244" s="9" t="inlineStr">
        <is>
          <t>待执行</t>
        </is>
      </c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12">
        <f>IF(OR(R244="",R244-AP244&lt;=0),"",AO244/(R244-AP244))</f>
        <v/>
      </c>
      <c r="AM244" s="11">
        <f>IF(R244="","",SUM(AC244:AF244)-(R244-AP244))</f>
        <v/>
      </c>
      <c r="AN244" s="11">
        <f>IF(R244="","",SUM(S244:W244)+AP244-R244)</f>
        <v/>
      </c>
      <c r="AO244" s="9" t="n"/>
      <c r="AP244" s="9" t="n"/>
      <c r="AQ244" s="27" t="inlineStr">
        <is>
          <t>FR08-a preserve模式换值；FR08-b zero模式换值；FR08-c merge模式换值；FR08-d 新旧lane错误拼接</t>
        </is>
      </c>
      <c r="AR244" s="39" t="n"/>
      <c r="AS244" s="39">
        <f>IFERROR(AR244/Q244,0)</f>
        <v/>
      </c>
      <c r="AT244" s="39" t="n">
        <v>30</v>
      </c>
      <c r="AU244" s="39" t="n">
        <v>385</v>
      </c>
      <c r="AV244" s="39" t="inlineStr">
        <is>
          <t>常规</t>
        </is>
      </c>
      <c r="AW244" s="39" t="inlineStr">
        <is>
          <t>累计至少385，不机械扩展到2401</t>
        </is>
      </c>
    </row>
    <row r="245" ht="118.0500030517578" customHeight="1">
      <c r="A245" s="6" t="inlineStr">
        <is>
          <t>FR08-F0-W9</t>
        </is>
      </c>
      <c r="B245" s="6" t="inlineStr">
        <is>
          <t>FR08</t>
        </is>
      </c>
      <c r="C245" s="6" t="inlineStr">
        <is>
          <t>FP/SIMD Rename</t>
        </is>
      </c>
      <c r="D245" s="6" t="inlineStr">
        <is>
          <t>标量写、窄lane写与全128-bit向量写的保留/清零/合并语义元数据。</t>
        </is>
      </c>
      <c r="E245" s="6" t="inlineStr">
        <is>
          <t>错位拼接</t>
        </is>
      </c>
      <c r="F245" s="6" t="inlineStr">
        <is>
          <t>把preserve/zero/merge选择换成另一合法模式，或把新lane与上一版本的错误lane拼接；每种规则独立。仅当后续读取受影响lane时activated。</t>
        </is>
      </c>
      <c r="G245" s="6" t="inlineStr">
        <is>
          <t>F0</t>
        </is>
      </c>
      <c r="H245" s="6" t="inlineStr">
        <is>
          <t>每次运行只注入1次；warm-up后在 eligible event 中均匀抽样</t>
        </is>
      </c>
      <c r="I245" s="6" t="inlineStr">
        <is>
          <t>W9 NEON-LaneProbe</t>
        </is>
      </c>
      <c r="J245" s="6" t="inlineStr">
        <is>
          <t>NEON-LaneProbe（自设定向负载）
执行定义与oracle：8/16/32/64-bit lane、整数/浮点 AdvSIMD、lane extract/insert、widen/narrow、permute、reduce；逐 lane 比对</t>
        </is>
      </c>
      <c r="K245" s="6" t="inlineStr">
        <is>
          <t>发生partial-width或lane写入并随后读取</t>
        </is>
      </c>
      <c r="L245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45" s="6" t="inlineStr">
        <is>
          <t>产生半新半旧向量，易逃过标量结果检查；逐lane oracle可定位</t>
        </is>
      </c>
      <c r="N245" s="6" t="inlineStr">
        <is>
          <t>FP/SIMD重命名和物理值合并的专属结构化模型</t>
        </is>
      </c>
      <c r="O245" s="6" t="inlineStr">
        <is>
          <t>本方案结构化模型</t>
        </is>
      </c>
      <c r="P245" s="9" t="n"/>
      <c r="Q245" s="9" t="n"/>
      <c r="R245" s="9" t="n"/>
      <c r="S245" s="9" t="n"/>
      <c r="T245" s="9" t="n"/>
      <c r="U245" s="9" t="n"/>
      <c r="V245" s="9" t="n"/>
      <c r="W245" s="9" t="n"/>
      <c r="X245" s="12">
        <f>IF(OR(R245="",R245-AP245&lt;=0),"",AB245/(R245-AP245))</f>
        <v/>
      </c>
      <c r="Y245" s="12">
        <f>IFERROR(R245/AR245,0)</f>
        <v/>
      </c>
      <c r="Z245" s="9" t="inlineStr">
        <is>
          <t>待执行</t>
        </is>
      </c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12">
        <f>IF(OR(R245="",R245-AP245&lt;=0),"",AO245/(R245-AP245))</f>
        <v/>
      </c>
      <c r="AM245" s="11">
        <f>IF(R245="","",SUM(AC245:AF245)-(R245-AP245))</f>
        <v/>
      </c>
      <c r="AN245" s="11">
        <f>IF(R245="","",SUM(S245:W245)+AP245-R245)</f>
        <v/>
      </c>
      <c r="AO245" s="9" t="n"/>
      <c r="AP245" s="9" t="n"/>
      <c r="AQ245" s="27" t="inlineStr">
        <is>
          <t>FR08-a preserve模式换值；FR08-b zero模式换值；FR08-c merge模式换值；FR08-d 新旧lane错误拼接</t>
        </is>
      </c>
      <c r="AR245" s="39" t="n"/>
      <c r="AS245" s="39">
        <f>IFERROR(AR245/Q245,0)</f>
        <v/>
      </c>
      <c r="AT245" s="39" t="n">
        <v>30</v>
      </c>
      <c r="AU245" s="39" t="n">
        <v>385</v>
      </c>
      <c r="AV245" s="39" t="inlineStr">
        <is>
          <t>常规</t>
        </is>
      </c>
      <c r="AW245" s="39" t="inlineStr">
        <is>
          <t>累计至少385，不机械扩展到2401</t>
        </is>
      </c>
    </row>
    <row r="246" ht="118.0500030517578" customHeight="1">
      <c r="A246" s="6" t="inlineStr">
        <is>
          <t>FR08-F2-W8</t>
        </is>
      </c>
      <c r="B246" s="6" t="inlineStr">
        <is>
          <t>FR08</t>
        </is>
      </c>
      <c r="C246" s="6" t="inlineStr">
        <is>
          <t>FP/SIMD Rename</t>
        </is>
      </c>
      <c r="D246" s="6" t="inlineStr">
        <is>
          <t>标量写、窄lane写与全128-bit向量写的保留/清零/合并语义元数据。</t>
        </is>
      </c>
      <c r="E246" s="6" t="inlineStr">
        <is>
          <t>错位拼接</t>
        </is>
      </c>
      <c r="F246" s="6" t="inlineStr">
        <is>
          <t>把preserve/zero/merge选择换成另一合法模式，或把新lane与上一版本的错误lane拼接；每种规则独立。仅当后续读取受影响lane时activated。</t>
        </is>
      </c>
      <c r="G246" s="6" t="inlineStr">
        <is>
          <t>F2</t>
        </is>
      </c>
      <c r="H246" s="6" t="inlineStr">
        <is>
          <t>平均每100,000个 eligible events 注入1次，间隔加入±50%抖动</t>
        </is>
      </c>
      <c r="I246" s="6" t="inlineStr">
        <is>
          <t>W8 FP-ScalarProbe</t>
        </is>
      </c>
      <c r="J246" s="6" t="inlineStr">
        <is>
          <t>FP-ScalarProbe（自设定向负载）
执行定义与oracle：FP32/FP64 add/mul/div/sqrt/FMA、NaN/Inf/±0/subnormal、四种舍入、FP exception；位级结果与 FPSR/FPCR oracle</t>
        </is>
      </c>
      <c r="K246" s="6" t="inlineStr">
        <is>
          <t>发生partial-width或lane写入并随后读取</t>
        </is>
      </c>
      <c r="L246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46" s="6" t="inlineStr">
        <is>
          <t>产生半新半旧向量，易逃过标量结果检查；逐lane oracle可定位</t>
        </is>
      </c>
      <c r="N246" s="6" t="inlineStr">
        <is>
          <t>FP/SIMD重命名和物理值合并的专属结构化模型</t>
        </is>
      </c>
      <c r="O246" s="6" t="inlineStr">
        <is>
          <t>本方案结构化模型</t>
        </is>
      </c>
      <c r="P246" s="9" t="n"/>
      <c r="Q246" s="9" t="n"/>
      <c r="R246" s="9" t="n"/>
      <c r="S246" s="9" t="n"/>
      <c r="T246" s="9" t="n"/>
      <c r="U246" s="9" t="n"/>
      <c r="V246" s="9" t="n"/>
      <c r="W246" s="9" t="n"/>
      <c r="X246" s="12">
        <f>IF(OR(R246="",R246-AP246&lt;=0),"",AB246/(R246-AP246))</f>
        <v/>
      </c>
      <c r="Y246" s="12">
        <f>IFERROR(R246/AR246,0)</f>
        <v/>
      </c>
      <c r="Z246" s="9" t="inlineStr">
        <is>
          <t>待执行</t>
        </is>
      </c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12">
        <f>IF(OR(R246="",R246-AP246&lt;=0),"",AO246/(R246-AP246))</f>
        <v/>
      </c>
      <c r="AM246" s="11">
        <f>IF(R246="","",SUM(AC246:AF246)-(R246-AP246))</f>
        <v/>
      </c>
      <c r="AN246" s="11">
        <f>IF(R246="","",SUM(S246:W246)+AP246-R246)</f>
        <v/>
      </c>
      <c r="AO246" s="9" t="n"/>
      <c r="AP246" s="9" t="n"/>
      <c r="AQ246" s="27" t="inlineStr">
        <is>
          <t>FR08-a preserve模式换值；FR08-b zero模式换值；FR08-c merge模式换值；FR08-d 新旧lane错误拼接</t>
        </is>
      </c>
      <c r="AR246" s="39" t="n"/>
      <c r="AS246" s="39">
        <f>IFERROR(AR246/Q246,0)</f>
        <v/>
      </c>
      <c r="AT246" s="39" t="n">
        <v>30</v>
      </c>
      <c r="AU246" s="39" t="n">
        <v>385</v>
      </c>
      <c r="AV246" s="39" t="inlineStr">
        <is>
          <t>常规</t>
        </is>
      </c>
      <c r="AW246" s="39" t="inlineStr">
        <is>
          <t>累计至少385，不机械扩展到2401</t>
        </is>
      </c>
    </row>
    <row r="247" ht="118.0500030517578" customHeight="1">
      <c r="A247" s="6" t="inlineStr">
        <is>
          <t>FR08-F2-W9</t>
        </is>
      </c>
      <c r="B247" s="6" t="inlineStr">
        <is>
          <t>FR08</t>
        </is>
      </c>
      <c r="C247" s="6" t="inlineStr">
        <is>
          <t>FP/SIMD Rename</t>
        </is>
      </c>
      <c r="D247" s="6" t="inlineStr">
        <is>
          <t>标量写、窄lane写与全128-bit向量写的保留/清零/合并语义元数据。</t>
        </is>
      </c>
      <c r="E247" s="6" t="inlineStr">
        <is>
          <t>错位拼接</t>
        </is>
      </c>
      <c r="F247" s="6" t="inlineStr">
        <is>
          <t>把preserve/zero/merge选择换成另一合法模式，或把新lane与上一版本的错误lane拼接；每种规则独立。仅当后续读取受影响lane时activated。</t>
        </is>
      </c>
      <c r="G247" s="6" t="inlineStr">
        <is>
          <t>F2</t>
        </is>
      </c>
      <c r="H247" s="6" t="inlineStr">
        <is>
          <t>平均每100,000个 eligible events 注入1次，间隔加入±50%抖动</t>
        </is>
      </c>
      <c r="I247" s="6" t="inlineStr">
        <is>
          <t>W9 NEON-LaneProbe</t>
        </is>
      </c>
      <c r="J247" s="6" t="inlineStr">
        <is>
          <t>NEON-LaneProbe（自设定向负载）
执行定义与oracle：8/16/32/64-bit lane、整数/浮点 AdvSIMD、lane extract/insert、widen/narrow、permute、reduce；逐 lane 比对</t>
        </is>
      </c>
      <c r="K247" s="6" t="inlineStr">
        <is>
          <t>发生partial-width或lane写入并随后读取</t>
        </is>
      </c>
      <c r="L247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47" s="6" t="inlineStr">
        <is>
          <t>产生半新半旧向量，易逃过标量结果检查；逐lane oracle可定位</t>
        </is>
      </c>
      <c r="N247" s="6" t="inlineStr">
        <is>
          <t>FP/SIMD重命名和物理值合并的专属结构化模型</t>
        </is>
      </c>
      <c r="O247" s="6" t="inlineStr">
        <is>
          <t>本方案结构化模型</t>
        </is>
      </c>
      <c r="P247" s="9" t="n"/>
      <c r="Q247" s="9" t="n"/>
      <c r="R247" s="9" t="n"/>
      <c r="S247" s="9" t="n"/>
      <c r="T247" s="9" t="n"/>
      <c r="U247" s="9" t="n"/>
      <c r="V247" s="9" t="n"/>
      <c r="W247" s="9" t="n"/>
      <c r="X247" s="12">
        <f>IF(OR(R247="",R247-AP247&lt;=0),"",AB247/(R247-AP247))</f>
        <v/>
      </c>
      <c r="Y247" s="12">
        <f>IFERROR(R247/AR247,0)</f>
        <v/>
      </c>
      <c r="Z247" s="9" t="inlineStr">
        <is>
          <t>待执行</t>
        </is>
      </c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12">
        <f>IF(OR(R247="",R247-AP247&lt;=0),"",AO247/(R247-AP247))</f>
        <v/>
      </c>
      <c r="AM247" s="11">
        <f>IF(R247="","",SUM(AC247:AF247)-(R247-AP247))</f>
        <v/>
      </c>
      <c r="AN247" s="11">
        <f>IF(R247="","",SUM(S247:W247)+AP247-R247)</f>
        <v/>
      </c>
      <c r="AO247" s="9" t="n"/>
      <c r="AP247" s="9" t="n"/>
      <c r="AQ247" s="27" t="inlineStr">
        <is>
          <t>FR08-a preserve模式换值；FR08-b zero模式换值；FR08-c merge模式换值；FR08-d 新旧lane错误拼接</t>
        </is>
      </c>
      <c r="AR247" s="39" t="n"/>
      <c r="AS247" s="39">
        <f>IFERROR(AR247/Q247,0)</f>
        <v/>
      </c>
      <c r="AT247" s="39" t="n">
        <v>30</v>
      </c>
      <c r="AU247" s="39" t="n">
        <v>385</v>
      </c>
      <c r="AV247" s="39" t="inlineStr">
        <is>
          <t>常规</t>
        </is>
      </c>
      <c r="AW247" s="39" t="inlineStr">
        <is>
          <t>累计至少385，不机械扩展到2401</t>
        </is>
      </c>
    </row>
    <row r="248" ht="118.0500030517578" customHeight="1">
      <c r="A248" s="6" t="inlineStr">
        <is>
          <t>FR08-F6-W8</t>
        </is>
      </c>
      <c r="B248" s="6" t="inlineStr">
        <is>
          <t>FR08</t>
        </is>
      </c>
      <c r="C248" s="6" t="inlineStr">
        <is>
          <t>FP/SIMD Rename</t>
        </is>
      </c>
      <c r="D248" s="6" t="inlineStr">
        <is>
          <t>标量写、窄lane写与全128-bit向量写的保留/清零/合并语义元数据。</t>
        </is>
      </c>
      <c r="E248" s="6" t="inlineStr">
        <is>
          <t>错位拼接</t>
        </is>
      </c>
      <c r="F248" s="6" t="inlineStr">
        <is>
          <t>把preserve/zero/merge选择换成另一合法模式，或把新lane与上一版本的错误lane拼接；每种规则独立。仅当后续读取受影响lane时activated。</t>
        </is>
      </c>
      <c r="G248" s="6" t="inlineStr">
        <is>
          <t>F6</t>
        </is>
      </c>
      <c r="H248" s="6" t="inlineStr">
        <is>
          <t>首次出现指定稀有事件时注入1次，保证结构化模型被激活</t>
        </is>
      </c>
      <c r="I248" s="6" t="inlineStr">
        <is>
          <t>W8 FP-ScalarProbe</t>
        </is>
      </c>
      <c r="J248" s="6" t="inlineStr">
        <is>
          <t>FP-ScalarProbe（自设定向负载）
执行定义与oracle：FP32/FP64 add/mul/div/sqrt/FMA、NaN/Inf/±0/subnormal、四种舍入、FP exception；位级结果与 FPSR/FPCR oracle</t>
        </is>
      </c>
      <c r="K248" s="6" t="inlineStr">
        <is>
          <t>发生partial-width或lane写入并随后读取</t>
        </is>
      </c>
      <c r="L248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48" s="6" t="inlineStr">
        <is>
          <t>产生半新半旧向量，易逃过标量结果检查；逐lane oracle可定位</t>
        </is>
      </c>
      <c r="N248" s="6" t="inlineStr">
        <is>
          <t>FP/SIMD重命名和物理值合并的专属结构化模型</t>
        </is>
      </c>
      <c r="O248" s="6" t="inlineStr">
        <is>
          <t>本方案结构化模型</t>
        </is>
      </c>
      <c r="P248" s="9" t="n"/>
      <c r="Q248" s="9" t="n"/>
      <c r="R248" s="9" t="n"/>
      <c r="S248" s="9" t="n"/>
      <c r="T248" s="9" t="n"/>
      <c r="U248" s="9" t="n"/>
      <c r="V248" s="9" t="n"/>
      <c r="W248" s="9" t="n"/>
      <c r="X248" s="12">
        <f>IF(OR(R248="",R248-AP248&lt;=0),"",AB248/(R248-AP248))</f>
        <v/>
      </c>
      <c r="Y248" s="12">
        <f>IFERROR(R248/AR248,0)</f>
        <v/>
      </c>
      <c r="Z248" s="9" t="inlineStr">
        <is>
          <t>待执行</t>
        </is>
      </c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12">
        <f>IF(OR(R248="",R248-AP248&lt;=0),"",AO248/(R248-AP248))</f>
        <v/>
      </c>
      <c r="AM248" s="11">
        <f>IF(R248="","",SUM(AC248:AF248)-(R248-AP248))</f>
        <v/>
      </c>
      <c r="AN248" s="11">
        <f>IF(R248="","",SUM(S248:W248)+AP248-R248)</f>
        <v/>
      </c>
      <c r="AO248" s="9" t="n"/>
      <c r="AP248" s="9" t="n"/>
      <c r="AQ248" s="27" t="inlineStr">
        <is>
          <t>FR08-a preserve模式换值；FR08-b zero模式换值；FR08-c merge模式换值；FR08-d 新旧lane错误拼接</t>
        </is>
      </c>
      <c r="AR248" s="39" t="n"/>
      <c r="AS248" s="39">
        <f>IFERROR(AR248/Q248,0)</f>
        <v/>
      </c>
      <c r="AT248" s="39" t="n">
        <v>30</v>
      </c>
      <c r="AU248" s="39" t="n">
        <v>385</v>
      </c>
      <c r="AV248" s="39" t="inlineStr">
        <is>
          <t>常规</t>
        </is>
      </c>
      <c r="AW248" s="39" t="inlineStr">
        <is>
          <t>累计至少385，不机械扩展到2401</t>
        </is>
      </c>
    </row>
    <row r="249" ht="118.0500030517578" customHeight="1">
      <c r="A249" s="6" t="inlineStr">
        <is>
          <t>FR08-F6-W9</t>
        </is>
      </c>
      <c r="B249" s="6" t="inlineStr">
        <is>
          <t>FR08</t>
        </is>
      </c>
      <c r="C249" s="6" t="inlineStr">
        <is>
          <t>FP/SIMD Rename</t>
        </is>
      </c>
      <c r="D249" s="6" t="inlineStr">
        <is>
          <t>标量写、窄lane写与全128-bit向量写的保留/清零/合并语义元数据。</t>
        </is>
      </c>
      <c r="E249" s="6" t="inlineStr">
        <is>
          <t>错位拼接</t>
        </is>
      </c>
      <c r="F249" s="6" t="inlineStr">
        <is>
          <t>把preserve/zero/merge选择换成另一合法模式，或把新lane与上一版本的错误lane拼接；每种规则独立。仅当后续读取受影响lane时activated。</t>
        </is>
      </c>
      <c r="G249" s="6" t="inlineStr">
        <is>
          <t>F6</t>
        </is>
      </c>
      <c r="H249" s="6" t="inlineStr">
        <is>
          <t>首次出现指定稀有事件时注入1次，保证结构化模型被激活</t>
        </is>
      </c>
      <c r="I249" s="6" t="inlineStr">
        <is>
          <t>W9 NEON-LaneProbe</t>
        </is>
      </c>
      <c r="J249" s="6" t="inlineStr">
        <is>
          <t>NEON-LaneProbe（自设定向负载）
执行定义与oracle：8/16/32/64-bit lane、整数/浮点 AdvSIMD、lane extract/insert、widen/narrow、permute、reduce；逐 lane 比对</t>
        </is>
      </c>
      <c r="K249" s="6" t="inlineStr">
        <is>
          <t>发生partial-width或lane写入并随后读取</t>
        </is>
      </c>
      <c r="L249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49" s="6" t="inlineStr">
        <is>
          <t>产生半新半旧向量，易逃过标量结果检查；逐lane oracle可定位</t>
        </is>
      </c>
      <c r="N249" s="6" t="inlineStr">
        <is>
          <t>FP/SIMD重命名和物理值合并的专属结构化模型</t>
        </is>
      </c>
      <c r="O249" s="6" t="inlineStr">
        <is>
          <t>本方案结构化模型</t>
        </is>
      </c>
      <c r="P249" s="9" t="n"/>
      <c r="Q249" s="9" t="n"/>
      <c r="R249" s="9" t="n"/>
      <c r="S249" s="9" t="n"/>
      <c r="T249" s="9" t="n"/>
      <c r="U249" s="9" t="n"/>
      <c r="V249" s="9" t="n"/>
      <c r="W249" s="9" t="n"/>
      <c r="X249" s="12">
        <f>IF(OR(R249="",R249-AP249&lt;=0),"",AB249/(R249-AP249))</f>
        <v/>
      </c>
      <c r="Y249" s="12">
        <f>IFERROR(R249/AR249,0)</f>
        <v/>
      </c>
      <c r="Z249" s="9" t="inlineStr">
        <is>
          <t>待执行</t>
        </is>
      </c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12">
        <f>IF(OR(R249="",R249-AP249&lt;=0),"",AO249/(R249-AP249))</f>
        <v/>
      </c>
      <c r="AM249" s="11">
        <f>IF(R249="","",SUM(AC249:AF249)-(R249-AP249))</f>
        <v/>
      </c>
      <c r="AN249" s="11">
        <f>IF(R249="","",SUM(S249:W249)+AP249-R249)</f>
        <v/>
      </c>
      <c r="AO249" s="9" t="n"/>
      <c r="AP249" s="9" t="n"/>
      <c r="AQ249" s="27" t="inlineStr">
        <is>
          <t>FR08-a preserve模式换值；FR08-b zero模式换值；FR08-c merge模式换值；FR08-d 新旧lane错误拼接</t>
        </is>
      </c>
      <c r="AR249" s="39" t="n"/>
      <c r="AS249" s="39">
        <f>IFERROR(AR249/Q249,0)</f>
        <v/>
      </c>
      <c r="AT249" s="39" t="n">
        <v>30</v>
      </c>
      <c r="AU249" s="39" t="n">
        <v>385</v>
      </c>
      <c r="AV249" s="39" t="inlineStr">
        <is>
          <t>常规</t>
        </is>
      </c>
      <c r="AW249" s="39" t="inlineStr">
        <is>
          <t>累计至少385，不机械扩展到2401</t>
        </is>
      </c>
    </row>
    <row r="250" ht="118.0500030517578" customHeight="1">
      <c r="A250" s="6" t="inlineStr">
        <is>
          <t>FR09-F0-W9</t>
        </is>
      </c>
      <c r="B250" s="6" t="inlineStr">
        <is>
          <t>FR09</t>
        </is>
      </c>
      <c r="C250" s="6" t="inlineStr">
        <is>
          <t>FP/SIMD Rename</t>
        </is>
      </c>
      <c r="D250" s="6" t="inlineStr">
        <is>
          <t>FP/Vec rename事务：RAT更新、free-list弹出、ROB/IQ分配。</t>
        </is>
      </c>
      <c r="E250" s="6" t="inlineStr">
        <is>
          <t>时序</t>
        </is>
      </c>
      <c r="F250" s="6" t="inlineStr">
        <is>
          <t>让一个子更新提前/延后/丢失或重复。绑定一个动态指令/事件ID，提前、延后、丢失、重复分开执行；数据载荷保持正确。仅当下游因此读取旧值、漏发、重复或改变顺序时计activated。触发：同周期多条FP/SIMD指令被重命名。</t>
        </is>
      </c>
      <c r="G250" s="6" t="inlineStr">
        <is>
          <t>F0</t>
        </is>
      </c>
      <c r="H250" s="6" t="inlineStr">
        <is>
          <t>每次运行只注入1次；warm-up后在 eligible event 中均匀抽样</t>
        </is>
      </c>
      <c r="I250" s="6" t="inlineStr">
        <is>
          <t>W9 NEON-LaneProbe</t>
        </is>
      </c>
      <c r="J250" s="6" t="inlineStr">
        <is>
          <t>NEON-LaneProbe（自设定向负载）
执行定义与oracle：8/16/32/64-bit lane、整数/浮点 AdvSIMD、lane extract/insert、widen/narrow、permute、reduce；逐 lane 比对</t>
        </is>
      </c>
      <c r="K250" s="6" t="inlineStr">
        <is>
          <t>同周期多条FP/SIMD指令被重命名</t>
        </is>
      </c>
      <c r="L250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50" s="6" t="inlineStr">
        <is>
          <t>跨结构不一致多为Crash/Timeout；一致但错误的合法tag可能SDC</t>
        </is>
      </c>
      <c r="N250" s="6" t="inlineStr">
        <is>
          <t>覆盖事务原子性和宽重命名</t>
        </is>
      </c>
      <c r="O250" s="6" t="inlineStr">
        <is>
          <t>MICRO24时延方法论类比</t>
        </is>
      </c>
      <c r="P250" s="9" t="n"/>
      <c r="Q250" s="9" t="n"/>
      <c r="R250" s="9" t="n"/>
      <c r="S250" s="9" t="n"/>
      <c r="T250" s="9" t="n"/>
      <c r="U250" s="9" t="n"/>
      <c r="V250" s="9" t="n"/>
      <c r="W250" s="9" t="n"/>
      <c r="X250" s="12">
        <f>IF(OR(R250="",R250-AP250&lt;=0),"",AB250/(R250-AP250))</f>
        <v/>
      </c>
      <c r="Y250" s="12">
        <f>IFERROR(R250/AR250,0)</f>
        <v/>
      </c>
      <c r="Z250" s="9" t="inlineStr">
        <is>
          <t>待执行</t>
        </is>
      </c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12">
        <f>IF(OR(R250="",R250-AP250&lt;=0),"",AO250/(R250-AP250))</f>
        <v/>
      </c>
      <c r="AM250" s="11">
        <f>IF(R250="","",SUM(AC250:AF250)-(R250-AP250))</f>
        <v/>
      </c>
      <c r="AN250" s="11">
        <f>IF(R250="","",SUM(S250:W250)+AP250-R250)</f>
        <v/>
      </c>
      <c r="AO250" s="9" t="n"/>
      <c r="AP250" s="9" t="n"/>
      <c r="AQ250" s="27" t="inlineStr">
        <is>
          <t>FR09-a RAT更新提前/延后；FR09-b free-list弹出提前/延后；FR09-c ROB/IQ分配丢失/重复</t>
        </is>
      </c>
      <c r="AR250" s="39" t="n"/>
      <c r="AS250" s="39">
        <f>IFERROR(AR250/Q250,0)</f>
        <v/>
      </c>
      <c r="AT250" s="39" t="n">
        <v>30</v>
      </c>
      <c r="AU250" s="39" t="n">
        <v>385</v>
      </c>
      <c r="AV250" s="39" t="inlineStr">
        <is>
          <t>常规</t>
        </is>
      </c>
      <c r="AW250" s="39" t="inlineStr">
        <is>
          <t>累计至少385，不机械扩展到2401</t>
        </is>
      </c>
    </row>
    <row r="251" ht="118.0500030517578" customHeight="1">
      <c r="A251" s="6" t="inlineStr">
        <is>
          <t>FR09-F0-W10</t>
        </is>
      </c>
      <c r="B251" s="6" t="inlineStr">
        <is>
          <t>FR09</t>
        </is>
      </c>
      <c r="C251" s="6" t="inlineStr">
        <is>
          <t>FP/SIMD Rename</t>
        </is>
      </c>
      <c r="D251" s="6" t="inlineStr">
        <is>
          <t>FP/Vec rename事务：RAT更新、free-list弹出、ROB/IQ分配。</t>
        </is>
      </c>
      <c r="E251" s="6" t="inlineStr">
        <is>
          <t>时序</t>
        </is>
      </c>
      <c r="F251" s="6" t="inlineStr">
        <is>
          <t>让一个子更新提前/延后/丢失或重复。绑定一个动态指令/事件ID，提前、延后、丢失、重复分开执行；数据载荷保持正确。仅当下游因此读取旧值、漏发、重复或改变顺序时计activated。触发：同周期多条FP/SIMD指令被重命名。</t>
        </is>
      </c>
      <c r="G251" s="6" t="inlineStr">
        <is>
          <t>F0</t>
        </is>
      </c>
      <c r="H251" s="6" t="inlineStr">
        <is>
          <t>每次运行只注入1次；warm-up后在 eligible event 中均匀抽样</t>
        </is>
      </c>
      <c r="I251" s="6" t="inlineStr">
        <is>
          <t>W10 PolyBench</t>
        </is>
      </c>
      <c r="J251" s="6" t="inlineStr">
        <is>
          <t>PolyBench（公开通用）
执行定义与oracle：gemm、2mm、lu、cholesky、jacobi-2d；固定规模；输出数组逐元素/容差双校验</t>
        </is>
      </c>
      <c r="K251" s="6" t="inlineStr">
        <is>
          <t>同周期多条FP/SIMD指令被重命名</t>
        </is>
      </c>
      <c r="L251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51" s="6" t="inlineStr">
        <is>
          <t>跨结构不一致多为Crash/Timeout；一致但错误的合法tag可能SDC</t>
        </is>
      </c>
      <c r="N251" s="6" t="inlineStr">
        <is>
          <t>覆盖事务原子性和宽重命名</t>
        </is>
      </c>
      <c r="O251" s="6" t="inlineStr">
        <is>
          <t>MICRO24时延方法论类比</t>
        </is>
      </c>
      <c r="P251" s="9" t="n"/>
      <c r="Q251" s="9" t="n"/>
      <c r="R251" s="9" t="n"/>
      <c r="S251" s="9" t="n"/>
      <c r="T251" s="9" t="n"/>
      <c r="U251" s="9" t="n"/>
      <c r="V251" s="9" t="n"/>
      <c r="W251" s="9" t="n"/>
      <c r="X251" s="12">
        <f>IF(OR(R251="",R251-AP251&lt;=0),"",AB251/(R251-AP251))</f>
        <v/>
      </c>
      <c r="Y251" s="12">
        <f>IFERROR(R251/AR251,0)</f>
        <v/>
      </c>
      <c r="Z251" s="9" t="inlineStr">
        <is>
          <t>待执行</t>
        </is>
      </c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12">
        <f>IF(OR(R251="",R251-AP251&lt;=0),"",AO251/(R251-AP251))</f>
        <v/>
      </c>
      <c r="AM251" s="11">
        <f>IF(R251="","",SUM(AC251:AF251)-(R251-AP251))</f>
        <v/>
      </c>
      <c r="AN251" s="11">
        <f>IF(R251="","",SUM(S251:W251)+AP251-R251)</f>
        <v/>
      </c>
      <c r="AO251" s="9" t="n"/>
      <c r="AP251" s="9" t="n"/>
      <c r="AQ251" s="27" t="inlineStr">
        <is>
          <t>FR09-a RAT更新提前/延后；FR09-b free-list弹出提前/延后；FR09-c ROB/IQ分配丢失/重复</t>
        </is>
      </c>
      <c r="AR251" s="39" t="n"/>
      <c r="AS251" s="39">
        <f>IFERROR(AR251/Q251,0)</f>
        <v/>
      </c>
      <c r="AT251" s="39" t="n">
        <v>30</v>
      </c>
      <c r="AU251" s="39" t="n">
        <v>385</v>
      </c>
      <c r="AV251" s="39" t="inlineStr">
        <is>
          <t>常规</t>
        </is>
      </c>
      <c r="AW251" s="39" t="inlineStr">
        <is>
          <t>累计至少385，不机械扩展到2401</t>
        </is>
      </c>
    </row>
    <row r="252" ht="118.0500030517578" customHeight="1">
      <c r="A252" s="6" t="inlineStr">
        <is>
          <t>FR09-F4-W9</t>
        </is>
      </c>
      <c r="B252" s="6" t="inlineStr">
        <is>
          <t>FR09</t>
        </is>
      </c>
      <c r="C252" s="6" t="inlineStr">
        <is>
          <t>FP/SIMD Rename</t>
        </is>
      </c>
      <c r="D252" s="6" t="inlineStr">
        <is>
          <t>FP/Vec rename事务：RAT更新、free-list弹出、ROB/IQ分配。</t>
        </is>
      </c>
      <c r="E252" s="6" t="inlineStr">
        <is>
          <t>时序</t>
        </is>
      </c>
      <c r="F252" s="6" t="inlineStr">
        <is>
          <t>让一个子更新提前/延后/丢失或重复。绑定一个动态指令/事件ID，提前、延后、丢失、重复分开执行；数据载荷保持正确。仅当下游因此读取旧值、漏发、重复或改变顺序时计activated。触发：同周期多条FP/SIMD指令被重命名。</t>
        </is>
      </c>
      <c r="G252" s="6" t="inlineStr">
        <is>
          <t>F4</t>
        </is>
      </c>
      <c r="H252" s="6" t="inlineStr">
        <is>
          <t>每100,000个 eligible events 触发一次，连续污染2-4个 eligible events</t>
        </is>
      </c>
      <c r="I252" s="6" t="inlineStr">
        <is>
          <t>W9 NEON-LaneProbe</t>
        </is>
      </c>
      <c r="J252" s="6" t="inlineStr">
        <is>
          <t>NEON-LaneProbe（自设定向负载）
执行定义与oracle：8/16/32/64-bit lane、整数/浮点 AdvSIMD、lane extract/insert、widen/narrow、permute、reduce；逐 lane 比对</t>
        </is>
      </c>
      <c r="K252" s="6" t="inlineStr">
        <is>
          <t>同周期多条FP/SIMD指令被重命名</t>
        </is>
      </c>
      <c r="L252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52" s="6" t="inlineStr">
        <is>
          <t>跨结构不一致多为Crash/Timeout；一致但错误的合法tag可能SDC</t>
        </is>
      </c>
      <c r="N252" s="6" t="inlineStr">
        <is>
          <t>覆盖事务原子性和宽重命名</t>
        </is>
      </c>
      <c r="O252" s="6" t="inlineStr">
        <is>
          <t>MICRO24时延方法论类比</t>
        </is>
      </c>
      <c r="P252" s="9" t="n"/>
      <c r="Q252" s="9" t="n"/>
      <c r="R252" s="9" t="n"/>
      <c r="S252" s="9" t="n"/>
      <c r="T252" s="9" t="n"/>
      <c r="U252" s="9" t="n"/>
      <c r="V252" s="9" t="n"/>
      <c r="W252" s="9" t="n"/>
      <c r="X252" s="12">
        <f>IF(OR(R252="",R252-AP252&lt;=0),"",AB252/(R252-AP252))</f>
        <v/>
      </c>
      <c r="Y252" s="12">
        <f>IFERROR(R252/AR252,0)</f>
        <v/>
      </c>
      <c r="Z252" s="9" t="inlineStr">
        <is>
          <t>待执行</t>
        </is>
      </c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12">
        <f>IF(OR(R252="",R252-AP252&lt;=0),"",AO252/(R252-AP252))</f>
        <v/>
      </c>
      <c r="AM252" s="11">
        <f>IF(R252="","",SUM(AC252:AF252)-(R252-AP252))</f>
        <v/>
      </c>
      <c r="AN252" s="11">
        <f>IF(R252="","",SUM(S252:W252)+AP252-R252)</f>
        <v/>
      </c>
      <c r="AO252" s="9" t="n"/>
      <c r="AP252" s="9" t="n"/>
      <c r="AQ252" s="27" t="inlineStr">
        <is>
          <t>FR09-a RAT更新提前/延后；FR09-b free-list弹出提前/延后；FR09-c ROB/IQ分配丢失/重复</t>
        </is>
      </c>
      <c r="AR252" s="39" t="n"/>
      <c r="AS252" s="39">
        <f>IFERROR(AR252/Q252,0)</f>
        <v/>
      </c>
      <c r="AT252" s="39" t="n">
        <v>30</v>
      </c>
      <c r="AU252" s="39" t="n">
        <v>385</v>
      </c>
      <c r="AV252" s="39" t="inlineStr">
        <is>
          <t>常规</t>
        </is>
      </c>
      <c r="AW252" s="39" t="inlineStr">
        <is>
          <t>累计至少385，不机械扩展到2401</t>
        </is>
      </c>
    </row>
    <row r="253" ht="118.0500030517578" customHeight="1">
      <c r="A253" s="6" t="inlineStr">
        <is>
          <t>FR09-F4-W10</t>
        </is>
      </c>
      <c r="B253" s="6" t="inlineStr">
        <is>
          <t>FR09</t>
        </is>
      </c>
      <c r="C253" s="6" t="inlineStr">
        <is>
          <t>FP/SIMD Rename</t>
        </is>
      </c>
      <c r="D253" s="6" t="inlineStr">
        <is>
          <t>FP/Vec rename事务：RAT更新、free-list弹出、ROB/IQ分配。</t>
        </is>
      </c>
      <c r="E253" s="6" t="inlineStr">
        <is>
          <t>时序</t>
        </is>
      </c>
      <c r="F253" s="6" t="inlineStr">
        <is>
          <t>让一个子更新提前/延后/丢失或重复。绑定一个动态指令/事件ID，提前、延后、丢失、重复分开执行；数据载荷保持正确。仅当下游因此读取旧值、漏发、重复或改变顺序时计activated。触发：同周期多条FP/SIMD指令被重命名。</t>
        </is>
      </c>
      <c r="G253" s="6" t="inlineStr">
        <is>
          <t>F4</t>
        </is>
      </c>
      <c r="H253" s="6" t="inlineStr">
        <is>
          <t>每100,000个 eligible events 触发一次，连续污染2-4个 eligible events</t>
        </is>
      </c>
      <c r="I253" s="6" t="inlineStr">
        <is>
          <t>W10 PolyBench</t>
        </is>
      </c>
      <c r="J253" s="6" t="inlineStr">
        <is>
          <t>PolyBench（公开通用）
执行定义与oracle：gemm、2mm、lu、cholesky、jacobi-2d；固定规模；输出数组逐元素/容差双校验</t>
        </is>
      </c>
      <c r="K253" s="6" t="inlineStr">
        <is>
          <t>同周期多条FP/SIMD指令被重命名</t>
        </is>
      </c>
      <c r="L253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53" s="6" t="inlineStr">
        <is>
          <t>跨结构不一致多为Crash/Timeout；一致但错误的合法tag可能SDC</t>
        </is>
      </c>
      <c r="N253" s="6" t="inlineStr">
        <is>
          <t>覆盖事务原子性和宽重命名</t>
        </is>
      </c>
      <c r="O253" s="6" t="inlineStr">
        <is>
          <t>MICRO24时延方法论类比</t>
        </is>
      </c>
      <c r="P253" s="9" t="n"/>
      <c r="Q253" s="9" t="n"/>
      <c r="R253" s="9" t="n"/>
      <c r="S253" s="9" t="n"/>
      <c r="T253" s="9" t="n"/>
      <c r="U253" s="9" t="n"/>
      <c r="V253" s="9" t="n"/>
      <c r="W253" s="9" t="n"/>
      <c r="X253" s="12">
        <f>IF(OR(R253="",R253-AP253&lt;=0),"",AB253/(R253-AP253))</f>
        <v/>
      </c>
      <c r="Y253" s="12">
        <f>IFERROR(R253/AR253,0)</f>
        <v/>
      </c>
      <c r="Z253" s="9" t="inlineStr">
        <is>
          <t>待执行</t>
        </is>
      </c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12">
        <f>IF(OR(R253="",R253-AP253&lt;=0),"",AO253/(R253-AP253))</f>
        <v/>
      </c>
      <c r="AM253" s="11">
        <f>IF(R253="","",SUM(AC253:AF253)-(R253-AP253))</f>
        <v/>
      </c>
      <c r="AN253" s="11">
        <f>IF(R253="","",SUM(S253:W253)+AP253-R253)</f>
        <v/>
      </c>
      <c r="AO253" s="9" t="n"/>
      <c r="AP253" s="9" t="n"/>
      <c r="AQ253" s="27" t="inlineStr">
        <is>
          <t>FR09-a RAT更新提前/延后；FR09-b free-list弹出提前/延后；FR09-c ROB/IQ分配丢失/重复</t>
        </is>
      </c>
      <c r="AR253" s="39" t="n"/>
      <c r="AS253" s="39">
        <f>IFERROR(AR253/Q253,0)</f>
        <v/>
      </c>
      <c r="AT253" s="39" t="n">
        <v>30</v>
      </c>
      <c r="AU253" s="39" t="n">
        <v>2401</v>
      </c>
      <c r="AV253" s="39" t="inlineStr">
        <is>
          <t>预登记重点</t>
        </is>
      </c>
      <c r="AW253" s="39" t="inlineStr">
        <is>
          <t>累计2401（含pilot与前385），不得序贯停止</t>
        </is>
      </c>
    </row>
    <row r="254" ht="118.0500030517578" customHeight="1">
      <c r="A254" s="6" t="inlineStr">
        <is>
          <t>FR09-F6-W9</t>
        </is>
      </c>
      <c r="B254" s="6" t="inlineStr">
        <is>
          <t>FR09</t>
        </is>
      </c>
      <c r="C254" s="6" t="inlineStr">
        <is>
          <t>FP/SIMD Rename</t>
        </is>
      </c>
      <c r="D254" s="6" t="inlineStr">
        <is>
          <t>FP/Vec rename事务：RAT更新、free-list弹出、ROB/IQ分配。</t>
        </is>
      </c>
      <c r="E254" s="6" t="inlineStr">
        <is>
          <t>时序</t>
        </is>
      </c>
      <c r="F254" s="6" t="inlineStr">
        <is>
          <t>让一个子更新提前/延后/丢失或重复。绑定一个动态指令/事件ID，提前、延后、丢失、重复分开执行；数据载荷保持正确。仅当下游因此读取旧值、漏发、重复或改变顺序时计activated。触发：同周期多条FP/SIMD指令被重命名。</t>
        </is>
      </c>
      <c r="G254" s="6" t="inlineStr">
        <is>
          <t>F6</t>
        </is>
      </c>
      <c r="H254" s="6" t="inlineStr">
        <is>
          <t>首次出现指定稀有事件时注入1次，保证结构化模型被激活</t>
        </is>
      </c>
      <c r="I254" s="6" t="inlineStr">
        <is>
          <t>W9 NEON-LaneProbe</t>
        </is>
      </c>
      <c r="J254" s="6" t="inlineStr">
        <is>
          <t>NEON-LaneProbe（自设定向负载）
执行定义与oracle：8/16/32/64-bit lane、整数/浮点 AdvSIMD、lane extract/insert、widen/narrow、permute、reduce；逐 lane 比对</t>
        </is>
      </c>
      <c r="K254" s="6" t="inlineStr">
        <is>
          <t>同周期多条FP/SIMD指令被重命名</t>
        </is>
      </c>
      <c r="L254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54" s="6" t="inlineStr">
        <is>
          <t>跨结构不一致多为Crash/Timeout；一致但错误的合法tag可能SDC</t>
        </is>
      </c>
      <c r="N254" s="6" t="inlineStr">
        <is>
          <t>覆盖事务原子性和宽重命名</t>
        </is>
      </c>
      <c r="O254" s="6" t="inlineStr">
        <is>
          <t>MICRO24时延方法论类比</t>
        </is>
      </c>
      <c r="P254" s="9" t="n"/>
      <c r="Q254" s="9" t="n"/>
      <c r="R254" s="9" t="n"/>
      <c r="S254" s="9" t="n"/>
      <c r="T254" s="9" t="n"/>
      <c r="U254" s="9" t="n"/>
      <c r="V254" s="9" t="n"/>
      <c r="W254" s="9" t="n"/>
      <c r="X254" s="12">
        <f>IF(OR(R254="",R254-AP254&lt;=0),"",AB254/(R254-AP254))</f>
        <v/>
      </c>
      <c r="Y254" s="12">
        <f>IFERROR(R254/AR254,0)</f>
        <v/>
      </c>
      <c r="Z254" s="9" t="inlineStr">
        <is>
          <t>待执行</t>
        </is>
      </c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12">
        <f>IF(OR(R254="",R254-AP254&lt;=0),"",AO254/(R254-AP254))</f>
        <v/>
      </c>
      <c r="AM254" s="11">
        <f>IF(R254="","",SUM(AC254:AF254)-(R254-AP254))</f>
        <v/>
      </c>
      <c r="AN254" s="11">
        <f>IF(R254="","",SUM(S254:W254)+AP254-R254)</f>
        <v/>
      </c>
      <c r="AO254" s="9" t="n"/>
      <c r="AP254" s="9" t="n"/>
      <c r="AQ254" s="27" t="inlineStr">
        <is>
          <t>FR09-a RAT更新提前/延后；FR09-b free-list弹出提前/延后；FR09-c ROB/IQ分配丢失/重复</t>
        </is>
      </c>
      <c r="AR254" s="39" t="n"/>
      <c r="AS254" s="39">
        <f>IFERROR(AR254/Q254,0)</f>
        <v/>
      </c>
      <c r="AT254" s="39" t="n">
        <v>30</v>
      </c>
      <c r="AU254" s="39" t="n">
        <v>385</v>
      </c>
      <c r="AV254" s="39" t="inlineStr">
        <is>
          <t>常规</t>
        </is>
      </c>
      <c r="AW254" s="39" t="inlineStr">
        <is>
          <t>累计至少385，不机械扩展到2401</t>
        </is>
      </c>
    </row>
    <row r="255" ht="118.0500030517578" customHeight="1">
      <c r="A255" s="6" t="inlineStr">
        <is>
          <t>FR09-F6-W10</t>
        </is>
      </c>
      <c r="B255" s="6" t="inlineStr">
        <is>
          <t>FR09</t>
        </is>
      </c>
      <c r="C255" s="6" t="inlineStr">
        <is>
          <t>FP/SIMD Rename</t>
        </is>
      </c>
      <c r="D255" s="6" t="inlineStr">
        <is>
          <t>FP/Vec rename事务：RAT更新、free-list弹出、ROB/IQ分配。</t>
        </is>
      </c>
      <c r="E255" s="6" t="inlineStr">
        <is>
          <t>时序</t>
        </is>
      </c>
      <c r="F255" s="6" t="inlineStr">
        <is>
          <t>让一个子更新提前/延后/丢失或重复。绑定一个动态指令/事件ID，提前、延后、丢失、重复分开执行；数据载荷保持正确。仅当下游因此读取旧值、漏发、重复或改变顺序时计activated。触发：同周期多条FP/SIMD指令被重命名。</t>
        </is>
      </c>
      <c r="G255" s="6" t="inlineStr">
        <is>
          <t>F6</t>
        </is>
      </c>
      <c r="H255" s="6" t="inlineStr">
        <is>
          <t>首次出现指定稀有事件时注入1次，保证结构化模型被激活</t>
        </is>
      </c>
      <c r="I255" s="6" t="inlineStr">
        <is>
          <t>W10 PolyBench</t>
        </is>
      </c>
      <c r="J255" s="6" t="inlineStr">
        <is>
          <t>PolyBench（公开通用）
执行定义与oracle：gemm、2mm、lu、cholesky、jacobi-2d；固定规模；输出数组逐元素/容差双校验</t>
        </is>
      </c>
      <c r="K255" s="6" t="inlineStr">
        <is>
          <t>同周期多条FP/SIMD指令被重命名</t>
        </is>
      </c>
      <c r="L255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55" s="6" t="inlineStr">
        <is>
          <t>跨结构不一致多为Crash/Timeout；一致但错误的合法tag可能SDC</t>
        </is>
      </c>
      <c r="N255" s="6" t="inlineStr">
        <is>
          <t>覆盖事务原子性和宽重命名</t>
        </is>
      </c>
      <c r="O255" s="6" t="inlineStr">
        <is>
          <t>MICRO24时延方法论类比</t>
        </is>
      </c>
      <c r="P255" s="9" t="n"/>
      <c r="Q255" s="9" t="n"/>
      <c r="R255" s="9" t="n"/>
      <c r="S255" s="9" t="n"/>
      <c r="T255" s="9" t="n"/>
      <c r="U255" s="9" t="n"/>
      <c r="V255" s="9" t="n"/>
      <c r="W255" s="9" t="n"/>
      <c r="X255" s="12">
        <f>IF(OR(R255="",R255-AP255&lt;=0),"",AB255/(R255-AP255))</f>
        <v/>
      </c>
      <c r="Y255" s="12">
        <f>IFERROR(R255/AR255,0)</f>
        <v/>
      </c>
      <c r="Z255" s="9" t="inlineStr">
        <is>
          <t>待执行</t>
        </is>
      </c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12">
        <f>IF(OR(R255="",R255-AP255&lt;=0),"",AO255/(R255-AP255))</f>
        <v/>
      </c>
      <c r="AM255" s="11">
        <f>IF(R255="","",SUM(AC255:AF255)-(R255-AP255))</f>
        <v/>
      </c>
      <c r="AN255" s="11">
        <f>IF(R255="","",SUM(S255:W255)+AP255-R255)</f>
        <v/>
      </c>
      <c r="AO255" s="9" t="n"/>
      <c r="AP255" s="9" t="n"/>
      <c r="AQ255" s="27" t="inlineStr">
        <is>
          <t>FR09-a RAT更新提前/延后；FR09-b free-list弹出提前/延后；FR09-c ROB/IQ分配丢失/重复</t>
        </is>
      </c>
      <c r="AR255" s="39" t="n"/>
      <c r="AS255" s="39">
        <f>IFERROR(AR255/Q255,0)</f>
        <v/>
      </c>
      <c r="AT255" s="39" t="n">
        <v>30</v>
      </c>
      <c r="AU255" s="39" t="n">
        <v>385</v>
      </c>
      <c r="AV255" s="39" t="inlineStr">
        <is>
          <t>常规</t>
        </is>
      </c>
      <c r="AW255" s="39" t="inlineStr">
        <is>
          <t>累计至少385，不机械扩展到2401</t>
        </is>
      </c>
    </row>
    <row r="256" ht="118.0500030517578" customHeight="1">
      <c r="A256" s="6" t="inlineStr">
        <is>
          <t>FR10-F5-W9</t>
        </is>
      </c>
      <c r="B256" s="6" t="inlineStr">
        <is>
          <t>FR10</t>
        </is>
      </c>
      <c r="C256" s="6" t="inlineStr">
        <is>
          <t>FP/SIMD Rename</t>
        </is>
      </c>
      <c r="D256" s="6" t="inlineStr">
        <is>
          <t>FP/Vec RAT或free-list固定bit，持续跨多次事件。</t>
        </is>
      </c>
      <c r="E256" s="6" t="inlineStr">
        <is>
          <t>卡死</t>
        </is>
      </c>
      <c r="F256" s="6" t="inlineStr">
        <is>
          <t>选择FP/Vec tag bit或free-list bit实施stuck-at-0/1。warm-up后固定一个bit/控制位，分别做stuck-at-0和stuck-at-1，每次经过均施加到结束；正确值本来等于卡死值时不增加activated。触发：warm-up后每次相关FP/SIMD重命名。</t>
        </is>
      </c>
      <c r="G256" s="6" t="inlineStr">
        <is>
          <t>F5</t>
        </is>
      </c>
      <c r="H256" s="6" t="inlineStr">
        <is>
          <t>warm-up后第一个 eligible event 起持续至运行结束；每次运行只选1 bit/字段</t>
        </is>
      </c>
      <c r="I256" s="6" t="inlineStr">
        <is>
          <t>W9 NEON-LaneProbe</t>
        </is>
      </c>
      <c r="J256" s="6" t="inlineStr">
        <is>
          <t>NEON-LaneProbe（自设定向负载）
执行定义与oracle：8/16/32/64-bit lane、整数/浮点 AdvSIMD、lane extract/insert、widen/narrow、permute、reduce；逐 lane 比对</t>
        </is>
      </c>
      <c r="K256" s="6" t="inlineStr">
        <is>
          <t>warm-up后每次相关FP/SIMD重命名</t>
        </is>
      </c>
      <c r="L256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56" s="6" t="inlineStr">
        <is>
          <t>资源耗尽、周期性别名或稳定lane错误；负载数据分布决定激活</t>
        </is>
      </c>
      <c r="N256" s="6" t="inlineStr">
        <is>
          <t>覆盖永久缺陷</t>
        </is>
      </c>
      <c r="O256" s="6" t="inlineStr">
        <is>
          <t>CHAOS26 stuck-at方法；无直接FP rename结果</t>
        </is>
      </c>
      <c r="P256" s="9" t="n"/>
      <c r="Q256" s="9" t="n"/>
      <c r="R256" s="9" t="n"/>
      <c r="S256" s="9" t="n"/>
      <c r="T256" s="9" t="n"/>
      <c r="U256" s="9" t="n"/>
      <c r="V256" s="9" t="n"/>
      <c r="W256" s="9" t="n"/>
      <c r="X256" s="12">
        <f>IF(OR(R256="",R256-AP256&lt;=0),"",AB256/(R256-AP256))</f>
        <v/>
      </c>
      <c r="Y256" s="12">
        <f>IFERROR(R256/AR256,0)</f>
        <v/>
      </c>
      <c r="Z256" s="9" t="inlineStr">
        <is>
          <t>待执行</t>
        </is>
      </c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12">
        <f>IF(OR(R256="",R256-AP256&lt;=0),"",AO256/(R256-AP256))</f>
        <v/>
      </c>
      <c r="AM256" s="11">
        <f>IF(R256="","",SUM(AC256:AF256)-(R256-AP256))</f>
        <v/>
      </c>
      <c r="AN256" s="11">
        <f>IF(R256="","",SUM(S256:W256)+AP256-R256)</f>
        <v/>
      </c>
      <c r="AO256" s="9" t="n"/>
      <c r="AP256" s="9" t="n"/>
      <c r="AQ256" s="27" t="inlineStr">
        <is>
          <t>FR10-a FP/Vec RAT bit stuck-at-0；FR10-b FP/Vec RAT bit stuck-at-1；FR10-c free-list bit stuck-at-0；FR10-d free-list bit stuck-at-1</t>
        </is>
      </c>
      <c r="AR256" s="39" t="n"/>
      <c r="AS256" s="39">
        <f>IFERROR(AR256/Q256,0)</f>
        <v/>
      </c>
      <c r="AT256" s="39" t="n">
        <v>30</v>
      </c>
      <c r="AU256" s="39" t="n">
        <v>385</v>
      </c>
      <c r="AV256" s="39" t="inlineStr">
        <is>
          <t>常规</t>
        </is>
      </c>
      <c r="AW256" s="39" t="inlineStr">
        <is>
          <t>累计至少385，不机械扩展到2401</t>
        </is>
      </c>
    </row>
    <row r="257" ht="118.0500030517578" customHeight="1">
      <c r="A257" s="6" t="inlineStr">
        <is>
          <t>FR10-F5-W10</t>
        </is>
      </c>
      <c r="B257" s="6" t="inlineStr">
        <is>
          <t>FR10</t>
        </is>
      </c>
      <c r="C257" s="6" t="inlineStr">
        <is>
          <t>FP/SIMD Rename</t>
        </is>
      </c>
      <c r="D257" s="6" t="inlineStr">
        <is>
          <t>FP/Vec RAT或free-list固定bit，持续跨多次事件。</t>
        </is>
      </c>
      <c r="E257" s="6" t="inlineStr">
        <is>
          <t>卡死</t>
        </is>
      </c>
      <c r="F257" s="6" t="inlineStr">
        <is>
          <t>选择FP/Vec tag bit或free-list bit实施stuck-at-0/1。warm-up后固定一个bit/控制位，分别做stuck-at-0和stuck-at-1，每次经过均施加到结束；正确值本来等于卡死值时不增加activated。触发：warm-up后每次相关FP/SIMD重命名。</t>
        </is>
      </c>
      <c r="G257" s="6" t="inlineStr">
        <is>
          <t>F5</t>
        </is>
      </c>
      <c r="H257" s="6" t="inlineStr">
        <is>
          <t>warm-up后第一个 eligible event 起持续至运行结束；每次运行只选1 bit/字段</t>
        </is>
      </c>
      <c r="I257" s="6" t="inlineStr">
        <is>
          <t>W10 PolyBench</t>
        </is>
      </c>
      <c r="J257" s="6" t="inlineStr">
        <is>
          <t>PolyBench（公开通用）
执行定义与oracle：gemm、2mm、lu、cholesky、jacobi-2d；固定规模；输出数组逐元素/容差双校验</t>
        </is>
      </c>
      <c r="K257" s="6" t="inlineStr">
        <is>
          <t>warm-up后每次相关FP/SIMD重命名</t>
        </is>
      </c>
      <c r="L257" s="6" t="inlineStr">
        <is>
          <t>L0 eligible/activated；L1 FP/Vec RAT、free-list、ready、checkpoint、映射类别和唯一性；L2 FP IQ标签/依赖；L3 PRF lane读写、FU结果/FPSR；L4逐提交V寄存器和lane diff；L5检测与结局</t>
        </is>
      </c>
      <c r="M257" s="6" t="inlineStr">
        <is>
          <t>资源耗尽、周期性别名或稳定lane错误；负载数据分布决定激活</t>
        </is>
      </c>
      <c r="N257" s="6" t="inlineStr">
        <is>
          <t>覆盖永久缺陷</t>
        </is>
      </c>
      <c r="O257" s="6" t="inlineStr">
        <is>
          <t>CHAOS26 stuck-at方法；无直接FP rename结果</t>
        </is>
      </c>
      <c r="P257" s="9" t="n"/>
      <c r="Q257" s="9" t="n"/>
      <c r="R257" s="9" t="n"/>
      <c r="S257" s="9" t="n"/>
      <c r="T257" s="9" t="n"/>
      <c r="U257" s="9" t="n"/>
      <c r="V257" s="9" t="n"/>
      <c r="W257" s="9" t="n"/>
      <c r="X257" s="12">
        <f>IF(OR(R257="",R257-AP257&lt;=0),"",AB257/(R257-AP257))</f>
        <v/>
      </c>
      <c r="Y257" s="12">
        <f>IFERROR(R257/AR257,0)</f>
        <v/>
      </c>
      <c r="Z257" s="9" t="inlineStr">
        <is>
          <t>待执行</t>
        </is>
      </c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12">
        <f>IF(OR(R257="",R257-AP257&lt;=0),"",AO257/(R257-AP257))</f>
        <v/>
      </c>
      <c r="AM257" s="11">
        <f>IF(R257="","",SUM(AC257:AF257)-(R257-AP257))</f>
        <v/>
      </c>
      <c r="AN257" s="11">
        <f>IF(R257="","",SUM(S257:W257)+AP257-R257)</f>
        <v/>
      </c>
      <c r="AO257" s="9" t="n"/>
      <c r="AP257" s="9" t="n"/>
      <c r="AQ257" s="27" t="inlineStr">
        <is>
          <t>FR10-a FP/Vec RAT bit stuck-at-0；FR10-b FP/Vec RAT bit stuck-at-1；FR10-c free-list bit stuck-at-0；FR10-d free-list bit stuck-at-1</t>
        </is>
      </c>
      <c r="AR257" s="39" t="n"/>
      <c r="AS257" s="39">
        <f>IFERROR(AR257/Q257,0)</f>
        <v/>
      </c>
      <c r="AT257" s="39" t="n">
        <v>30</v>
      </c>
      <c r="AU257" s="39" t="n">
        <v>385</v>
      </c>
      <c r="AV257" s="39" t="inlineStr">
        <is>
          <t>常规</t>
        </is>
      </c>
      <c r="AW257" s="39" t="inlineStr">
        <is>
          <t>累计至少385，不机械扩展到2401</t>
        </is>
      </c>
    </row>
    <row r="258" ht="118.0500030517578" customHeight="1">
      <c r="A258" s="6" t="inlineStr">
        <is>
          <t>FB01-F0-W10</t>
        </is>
      </c>
      <c r="B258" s="6" t="inlineStr">
        <is>
          <t>FB01</t>
        </is>
      </c>
      <c r="C258" s="6" t="inlineStr">
        <is>
          <t>FP/SIMD Dispatch/ROB</t>
        </is>
      </c>
      <c r="D258" s="6" t="inlineStr">
        <is>
          <t>共享ROB中由FP/SIMD动态指令占用的entry字段。</t>
        </is>
      </c>
      <c r="E258" s="6" t="inlineStr">
        <is>
          <t>单比特翻转</t>
        </is>
      </c>
      <c r="F258" s="6" t="inlineStr">
        <is>
          <t>只在FP/SIMD entry中翻转PC/tag/seq字段1 bit。每次运行只选一个当前有效字段，在字段内均匀抽1 bit做XOR；保存动态指令ID、原值、故障值和bit编号。仅当故障字段被下游读取/选择/用于状态转移时计activated。触发：ROB中存在有效FP/SIMD entry。</t>
        </is>
      </c>
      <c r="G258" s="6" t="inlineStr">
        <is>
          <t>F0</t>
        </is>
      </c>
      <c r="H258" s="6" t="inlineStr">
        <is>
          <t>每次运行只注入1次；warm-up后在 eligible event 中均匀抽样</t>
        </is>
      </c>
      <c r="I258" s="6" t="inlineStr">
        <is>
          <t>W10 PolyBench</t>
        </is>
      </c>
      <c r="J258" s="6" t="inlineStr">
        <is>
          <t>PolyBench（公开通用）
执行定义与oracle：gemm、2mm、lu、cholesky、jacobi-2d；固定规模；输出数组逐元素/容差双校验</t>
        </is>
      </c>
      <c r="K258" s="6" t="inlineStr">
        <is>
          <t>ROB中存在有效FP/SIMD entry</t>
        </is>
      </c>
      <c r="L258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58" s="6" t="inlineStr">
        <is>
          <t>TC'23整数ROB先验是SDC接近0；FP长延迟和异常状态可能改变传播比例，需实测</t>
        </is>
      </c>
      <c r="N258" s="6" t="inlineStr">
        <is>
          <t>把共享物理结构按激活指令类型分层</t>
        </is>
      </c>
      <c r="O258" s="6" t="inlineStr">
        <is>
          <t>TC23结构直接但FP激活域未覆盖</t>
        </is>
      </c>
      <c r="P258" s="9" t="n"/>
      <c r="Q258" s="9" t="n"/>
      <c r="R258" s="9" t="n"/>
      <c r="S258" s="9" t="n"/>
      <c r="T258" s="9" t="n"/>
      <c r="U258" s="9" t="n"/>
      <c r="V258" s="9" t="n"/>
      <c r="W258" s="9" t="n"/>
      <c r="X258" s="12">
        <f>IF(OR(R258="",R258-AP258&lt;=0),"",AB258/(R258-AP258))</f>
        <v/>
      </c>
      <c r="Y258" s="12">
        <f>IFERROR(R258/AR258,0)</f>
        <v/>
      </c>
      <c r="Z258" s="9" t="inlineStr">
        <is>
          <t>待执行</t>
        </is>
      </c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12">
        <f>IF(OR(R258="",R258-AP258&lt;=0),"",AO258/(R258-AP258))</f>
        <v/>
      </c>
      <c r="AM258" s="11">
        <f>IF(R258="","",SUM(AC258:AF258)-(R258-AP258))</f>
        <v/>
      </c>
      <c r="AN258" s="11">
        <f>IF(R258="","",SUM(S258:W258)+AP258-R258)</f>
        <v/>
      </c>
      <c r="AO258" s="9" t="n"/>
      <c r="AP258" s="9" t="n"/>
      <c r="AQ258" s="27" t="inlineStr">
        <is>
          <t>FB01-a PC字段单bit；FB01-b tag字段单bit；FB01-c seq字段单bit；仅统计FP/SIMD动态entry</t>
        </is>
      </c>
      <c r="AR258" s="39" t="n"/>
      <c r="AS258" s="39">
        <f>IFERROR(AR258/Q258,0)</f>
        <v/>
      </c>
      <c r="AT258" s="39" t="n">
        <v>30</v>
      </c>
      <c r="AU258" s="39" t="n">
        <v>2401</v>
      </c>
      <c r="AV258" s="39" t="inlineStr">
        <is>
          <t>预登记重点</t>
        </is>
      </c>
      <c r="AW258" s="39" t="inlineStr">
        <is>
          <t>累计2401（含pilot与前385），不得序贯停止</t>
        </is>
      </c>
    </row>
    <row r="259" ht="118.0500030517578" customHeight="1">
      <c r="A259" s="6" t="inlineStr">
        <is>
          <t>FB01-F0-W13</t>
        </is>
      </c>
      <c r="B259" s="6" t="inlineStr">
        <is>
          <t>FB01</t>
        </is>
      </c>
      <c r="C259" s="6" t="inlineStr">
        <is>
          <t>FP/SIMD Dispatch/ROB</t>
        </is>
      </c>
      <c r="D259" s="6" t="inlineStr">
        <is>
          <t>共享ROB中由FP/SIMD动态指令占用的entry字段。</t>
        </is>
      </c>
      <c r="E259" s="6" t="inlineStr">
        <is>
          <t>单比特翻转</t>
        </is>
      </c>
      <c r="F259" s="6" t="inlineStr">
        <is>
          <t>只在FP/SIMD entry中翻转PC/tag/seq字段1 bit。每次运行只选一个当前有效字段，在字段内均匀抽1 bit做XOR；保存动态指令ID、原值、故障值和bit编号。仅当故障字段被下游读取/选择/用于状态转移时计activated。触发：ROB中存在有效FP/SIMD entry。</t>
        </is>
      </c>
      <c r="G259" s="6" t="inlineStr">
        <is>
          <t>F0</t>
        </is>
      </c>
      <c r="H259" s="6" t="inlineStr">
        <is>
          <t>每次运行只注入1次；warm-up后在 eligible event 中均匀抽样</t>
        </is>
      </c>
      <c r="I259" s="6" t="inlineStr">
        <is>
          <t>W13 FP-ExceptionRecovery</t>
        </is>
      </c>
      <c r="J259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259" s="6" t="inlineStr">
        <is>
          <t>ROB中存在有效FP/SIMD entry</t>
        </is>
      </c>
      <c r="L259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59" s="6" t="inlineStr">
        <is>
          <t>TC'23整数ROB先验是SDC接近0；FP长延迟和异常状态可能改变传播比例，需实测</t>
        </is>
      </c>
      <c r="N259" s="6" t="inlineStr">
        <is>
          <t>把共享物理结构按激活指令类型分层</t>
        </is>
      </c>
      <c r="O259" s="6" t="inlineStr">
        <is>
          <t>TC23结构直接但FP激活域未覆盖</t>
        </is>
      </c>
      <c r="P259" s="9" t="n"/>
      <c r="Q259" s="9" t="n"/>
      <c r="R259" s="9" t="n"/>
      <c r="S259" s="9" t="n"/>
      <c r="T259" s="9" t="n"/>
      <c r="U259" s="9" t="n"/>
      <c r="V259" s="9" t="n"/>
      <c r="W259" s="9" t="n"/>
      <c r="X259" s="12">
        <f>IF(OR(R259="",R259-AP259&lt;=0),"",AB259/(R259-AP259))</f>
        <v/>
      </c>
      <c r="Y259" s="12">
        <f>IFERROR(R259/AR259,0)</f>
        <v/>
      </c>
      <c r="Z259" s="9" t="inlineStr">
        <is>
          <t>待执行</t>
        </is>
      </c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12">
        <f>IF(OR(R259="",R259-AP259&lt;=0),"",AO259/(R259-AP259))</f>
        <v/>
      </c>
      <c r="AM259" s="11">
        <f>IF(R259="","",SUM(AC259:AF259)-(R259-AP259))</f>
        <v/>
      </c>
      <c r="AN259" s="11">
        <f>IF(R259="","",SUM(S259:W259)+AP259-R259)</f>
        <v/>
      </c>
      <c r="AO259" s="9" t="n"/>
      <c r="AP259" s="9" t="n"/>
      <c r="AQ259" s="27" t="inlineStr">
        <is>
          <t>FB01-a PC字段单bit；FB01-b tag字段单bit；FB01-c seq字段单bit；仅统计FP/SIMD动态entry</t>
        </is>
      </c>
      <c r="AR259" s="39" t="n"/>
      <c r="AS259" s="39">
        <f>IFERROR(AR259/Q259,0)</f>
        <v/>
      </c>
      <c r="AT259" s="39" t="n">
        <v>30</v>
      </c>
      <c r="AU259" s="39" t="n">
        <v>385</v>
      </c>
      <c r="AV259" s="39" t="inlineStr">
        <is>
          <t>常规</t>
        </is>
      </c>
      <c r="AW259" s="39" t="inlineStr">
        <is>
          <t>累计至少385，不机械扩展到2401</t>
        </is>
      </c>
    </row>
    <row r="260" ht="118.0500030517578" customHeight="1">
      <c r="A260" s="6" t="inlineStr">
        <is>
          <t>FB01-F1-W10</t>
        </is>
      </c>
      <c r="B260" s="6" t="inlineStr">
        <is>
          <t>FB01</t>
        </is>
      </c>
      <c r="C260" s="6" t="inlineStr">
        <is>
          <t>FP/SIMD Dispatch/ROB</t>
        </is>
      </c>
      <c r="D260" s="6" t="inlineStr">
        <is>
          <t>共享ROB中由FP/SIMD动态指令占用的entry字段。</t>
        </is>
      </c>
      <c r="E260" s="6" t="inlineStr">
        <is>
          <t>单比特翻转</t>
        </is>
      </c>
      <c r="F260" s="6" t="inlineStr">
        <is>
          <t>只在FP/SIMD entry中翻转PC/tag/seq字段1 bit。每次运行只选一个当前有效字段，在字段内均匀抽1 bit做XOR；保存动态指令ID、原值、故障值和bit编号。仅当故障字段被下游读取/选择/用于状态转移时计activated。触发：ROB中存在有效FP/SIMD entry。</t>
        </is>
      </c>
      <c r="G260" s="6" t="inlineStr">
        <is>
          <t>F1</t>
        </is>
      </c>
      <c r="H260" s="6" t="inlineStr">
        <is>
          <t>平均每1,000,000个 eligible events 注入1次，间隔加入±50%抖动</t>
        </is>
      </c>
      <c r="I260" s="6" t="inlineStr">
        <is>
          <t>W10 PolyBench</t>
        </is>
      </c>
      <c r="J260" s="6" t="inlineStr">
        <is>
          <t>PolyBench（公开通用）
执行定义与oracle：gemm、2mm、lu、cholesky、jacobi-2d；固定规模；输出数组逐元素/容差双校验</t>
        </is>
      </c>
      <c r="K260" s="6" t="inlineStr">
        <is>
          <t>ROB中存在有效FP/SIMD entry</t>
        </is>
      </c>
      <c r="L260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60" s="6" t="inlineStr">
        <is>
          <t>TC'23整数ROB先验是SDC接近0；FP长延迟和异常状态可能改变传播比例，需实测</t>
        </is>
      </c>
      <c r="N260" s="6" t="inlineStr">
        <is>
          <t>把共享物理结构按激活指令类型分层</t>
        </is>
      </c>
      <c r="O260" s="6" t="inlineStr">
        <is>
          <t>TC23结构直接但FP激活域未覆盖</t>
        </is>
      </c>
      <c r="P260" s="9" t="n"/>
      <c r="Q260" s="9" t="n"/>
      <c r="R260" s="9" t="n"/>
      <c r="S260" s="9" t="n"/>
      <c r="T260" s="9" t="n"/>
      <c r="U260" s="9" t="n"/>
      <c r="V260" s="9" t="n"/>
      <c r="W260" s="9" t="n"/>
      <c r="X260" s="12">
        <f>IF(OR(R260="",R260-AP260&lt;=0),"",AB260/(R260-AP260))</f>
        <v/>
      </c>
      <c r="Y260" s="12">
        <f>IFERROR(R260/AR260,0)</f>
        <v/>
      </c>
      <c r="Z260" s="9" t="inlineStr">
        <is>
          <t>待执行</t>
        </is>
      </c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12">
        <f>IF(OR(R260="",R260-AP260&lt;=0),"",AO260/(R260-AP260))</f>
        <v/>
      </c>
      <c r="AM260" s="11">
        <f>IF(R260="","",SUM(AC260:AF260)-(R260-AP260))</f>
        <v/>
      </c>
      <c r="AN260" s="11">
        <f>IF(R260="","",SUM(S260:W260)+AP260-R260)</f>
        <v/>
      </c>
      <c r="AO260" s="9" t="n"/>
      <c r="AP260" s="9" t="n"/>
      <c r="AQ260" s="27" t="inlineStr">
        <is>
          <t>FB01-a PC字段单bit；FB01-b tag字段单bit；FB01-c seq字段单bit；仅统计FP/SIMD动态entry</t>
        </is>
      </c>
      <c r="AR260" s="39" t="n"/>
      <c r="AS260" s="39">
        <f>IFERROR(AR260/Q260,0)</f>
        <v/>
      </c>
      <c r="AT260" s="39" t="n">
        <v>30</v>
      </c>
      <c r="AU260" s="39" t="n">
        <v>385</v>
      </c>
      <c r="AV260" s="39" t="inlineStr">
        <is>
          <t>常规</t>
        </is>
      </c>
      <c r="AW260" s="39" t="inlineStr">
        <is>
          <t>累计至少385，不机械扩展到2401</t>
        </is>
      </c>
    </row>
    <row r="261" ht="118.0500030517578" customHeight="1">
      <c r="A261" s="6" t="inlineStr">
        <is>
          <t>FB01-F1-W13</t>
        </is>
      </c>
      <c r="B261" s="6" t="inlineStr">
        <is>
          <t>FB01</t>
        </is>
      </c>
      <c r="C261" s="6" t="inlineStr">
        <is>
          <t>FP/SIMD Dispatch/ROB</t>
        </is>
      </c>
      <c r="D261" s="6" t="inlineStr">
        <is>
          <t>共享ROB中由FP/SIMD动态指令占用的entry字段。</t>
        </is>
      </c>
      <c r="E261" s="6" t="inlineStr">
        <is>
          <t>单比特翻转</t>
        </is>
      </c>
      <c r="F261" s="6" t="inlineStr">
        <is>
          <t>只在FP/SIMD entry中翻转PC/tag/seq字段1 bit。每次运行只选一个当前有效字段，在字段内均匀抽1 bit做XOR；保存动态指令ID、原值、故障值和bit编号。仅当故障字段被下游读取/选择/用于状态转移时计activated。触发：ROB中存在有效FP/SIMD entry。</t>
        </is>
      </c>
      <c r="G261" s="6" t="inlineStr">
        <is>
          <t>F1</t>
        </is>
      </c>
      <c r="H261" s="6" t="inlineStr">
        <is>
          <t>平均每1,000,000个 eligible events 注入1次，间隔加入±50%抖动</t>
        </is>
      </c>
      <c r="I261" s="6" t="inlineStr">
        <is>
          <t>W13 FP-ExceptionRecovery</t>
        </is>
      </c>
      <c r="J261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261" s="6" t="inlineStr">
        <is>
          <t>ROB中存在有效FP/SIMD entry</t>
        </is>
      </c>
      <c r="L261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61" s="6" t="inlineStr">
        <is>
          <t>TC'23整数ROB先验是SDC接近0；FP长延迟和异常状态可能改变传播比例，需实测</t>
        </is>
      </c>
      <c r="N261" s="6" t="inlineStr">
        <is>
          <t>把共享物理结构按激活指令类型分层</t>
        </is>
      </c>
      <c r="O261" s="6" t="inlineStr">
        <is>
          <t>TC23结构直接但FP激活域未覆盖</t>
        </is>
      </c>
      <c r="P261" s="9" t="n"/>
      <c r="Q261" s="9" t="n"/>
      <c r="R261" s="9" t="n"/>
      <c r="S261" s="9" t="n"/>
      <c r="T261" s="9" t="n"/>
      <c r="U261" s="9" t="n"/>
      <c r="V261" s="9" t="n"/>
      <c r="W261" s="9" t="n"/>
      <c r="X261" s="12">
        <f>IF(OR(R261="",R261-AP261&lt;=0),"",AB261/(R261-AP261))</f>
        <v/>
      </c>
      <c r="Y261" s="12">
        <f>IFERROR(R261/AR261,0)</f>
        <v/>
      </c>
      <c r="Z261" s="9" t="inlineStr">
        <is>
          <t>待执行</t>
        </is>
      </c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12">
        <f>IF(OR(R261="",R261-AP261&lt;=0),"",AO261/(R261-AP261))</f>
        <v/>
      </c>
      <c r="AM261" s="11">
        <f>IF(R261="","",SUM(AC261:AF261)-(R261-AP261))</f>
        <v/>
      </c>
      <c r="AN261" s="11">
        <f>IF(R261="","",SUM(S261:W261)+AP261-R261)</f>
        <v/>
      </c>
      <c r="AO261" s="9" t="n"/>
      <c r="AP261" s="9" t="n"/>
      <c r="AQ261" s="27" t="inlineStr">
        <is>
          <t>FB01-a PC字段单bit；FB01-b tag字段单bit；FB01-c seq字段单bit；仅统计FP/SIMD动态entry</t>
        </is>
      </c>
      <c r="AR261" s="39" t="n"/>
      <c r="AS261" s="39">
        <f>IFERROR(AR261/Q261,0)</f>
        <v/>
      </c>
      <c r="AT261" s="39" t="n">
        <v>30</v>
      </c>
      <c r="AU261" s="39" t="n">
        <v>385</v>
      </c>
      <c r="AV261" s="39" t="inlineStr">
        <is>
          <t>常规</t>
        </is>
      </c>
      <c r="AW261" s="39" t="inlineStr">
        <is>
          <t>累计至少385，不机械扩展到2401</t>
        </is>
      </c>
    </row>
    <row r="262" ht="118.0500030517578" customHeight="1">
      <c r="A262" s="6" t="inlineStr">
        <is>
          <t>FB01-F2-W10</t>
        </is>
      </c>
      <c r="B262" s="6" t="inlineStr">
        <is>
          <t>FB01</t>
        </is>
      </c>
      <c r="C262" s="6" t="inlineStr">
        <is>
          <t>FP/SIMD Dispatch/ROB</t>
        </is>
      </c>
      <c r="D262" s="6" t="inlineStr">
        <is>
          <t>共享ROB中由FP/SIMD动态指令占用的entry字段。</t>
        </is>
      </c>
      <c r="E262" s="6" t="inlineStr">
        <is>
          <t>单比特翻转</t>
        </is>
      </c>
      <c r="F262" s="6" t="inlineStr">
        <is>
          <t>只在FP/SIMD entry中翻转PC/tag/seq字段1 bit。每次运行只选一个当前有效字段，在字段内均匀抽1 bit做XOR；保存动态指令ID、原值、故障值和bit编号。仅当故障字段被下游读取/选择/用于状态转移时计activated。触发：ROB中存在有效FP/SIMD entry。</t>
        </is>
      </c>
      <c r="G262" s="6" t="inlineStr">
        <is>
          <t>F2</t>
        </is>
      </c>
      <c r="H262" s="6" t="inlineStr">
        <is>
          <t>平均每100,000个 eligible events 注入1次，间隔加入±50%抖动</t>
        </is>
      </c>
      <c r="I262" s="6" t="inlineStr">
        <is>
          <t>W10 PolyBench</t>
        </is>
      </c>
      <c r="J262" s="6" t="inlineStr">
        <is>
          <t>PolyBench（公开通用）
执行定义与oracle：gemm、2mm、lu、cholesky、jacobi-2d；固定规模；输出数组逐元素/容差双校验</t>
        </is>
      </c>
      <c r="K262" s="6" t="inlineStr">
        <is>
          <t>ROB中存在有效FP/SIMD entry</t>
        </is>
      </c>
      <c r="L262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62" s="6" t="inlineStr">
        <is>
          <t>TC'23整数ROB先验是SDC接近0；FP长延迟和异常状态可能改变传播比例，需实测</t>
        </is>
      </c>
      <c r="N262" s="6" t="inlineStr">
        <is>
          <t>把共享物理结构按激活指令类型分层</t>
        </is>
      </c>
      <c r="O262" s="6" t="inlineStr">
        <is>
          <t>TC23结构直接但FP激活域未覆盖</t>
        </is>
      </c>
      <c r="P262" s="9" t="n"/>
      <c r="Q262" s="9" t="n"/>
      <c r="R262" s="9" t="n"/>
      <c r="S262" s="9" t="n"/>
      <c r="T262" s="9" t="n"/>
      <c r="U262" s="9" t="n"/>
      <c r="V262" s="9" t="n"/>
      <c r="W262" s="9" t="n"/>
      <c r="X262" s="12">
        <f>IF(OR(R262="",R262-AP262&lt;=0),"",AB262/(R262-AP262))</f>
        <v/>
      </c>
      <c r="Y262" s="12">
        <f>IFERROR(R262/AR262,0)</f>
        <v/>
      </c>
      <c r="Z262" s="9" t="inlineStr">
        <is>
          <t>待执行</t>
        </is>
      </c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12">
        <f>IF(OR(R262="",R262-AP262&lt;=0),"",AO262/(R262-AP262))</f>
        <v/>
      </c>
      <c r="AM262" s="11">
        <f>IF(R262="","",SUM(AC262:AF262)-(R262-AP262))</f>
        <v/>
      </c>
      <c r="AN262" s="11">
        <f>IF(R262="","",SUM(S262:W262)+AP262-R262)</f>
        <v/>
      </c>
      <c r="AO262" s="9" t="n"/>
      <c r="AP262" s="9" t="n"/>
      <c r="AQ262" s="27" t="inlineStr">
        <is>
          <t>FB01-a PC字段单bit；FB01-b tag字段单bit；FB01-c seq字段单bit；仅统计FP/SIMD动态entry</t>
        </is>
      </c>
      <c r="AR262" s="39" t="n"/>
      <c r="AS262" s="39">
        <f>IFERROR(AR262/Q262,0)</f>
        <v/>
      </c>
      <c r="AT262" s="39" t="n">
        <v>30</v>
      </c>
      <c r="AU262" s="39" t="n">
        <v>385</v>
      </c>
      <c r="AV262" s="39" t="inlineStr">
        <is>
          <t>常规</t>
        </is>
      </c>
      <c r="AW262" s="39" t="inlineStr">
        <is>
          <t>累计至少385，不机械扩展到2401</t>
        </is>
      </c>
    </row>
    <row r="263" ht="118.0500030517578" customHeight="1">
      <c r="A263" s="6" t="inlineStr">
        <is>
          <t>FB01-F2-W13</t>
        </is>
      </c>
      <c r="B263" s="6" t="inlineStr">
        <is>
          <t>FB01</t>
        </is>
      </c>
      <c r="C263" s="6" t="inlineStr">
        <is>
          <t>FP/SIMD Dispatch/ROB</t>
        </is>
      </c>
      <c r="D263" s="6" t="inlineStr">
        <is>
          <t>共享ROB中由FP/SIMD动态指令占用的entry字段。</t>
        </is>
      </c>
      <c r="E263" s="6" t="inlineStr">
        <is>
          <t>单比特翻转</t>
        </is>
      </c>
      <c r="F263" s="6" t="inlineStr">
        <is>
          <t>只在FP/SIMD entry中翻转PC/tag/seq字段1 bit。每次运行只选一个当前有效字段，在字段内均匀抽1 bit做XOR；保存动态指令ID、原值、故障值和bit编号。仅当故障字段被下游读取/选择/用于状态转移时计activated。触发：ROB中存在有效FP/SIMD entry。</t>
        </is>
      </c>
      <c r="G263" s="6" t="inlineStr">
        <is>
          <t>F2</t>
        </is>
      </c>
      <c r="H263" s="6" t="inlineStr">
        <is>
          <t>平均每100,000个 eligible events 注入1次，间隔加入±50%抖动</t>
        </is>
      </c>
      <c r="I263" s="6" t="inlineStr">
        <is>
          <t>W13 FP-ExceptionRecovery</t>
        </is>
      </c>
      <c r="J263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263" s="6" t="inlineStr">
        <is>
          <t>ROB中存在有效FP/SIMD entry</t>
        </is>
      </c>
      <c r="L263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63" s="6" t="inlineStr">
        <is>
          <t>TC'23整数ROB先验是SDC接近0；FP长延迟和异常状态可能改变传播比例，需实测</t>
        </is>
      </c>
      <c r="N263" s="6" t="inlineStr">
        <is>
          <t>把共享物理结构按激活指令类型分层</t>
        </is>
      </c>
      <c r="O263" s="6" t="inlineStr">
        <is>
          <t>TC23结构直接但FP激活域未覆盖</t>
        </is>
      </c>
      <c r="P263" s="9" t="n"/>
      <c r="Q263" s="9" t="n"/>
      <c r="R263" s="9" t="n"/>
      <c r="S263" s="9" t="n"/>
      <c r="T263" s="9" t="n"/>
      <c r="U263" s="9" t="n"/>
      <c r="V263" s="9" t="n"/>
      <c r="W263" s="9" t="n"/>
      <c r="X263" s="12">
        <f>IF(OR(R263="",R263-AP263&lt;=0),"",AB263/(R263-AP263))</f>
        <v/>
      </c>
      <c r="Y263" s="12">
        <f>IFERROR(R263/AR263,0)</f>
        <v/>
      </c>
      <c r="Z263" s="9" t="inlineStr">
        <is>
          <t>待执行</t>
        </is>
      </c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12">
        <f>IF(OR(R263="",R263-AP263&lt;=0),"",AO263/(R263-AP263))</f>
        <v/>
      </c>
      <c r="AM263" s="11">
        <f>IF(R263="","",SUM(AC263:AF263)-(R263-AP263))</f>
        <v/>
      </c>
      <c r="AN263" s="11">
        <f>IF(R263="","",SUM(S263:W263)+AP263-R263)</f>
        <v/>
      </c>
      <c r="AO263" s="9" t="n"/>
      <c r="AP263" s="9" t="n"/>
      <c r="AQ263" s="27" t="inlineStr">
        <is>
          <t>FB01-a PC字段单bit；FB01-b tag字段单bit；FB01-c seq字段单bit；仅统计FP/SIMD动态entry</t>
        </is>
      </c>
      <c r="AR263" s="39" t="n"/>
      <c r="AS263" s="39">
        <f>IFERROR(AR263/Q263,0)</f>
        <v/>
      </c>
      <c r="AT263" s="39" t="n">
        <v>30</v>
      </c>
      <c r="AU263" s="39" t="n">
        <v>385</v>
      </c>
      <c r="AV263" s="39" t="inlineStr">
        <is>
          <t>常规</t>
        </is>
      </c>
      <c r="AW263" s="39" t="inlineStr">
        <is>
          <t>累计至少385，不机械扩展到2401</t>
        </is>
      </c>
    </row>
    <row r="264" ht="118.0500030517578" customHeight="1">
      <c r="A264" s="6" t="inlineStr">
        <is>
          <t>FB02-F0-W10</t>
        </is>
      </c>
      <c r="B264" s="6" t="inlineStr">
        <is>
          <t>FB02</t>
        </is>
      </c>
      <c r="C264" s="6" t="inlineStr">
        <is>
          <t>FP/SIMD Dispatch/ROB</t>
        </is>
      </c>
      <c r="D264" s="6" t="inlineStr">
        <is>
          <t>同一FP/SIMD ROB entry字段。</t>
        </is>
      </c>
      <c r="E264" s="6" t="inlineStr">
        <is>
          <t>双比特翻转</t>
        </is>
      </c>
      <c r="F264" s="6" t="inlineStr">
        <is>
          <t>同一字段双bit翻转。同一字段同时翻转2个不同bit，50%相邻、50%非相邻；两bit在同一事件生效，不与其他字段叠加。保存bit距离和原/故障值。仅当字段被消费时计activated。触发：ROB中存在有效FP/SIMD entry。</t>
        </is>
      </c>
      <c r="G264" s="6" t="inlineStr">
        <is>
          <t>F0</t>
        </is>
      </c>
      <c r="H264" s="6" t="inlineStr">
        <is>
          <t>每次运行只注入1次；warm-up后在 eligible event 中均匀抽样</t>
        </is>
      </c>
      <c r="I264" s="6" t="inlineStr">
        <is>
          <t>W10 PolyBench</t>
        </is>
      </c>
      <c r="J264" s="6" t="inlineStr">
        <is>
          <t>PolyBench（公开通用）
执行定义与oracle：gemm、2mm、lu、cholesky、jacobi-2d；固定规模；输出数组逐元素/容差双校验</t>
        </is>
      </c>
      <c r="K264" s="6" t="inlineStr">
        <is>
          <t>ROB中存在有效FP/SIMD entry</t>
        </is>
      </c>
      <c r="L264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64" s="6" t="inlineStr">
        <is>
          <t>依赖失败/Crash增加；合法tag替代仍可能静默</t>
        </is>
      </c>
      <c r="N264" s="6" t="inlineStr">
        <is>
          <t>检验ROB结论对MBU和FP域的稳健性</t>
        </is>
      </c>
      <c r="O264" s="6" t="inlineStr">
        <is>
          <t>TC23+CHAOS26类比</t>
        </is>
      </c>
      <c r="P264" s="9" t="n"/>
      <c r="Q264" s="9" t="n">
        <v>385</v>
      </c>
      <c r="R264" s="9" t="n">
        <v>385</v>
      </c>
      <c r="S264" s="9" t="n">
        <v>283</v>
      </c>
      <c r="T264" s="9" t="n">
        <v>0</v>
      </c>
      <c r="U264" s="9" t="n">
        <v>0</v>
      </c>
      <c r="V264" s="9" t="n">
        <v>0</v>
      </c>
      <c r="W264" s="9" t="n">
        <v>102</v>
      </c>
      <c r="X264" s="41" t="n">
        <v>0.2649350649350649</v>
      </c>
      <c r="Y264" s="12">
        <f>IFERROR(R264/AR264,0)</f>
        <v/>
      </c>
      <c r="Z264" s="9" t="inlineStr">
        <is>
          <t>部分证据/待核对</t>
        </is>
      </c>
      <c r="AA264" s="9" t="inlineStr">
        <is>
          <t>[2026-10-12 过渡回填|0201(huawei0201,172.168.178.81)|HEAD bf3d284|binary 1a618953|触发=F0等价(cycle1000 warm-up,max_faults1,首个eligible)] 已覆盖子模型:FB02-a(同字段相邻双bit,destid_bitflip2_adj_vec,rob/gemm):attempted 385/activated 385/Masked 283/Hang 102/Crash 0/SDC 102（RAS-silent Timeout 102）。负载注意:W10 定义=PolyBench 五内核(gemm/2mm/lu/cholesky/jacobi-2d),本证据仅跑 gemm(1/5)→部分证据。未运行子模型:FB02-b。证据:runs/formal_FB02_gemm/c0000/results.jsonl;artifacts/formal_FB02_gemm/summary.md；[2026-10-12 SDC口径修正] SDC=102（Data Corruption 0+RAS-silent Crash 0+RAS-silent Timeout 102），原始结局计数不变</t>
        </is>
      </c>
      <c r="AB264" s="9" t="n">
        <v>102</v>
      </c>
      <c r="AC264" s="9" t="n">
        <v>0</v>
      </c>
      <c r="AD264" s="9" t="n">
        <v>102</v>
      </c>
      <c r="AE264" s="9" t="n">
        <v>0</v>
      </c>
      <c r="AF264" s="9" t="n">
        <v>283</v>
      </c>
      <c r="AG264" s="9" t="n"/>
      <c r="AH264" s="9" t="n"/>
      <c r="AI264" s="9" t="n">
        <v>0</v>
      </c>
      <c r="AJ264" s="9" t="n">
        <v>102</v>
      </c>
      <c r="AK264" s="9" t="inlineStr">
        <is>
          <t>SE口径首检：Masked及仅由离线oracle发现的Data Corruption→None；架构Crash/已归因Timeout→OS；Hardware RAS任意时点=0（B0无ECC/parity）。OS/Application检出不排除SDC。</t>
        </is>
      </c>
      <c r="AL264" s="41" t="n">
        <v>0</v>
      </c>
      <c r="AM264" s="11" t="n">
        <v>0</v>
      </c>
      <c r="AN264" s="11">
        <f>IF(R264="","",SUM(S264:W264)+AP264-R264)</f>
        <v/>
      </c>
      <c r="AO264" s="9" t="n">
        <v>0</v>
      </c>
      <c r="AP264" s="9" t="n">
        <v>0</v>
      </c>
      <c r="AQ264" s="27" t="inlineStr">
        <is>
          <t>FB02-a 同字段相邻双bit；FB02-b 同字段非相邻双bit；仅统计FP/SIMD动态entry</t>
        </is>
      </c>
      <c r="AR264" s="39" t="n"/>
      <c r="AS264" s="39">
        <f>IFERROR(AR264/Q264,0)</f>
        <v/>
      </c>
      <c r="AT264" s="39" t="n">
        <v>30</v>
      </c>
      <c r="AU264" s="39" t="n">
        <v>385</v>
      </c>
      <c r="AV264" s="39" t="inlineStr">
        <is>
          <t>常规</t>
        </is>
      </c>
      <c r="AW264" s="39" t="inlineStr">
        <is>
          <t>累计至少385，不机械扩展到2401</t>
        </is>
      </c>
    </row>
    <row r="265" ht="118.0500030517578" customHeight="1">
      <c r="A265" s="6" t="inlineStr">
        <is>
          <t>FB02-F0-W13</t>
        </is>
      </c>
      <c r="B265" s="6" t="inlineStr">
        <is>
          <t>FB02</t>
        </is>
      </c>
      <c r="C265" s="6" t="inlineStr">
        <is>
          <t>FP/SIMD Dispatch/ROB</t>
        </is>
      </c>
      <c r="D265" s="6" t="inlineStr">
        <is>
          <t>同一FP/SIMD ROB entry字段。</t>
        </is>
      </c>
      <c r="E265" s="6" t="inlineStr">
        <is>
          <t>双比特翻转</t>
        </is>
      </c>
      <c r="F265" s="6" t="inlineStr">
        <is>
          <t>同一字段双bit翻转。同一字段同时翻转2个不同bit，50%相邻、50%非相邻；两bit在同一事件生效，不与其他字段叠加。保存bit距离和原/故障值。仅当字段被消费时计activated。触发：ROB中存在有效FP/SIMD entry。</t>
        </is>
      </c>
      <c r="G265" s="6" t="inlineStr">
        <is>
          <t>F0</t>
        </is>
      </c>
      <c r="H265" s="6" t="inlineStr">
        <is>
          <t>每次运行只注入1次；warm-up后在 eligible event 中均匀抽样</t>
        </is>
      </c>
      <c r="I265" s="6" t="inlineStr">
        <is>
          <t>W13 FP-ExceptionRecovery</t>
        </is>
      </c>
      <c r="J265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265" s="6" t="inlineStr">
        <is>
          <t>ROB中存在有效FP/SIMD entry</t>
        </is>
      </c>
      <c r="L265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65" s="6" t="inlineStr">
        <is>
          <t>依赖失败/Crash增加；合法tag替代仍可能静默</t>
        </is>
      </c>
      <c r="N265" s="6" t="inlineStr">
        <is>
          <t>检验ROB结论对MBU和FP域的稳健性</t>
        </is>
      </c>
      <c r="O265" s="6" t="inlineStr">
        <is>
          <t>TC23+CHAOS26类比</t>
        </is>
      </c>
      <c r="P265" s="9" t="n"/>
      <c r="Q265" s="9" t="n"/>
      <c r="R265" s="9" t="n"/>
      <c r="S265" s="9" t="n"/>
      <c r="T265" s="9" t="n"/>
      <c r="U265" s="9" t="n"/>
      <c r="V265" s="9" t="n"/>
      <c r="W265" s="9" t="n"/>
      <c r="X265" s="12">
        <f>IF(OR(R265="",R265-AP265&lt;=0),"",AB265/(R265-AP265))</f>
        <v/>
      </c>
      <c r="Y265" s="12">
        <f>IFERROR(R265/AR265,0)</f>
        <v/>
      </c>
      <c r="Z265" s="9" t="inlineStr">
        <is>
          <t>待执行</t>
        </is>
      </c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12">
        <f>IF(OR(R265="",R265-AP265&lt;=0),"",AO265/(R265-AP265))</f>
        <v/>
      </c>
      <c r="AM265" s="11">
        <f>IF(R265="","",SUM(AC265:AF265)-(R265-AP265))</f>
        <v/>
      </c>
      <c r="AN265" s="11">
        <f>IF(R265="","",SUM(S265:W265)+AP265-R265)</f>
        <v/>
      </c>
      <c r="AO265" s="9" t="n"/>
      <c r="AP265" s="9" t="n"/>
      <c r="AQ265" s="27" t="inlineStr">
        <is>
          <t>FB02-a 同字段相邻双bit；FB02-b 同字段非相邻双bit；仅统计FP/SIMD动态entry</t>
        </is>
      </c>
      <c r="AR265" s="39" t="n"/>
      <c r="AS265" s="39">
        <f>IFERROR(AR265/Q265,0)</f>
        <v/>
      </c>
      <c r="AT265" s="39" t="n">
        <v>30</v>
      </c>
      <c r="AU265" s="39" t="n">
        <v>385</v>
      </c>
      <c r="AV265" s="39" t="inlineStr">
        <is>
          <t>常规</t>
        </is>
      </c>
      <c r="AW265" s="39" t="inlineStr">
        <is>
          <t>累计至少385，不机械扩展到2401</t>
        </is>
      </c>
    </row>
    <row r="266" ht="118.0500030517578" customHeight="1">
      <c r="A266" s="6" t="inlineStr">
        <is>
          <t>FB02-F2-W10</t>
        </is>
      </c>
      <c r="B266" s="6" t="inlineStr">
        <is>
          <t>FB02</t>
        </is>
      </c>
      <c r="C266" s="6" t="inlineStr">
        <is>
          <t>FP/SIMD Dispatch/ROB</t>
        </is>
      </c>
      <c r="D266" s="6" t="inlineStr">
        <is>
          <t>同一FP/SIMD ROB entry字段。</t>
        </is>
      </c>
      <c r="E266" s="6" t="inlineStr">
        <is>
          <t>双比特翻转</t>
        </is>
      </c>
      <c r="F266" s="6" t="inlineStr">
        <is>
          <t>同一字段双bit翻转。同一字段同时翻转2个不同bit，50%相邻、50%非相邻；两bit在同一事件生效，不与其他字段叠加。保存bit距离和原/故障值。仅当字段被消费时计activated。触发：ROB中存在有效FP/SIMD entry。</t>
        </is>
      </c>
      <c r="G266" s="6" t="inlineStr">
        <is>
          <t>F2</t>
        </is>
      </c>
      <c r="H266" s="6" t="inlineStr">
        <is>
          <t>平均每100,000个 eligible events 注入1次，间隔加入±50%抖动</t>
        </is>
      </c>
      <c r="I266" s="6" t="inlineStr">
        <is>
          <t>W10 PolyBench</t>
        </is>
      </c>
      <c r="J266" s="6" t="inlineStr">
        <is>
          <t>PolyBench（公开通用）
执行定义与oracle：gemm、2mm、lu、cholesky、jacobi-2d；固定规模；输出数组逐元素/容差双校验</t>
        </is>
      </c>
      <c r="K266" s="6" t="inlineStr">
        <is>
          <t>ROB中存在有效FP/SIMD entry</t>
        </is>
      </c>
      <c r="L266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66" s="6" t="inlineStr">
        <is>
          <t>依赖失败/Crash增加；合法tag替代仍可能静默</t>
        </is>
      </c>
      <c r="N266" s="6" t="inlineStr">
        <is>
          <t>检验ROB结论对MBU和FP域的稳健性</t>
        </is>
      </c>
      <c r="O266" s="6" t="inlineStr">
        <is>
          <t>TC23+CHAOS26类比</t>
        </is>
      </c>
      <c r="P266" s="9" t="n"/>
      <c r="Q266" s="9" t="n"/>
      <c r="R266" s="9" t="n"/>
      <c r="S266" s="9" t="n"/>
      <c r="T266" s="9" t="n"/>
      <c r="U266" s="9" t="n"/>
      <c r="V266" s="9" t="n"/>
      <c r="W266" s="9" t="n"/>
      <c r="X266" s="12">
        <f>IF(OR(R266="",R266-AP266&lt;=0),"",AB266/(R266-AP266))</f>
        <v/>
      </c>
      <c r="Y266" s="12">
        <f>IFERROR(R266/AR266,0)</f>
        <v/>
      </c>
      <c r="Z266" s="9" t="inlineStr">
        <is>
          <t>待执行</t>
        </is>
      </c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12">
        <f>IF(OR(R266="",R266-AP266&lt;=0),"",AO266/(R266-AP266))</f>
        <v/>
      </c>
      <c r="AM266" s="11">
        <f>IF(R266="","",SUM(AC266:AF266)-(R266-AP266))</f>
        <v/>
      </c>
      <c r="AN266" s="11">
        <f>IF(R266="","",SUM(S266:W266)+AP266-R266)</f>
        <v/>
      </c>
      <c r="AO266" s="9" t="n"/>
      <c r="AP266" s="9" t="n"/>
      <c r="AQ266" s="27" t="inlineStr">
        <is>
          <t>FB02-a 同字段相邻双bit；FB02-b 同字段非相邻双bit；仅统计FP/SIMD动态entry</t>
        </is>
      </c>
      <c r="AR266" s="39" t="n"/>
      <c r="AS266" s="39">
        <f>IFERROR(AR266/Q266,0)</f>
        <v/>
      </c>
      <c r="AT266" s="39" t="n">
        <v>30</v>
      </c>
      <c r="AU266" s="39" t="n">
        <v>385</v>
      </c>
      <c r="AV266" s="39" t="inlineStr">
        <is>
          <t>常规</t>
        </is>
      </c>
      <c r="AW266" s="39" t="inlineStr">
        <is>
          <t>累计至少385，不机械扩展到2401</t>
        </is>
      </c>
    </row>
    <row r="267" ht="118.0500030517578" customHeight="1">
      <c r="A267" s="6" t="inlineStr">
        <is>
          <t>FB02-F2-W13</t>
        </is>
      </c>
      <c r="B267" s="6" t="inlineStr">
        <is>
          <t>FB02</t>
        </is>
      </c>
      <c r="C267" s="6" t="inlineStr">
        <is>
          <t>FP/SIMD Dispatch/ROB</t>
        </is>
      </c>
      <c r="D267" s="6" t="inlineStr">
        <is>
          <t>同一FP/SIMD ROB entry字段。</t>
        </is>
      </c>
      <c r="E267" s="6" t="inlineStr">
        <is>
          <t>双比特翻转</t>
        </is>
      </c>
      <c r="F267" s="6" t="inlineStr">
        <is>
          <t>同一字段双bit翻转。同一字段同时翻转2个不同bit，50%相邻、50%非相邻；两bit在同一事件生效，不与其他字段叠加。保存bit距离和原/故障值。仅当字段被消费时计activated。触发：ROB中存在有效FP/SIMD entry。</t>
        </is>
      </c>
      <c r="G267" s="6" t="inlineStr">
        <is>
          <t>F2</t>
        </is>
      </c>
      <c r="H267" s="6" t="inlineStr">
        <is>
          <t>平均每100,000个 eligible events 注入1次，间隔加入±50%抖动</t>
        </is>
      </c>
      <c r="I267" s="6" t="inlineStr">
        <is>
          <t>W13 FP-ExceptionRecovery</t>
        </is>
      </c>
      <c r="J267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267" s="6" t="inlineStr">
        <is>
          <t>ROB中存在有效FP/SIMD entry</t>
        </is>
      </c>
      <c r="L267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67" s="6" t="inlineStr">
        <is>
          <t>依赖失败/Crash增加；合法tag替代仍可能静默</t>
        </is>
      </c>
      <c r="N267" s="6" t="inlineStr">
        <is>
          <t>检验ROB结论对MBU和FP域的稳健性</t>
        </is>
      </c>
      <c r="O267" s="6" t="inlineStr">
        <is>
          <t>TC23+CHAOS26类比</t>
        </is>
      </c>
      <c r="P267" s="9" t="n"/>
      <c r="Q267" s="9" t="n"/>
      <c r="R267" s="9" t="n"/>
      <c r="S267" s="9" t="n"/>
      <c r="T267" s="9" t="n"/>
      <c r="U267" s="9" t="n"/>
      <c r="V267" s="9" t="n"/>
      <c r="W267" s="9" t="n"/>
      <c r="X267" s="12">
        <f>IF(OR(R267="",R267-AP267&lt;=0),"",AB267/(R267-AP267))</f>
        <v/>
      </c>
      <c r="Y267" s="12">
        <f>IFERROR(R267/AR267,0)</f>
        <v/>
      </c>
      <c r="Z267" s="9" t="inlineStr">
        <is>
          <t>待执行</t>
        </is>
      </c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12">
        <f>IF(OR(R267="",R267-AP267&lt;=0),"",AO267/(R267-AP267))</f>
        <v/>
      </c>
      <c r="AM267" s="11">
        <f>IF(R267="","",SUM(AC267:AF267)-(R267-AP267))</f>
        <v/>
      </c>
      <c r="AN267" s="11">
        <f>IF(R267="","",SUM(S267:W267)+AP267-R267)</f>
        <v/>
      </c>
      <c r="AO267" s="9" t="n"/>
      <c r="AP267" s="9" t="n"/>
      <c r="AQ267" s="27" t="inlineStr">
        <is>
          <t>FB02-a 同字段相邻双bit；FB02-b 同字段非相邻双bit；仅统计FP/SIMD动态entry</t>
        </is>
      </c>
      <c r="AR267" s="39" t="n"/>
      <c r="AS267" s="39">
        <f>IFERROR(AR267/Q267,0)</f>
        <v/>
      </c>
      <c r="AT267" s="39" t="n">
        <v>30</v>
      </c>
      <c r="AU267" s="39" t="n">
        <v>385</v>
      </c>
      <c r="AV267" s="39" t="inlineStr">
        <is>
          <t>常规</t>
        </is>
      </c>
      <c r="AW267" s="39" t="inlineStr">
        <is>
          <t>累计至少385，不机械扩展到2401</t>
        </is>
      </c>
    </row>
    <row r="268" ht="118.0500030517578" customHeight="1">
      <c r="A268" s="6" t="inlineStr">
        <is>
          <t>FB03-F0-W8</t>
        </is>
      </c>
      <c r="B268" s="6" t="inlineStr">
        <is>
          <t>FB03</t>
        </is>
      </c>
      <c r="C268" s="6" t="inlineStr">
        <is>
          <t>FP/SIMD Dispatch/ROB</t>
        </is>
      </c>
      <c r="D268" s="6" t="inlineStr">
        <is>
          <t>dispatch到FP/SIMD FU/opClass队列的steering和lane选择。</t>
        </is>
      </c>
      <c r="E268" s="6" t="inlineStr">
        <is>
          <t>换值</t>
        </is>
      </c>
      <c r="F268" s="6" t="inlineStr">
        <is>
          <t>把FU实例、兼容opClass端口或dispatch lane换为另一合法目的。从当前有效且生命周期合法的候选集合中选择另一个合法值；禁止空闲、越界或编码非法候选。保存source/target和候选集大小。仅当替换值被消费时计activated。触发：存在至少两个兼容FP/SIMD执行目的。</t>
        </is>
      </c>
      <c r="G268" s="6" t="inlineStr">
        <is>
          <t>F0</t>
        </is>
      </c>
      <c r="H268" s="6" t="inlineStr">
        <is>
          <t>每次运行只注入1次；warm-up后在 eligible event 中均匀抽样</t>
        </is>
      </c>
      <c r="I268" s="6" t="inlineStr">
        <is>
          <t>W8 FP-ScalarProbe</t>
        </is>
      </c>
      <c r="J268" s="6" t="inlineStr">
        <is>
          <t>FP-ScalarProbe（自设定向负载）
执行定义与oracle：FP32/FP64 add/mul/div/sqrt/FMA、NaN/Inf/±0/subnormal、四种舍入、FP exception；位级结果与 FPSR/FPCR oracle</t>
        </is>
      </c>
      <c r="K268" s="6" t="inlineStr">
        <is>
          <t>存在至少两个兼容FP/SIMD执行目的</t>
        </is>
      </c>
      <c r="L268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68" s="6" t="inlineStr">
        <is>
          <t>兼容FU替换主要改变时序；错误opClass接受时可产生错误结果或完成延迟</t>
        </is>
      </c>
      <c r="N268" s="6" t="inlineStr">
        <is>
          <t>适配FP/SIMD资源选择</t>
        </is>
      </c>
      <c r="O268" s="6" t="inlineStr">
        <is>
          <t>本方案结构化模型</t>
        </is>
      </c>
      <c r="P268" s="9" t="n"/>
      <c r="Q268" s="9" t="n"/>
      <c r="R268" s="9" t="n"/>
      <c r="S268" s="9" t="n"/>
      <c r="T268" s="9" t="n"/>
      <c r="U268" s="9" t="n"/>
      <c r="V268" s="9" t="n"/>
      <c r="W268" s="9" t="n"/>
      <c r="X268" s="12">
        <f>IF(OR(R268="",R268-AP268&lt;=0),"",AB268/(R268-AP268))</f>
        <v/>
      </c>
      <c r="Y268" s="12">
        <f>IFERROR(R268/AR268,0)</f>
        <v/>
      </c>
      <c r="Z268" s="9" t="inlineStr">
        <is>
          <t>待执行</t>
        </is>
      </c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12">
        <f>IF(OR(R268="",R268-AP268&lt;=0),"",AO268/(R268-AP268))</f>
        <v/>
      </c>
      <c r="AM268" s="11">
        <f>IF(R268="","",SUM(AC268:AF268)-(R268-AP268))</f>
        <v/>
      </c>
      <c r="AN268" s="11">
        <f>IF(R268="","",SUM(S268:W268)+AP268-R268)</f>
        <v/>
      </c>
      <c r="AO268" s="9" t="n"/>
      <c r="AP268" s="9" t="n"/>
      <c r="AQ268" s="27" t="inlineStr">
        <is>
          <t>FB03-a FU实例合法换值；FB03-b opClass端口合法换值；FB03-c dispatch lane合法换值</t>
        </is>
      </c>
      <c r="AR268" s="39" t="n"/>
      <c r="AS268" s="39">
        <f>IFERROR(AR268/Q268,0)</f>
        <v/>
      </c>
      <c r="AT268" s="39" t="n">
        <v>30</v>
      </c>
      <c r="AU268" s="39" t="n">
        <v>385</v>
      </c>
      <c r="AV268" s="39" t="inlineStr">
        <is>
          <t>常规</t>
        </is>
      </c>
      <c r="AW268" s="39" t="inlineStr">
        <is>
          <t>累计至少385，不机械扩展到2401</t>
        </is>
      </c>
    </row>
    <row r="269" ht="118.0500030517578" customHeight="1">
      <c r="A269" s="6" t="inlineStr">
        <is>
          <t>FB03-F0-W9</t>
        </is>
      </c>
      <c r="B269" s="6" t="inlineStr">
        <is>
          <t>FB03</t>
        </is>
      </c>
      <c r="C269" s="6" t="inlineStr">
        <is>
          <t>FP/SIMD Dispatch/ROB</t>
        </is>
      </c>
      <c r="D269" s="6" t="inlineStr">
        <is>
          <t>dispatch到FP/SIMD FU/opClass队列的steering和lane选择。</t>
        </is>
      </c>
      <c r="E269" s="6" t="inlineStr">
        <is>
          <t>换值</t>
        </is>
      </c>
      <c r="F269" s="6" t="inlineStr">
        <is>
          <t>把FU实例、兼容opClass端口或dispatch lane换为另一合法目的。从当前有效且生命周期合法的候选集合中选择另一个合法值；禁止空闲、越界或编码非法候选。保存source/target和候选集大小。仅当替换值被消费时计activated。触发：存在至少两个兼容FP/SIMD执行目的。</t>
        </is>
      </c>
      <c r="G269" s="6" t="inlineStr">
        <is>
          <t>F0</t>
        </is>
      </c>
      <c r="H269" s="6" t="inlineStr">
        <is>
          <t>每次运行只注入1次；warm-up后在 eligible event 中均匀抽样</t>
        </is>
      </c>
      <c r="I269" s="6" t="inlineStr">
        <is>
          <t>W9 NEON-LaneProbe</t>
        </is>
      </c>
      <c r="J269" s="6" t="inlineStr">
        <is>
          <t>NEON-LaneProbe（自设定向负载）
执行定义与oracle：8/16/32/64-bit lane、整数/浮点 AdvSIMD、lane extract/insert、widen/narrow、permute、reduce；逐 lane 比对</t>
        </is>
      </c>
      <c r="K269" s="6" t="inlineStr">
        <is>
          <t>存在至少两个兼容FP/SIMD执行目的</t>
        </is>
      </c>
      <c r="L269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69" s="6" t="inlineStr">
        <is>
          <t>兼容FU替换主要改变时序；错误opClass接受时可产生错误结果或完成延迟</t>
        </is>
      </c>
      <c r="N269" s="6" t="inlineStr">
        <is>
          <t>适配FP/SIMD资源选择</t>
        </is>
      </c>
      <c r="O269" s="6" t="inlineStr">
        <is>
          <t>本方案结构化模型</t>
        </is>
      </c>
      <c r="P269" s="9" t="n"/>
      <c r="Q269" s="9" t="n"/>
      <c r="R269" s="9" t="n"/>
      <c r="S269" s="9" t="n"/>
      <c r="T269" s="9" t="n"/>
      <c r="U269" s="9" t="n"/>
      <c r="V269" s="9" t="n"/>
      <c r="W269" s="9" t="n"/>
      <c r="X269" s="12">
        <f>IF(OR(R269="",R269-AP269&lt;=0),"",AB269/(R269-AP269))</f>
        <v/>
      </c>
      <c r="Y269" s="12">
        <f>IFERROR(R269/AR269,0)</f>
        <v/>
      </c>
      <c r="Z269" s="9" t="inlineStr">
        <is>
          <t>待执行</t>
        </is>
      </c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12">
        <f>IF(OR(R269="",R269-AP269&lt;=0),"",AO269/(R269-AP269))</f>
        <v/>
      </c>
      <c r="AM269" s="11">
        <f>IF(R269="","",SUM(AC269:AF269)-(R269-AP269))</f>
        <v/>
      </c>
      <c r="AN269" s="11">
        <f>IF(R269="","",SUM(S269:W269)+AP269-R269)</f>
        <v/>
      </c>
      <c r="AO269" s="9" t="n"/>
      <c r="AP269" s="9" t="n"/>
      <c r="AQ269" s="27" t="inlineStr">
        <is>
          <t>FB03-a FU实例合法换值；FB03-b opClass端口合法换值；FB03-c dispatch lane合法换值</t>
        </is>
      </c>
      <c r="AR269" s="39" t="n"/>
      <c r="AS269" s="39">
        <f>IFERROR(AR269/Q269,0)</f>
        <v/>
      </c>
      <c r="AT269" s="39" t="n">
        <v>30</v>
      </c>
      <c r="AU269" s="39" t="n">
        <v>385</v>
      </c>
      <c r="AV269" s="39" t="inlineStr">
        <is>
          <t>常规</t>
        </is>
      </c>
      <c r="AW269" s="39" t="inlineStr">
        <is>
          <t>累计至少385，不机械扩展到2401</t>
        </is>
      </c>
    </row>
    <row r="270" ht="118.0500030517578" customHeight="1">
      <c r="A270" s="6" t="inlineStr">
        <is>
          <t>FB03-F2-W8</t>
        </is>
      </c>
      <c r="B270" s="6" t="inlineStr">
        <is>
          <t>FB03</t>
        </is>
      </c>
      <c r="C270" s="6" t="inlineStr">
        <is>
          <t>FP/SIMD Dispatch/ROB</t>
        </is>
      </c>
      <c r="D270" s="6" t="inlineStr">
        <is>
          <t>dispatch到FP/SIMD FU/opClass队列的steering和lane选择。</t>
        </is>
      </c>
      <c r="E270" s="6" t="inlineStr">
        <is>
          <t>换值</t>
        </is>
      </c>
      <c r="F270" s="6" t="inlineStr">
        <is>
          <t>把FU实例、兼容opClass端口或dispatch lane换为另一合法目的。从当前有效且生命周期合法的候选集合中选择另一个合法值；禁止空闲、越界或编码非法候选。保存source/target和候选集大小。仅当替换值被消费时计activated。触发：存在至少两个兼容FP/SIMD执行目的。</t>
        </is>
      </c>
      <c r="G270" s="6" t="inlineStr">
        <is>
          <t>F2</t>
        </is>
      </c>
      <c r="H270" s="6" t="inlineStr">
        <is>
          <t>平均每100,000个 eligible events 注入1次，间隔加入±50%抖动</t>
        </is>
      </c>
      <c r="I270" s="6" t="inlineStr">
        <is>
          <t>W8 FP-ScalarProbe</t>
        </is>
      </c>
      <c r="J270" s="6" t="inlineStr">
        <is>
          <t>FP-ScalarProbe（自设定向负载）
执行定义与oracle：FP32/FP64 add/mul/div/sqrt/FMA、NaN/Inf/±0/subnormal、四种舍入、FP exception；位级结果与 FPSR/FPCR oracle</t>
        </is>
      </c>
      <c r="K270" s="6" t="inlineStr">
        <is>
          <t>存在至少两个兼容FP/SIMD执行目的</t>
        </is>
      </c>
      <c r="L270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70" s="6" t="inlineStr">
        <is>
          <t>兼容FU替换主要改变时序；错误opClass接受时可产生错误结果或完成延迟</t>
        </is>
      </c>
      <c r="N270" s="6" t="inlineStr">
        <is>
          <t>适配FP/SIMD资源选择</t>
        </is>
      </c>
      <c r="O270" s="6" t="inlineStr">
        <is>
          <t>本方案结构化模型</t>
        </is>
      </c>
      <c r="P270" s="9" t="n"/>
      <c r="Q270" s="9" t="n"/>
      <c r="R270" s="9" t="n"/>
      <c r="S270" s="9" t="n"/>
      <c r="T270" s="9" t="n"/>
      <c r="U270" s="9" t="n"/>
      <c r="V270" s="9" t="n"/>
      <c r="W270" s="9" t="n"/>
      <c r="X270" s="12">
        <f>IF(OR(R270="",R270-AP270&lt;=0),"",AB270/(R270-AP270))</f>
        <v/>
      </c>
      <c r="Y270" s="12">
        <f>IFERROR(R270/AR270,0)</f>
        <v/>
      </c>
      <c r="Z270" s="9" t="inlineStr">
        <is>
          <t>待执行</t>
        </is>
      </c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12">
        <f>IF(OR(R270="",R270-AP270&lt;=0),"",AO270/(R270-AP270))</f>
        <v/>
      </c>
      <c r="AM270" s="11">
        <f>IF(R270="","",SUM(AC270:AF270)-(R270-AP270))</f>
        <v/>
      </c>
      <c r="AN270" s="11">
        <f>IF(R270="","",SUM(S270:W270)+AP270-R270)</f>
        <v/>
      </c>
      <c r="AO270" s="9" t="n"/>
      <c r="AP270" s="9" t="n"/>
      <c r="AQ270" s="27" t="inlineStr">
        <is>
          <t>FB03-a FU实例合法换值；FB03-b opClass端口合法换值；FB03-c dispatch lane合法换值</t>
        </is>
      </c>
      <c r="AR270" s="39" t="n"/>
      <c r="AS270" s="39">
        <f>IFERROR(AR270/Q270,0)</f>
        <v/>
      </c>
      <c r="AT270" s="39" t="n">
        <v>30</v>
      </c>
      <c r="AU270" s="39" t="n">
        <v>385</v>
      </c>
      <c r="AV270" s="39" t="inlineStr">
        <is>
          <t>常规</t>
        </is>
      </c>
      <c r="AW270" s="39" t="inlineStr">
        <is>
          <t>累计至少385，不机械扩展到2401</t>
        </is>
      </c>
    </row>
    <row r="271" ht="118.0500030517578" customHeight="1">
      <c r="A271" s="6" t="inlineStr">
        <is>
          <t>FB03-F2-W9</t>
        </is>
      </c>
      <c r="B271" s="6" t="inlineStr">
        <is>
          <t>FB03</t>
        </is>
      </c>
      <c r="C271" s="6" t="inlineStr">
        <is>
          <t>FP/SIMD Dispatch/ROB</t>
        </is>
      </c>
      <c r="D271" s="6" t="inlineStr">
        <is>
          <t>dispatch到FP/SIMD FU/opClass队列的steering和lane选择。</t>
        </is>
      </c>
      <c r="E271" s="6" t="inlineStr">
        <is>
          <t>换值</t>
        </is>
      </c>
      <c r="F271" s="6" t="inlineStr">
        <is>
          <t>把FU实例、兼容opClass端口或dispatch lane换为另一合法目的。从当前有效且生命周期合法的候选集合中选择另一个合法值；禁止空闲、越界或编码非法候选。保存source/target和候选集大小。仅当替换值被消费时计activated。触发：存在至少两个兼容FP/SIMD执行目的。</t>
        </is>
      </c>
      <c r="G271" s="6" t="inlineStr">
        <is>
          <t>F2</t>
        </is>
      </c>
      <c r="H271" s="6" t="inlineStr">
        <is>
          <t>平均每100,000个 eligible events 注入1次，间隔加入±50%抖动</t>
        </is>
      </c>
      <c r="I271" s="6" t="inlineStr">
        <is>
          <t>W9 NEON-LaneProbe</t>
        </is>
      </c>
      <c r="J271" s="6" t="inlineStr">
        <is>
          <t>NEON-LaneProbe（自设定向负载）
执行定义与oracle：8/16/32/64-bit lane、整数/浮点 AdvSIMD、lane extract/insert、widen/narrow、permute、reduce；逐 lane 比对</t>
        </is>
      </c>
      <c r="K271" s="6" t="inlineStr">
        <is>
          <t>存在至少两个兼容FP/SIMD执行目的</t>
        </is>
      </c>
      <c r="L271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71" s="6" t="inlineStr">
        <is>
          <t>兼容FU替换主要改变时序；错误opClass接受时可产生错误结果或完成延迟</t>
        </is>
      </c>
      <c r="N271" s="6" t="inlineStr">
        <is>
          <t>适配FP/SIMD资源选择</t>
        </is>
      </c>
      <c r="O271" s="6" t="inlineStr">
        <is>
          <t>本方案结构化模型</t>
        </is>
      </c>
      <c r="P271" s="9" t="n"/>
      <c r="Q271" s="9" t="n"/>
      <c r="R271" s="9" t="n"/>
      <c r="S271" s="9" t="n"/>
      <c r="T271" s="9" t="n"/>
      <c r="U271" s="9" t="n"/>
      <c r="V271" s="9" t="n"/>
      <c r="W271" s="9" t="n"/>
      <c r="X271" s="12">
        <f>IF(OR(R271="",R271-AP271&lt;=0),"",AB271/(R271-AP271))</f>
        <v/>
      </c>
      <c r="Y271" s="12">
        <f>IFERROR(R271/AR271,0)</f>
        <v/>
      </c>
      <c r="Z271" s="9" t="inlineStr">
        <is>
          <t>待执行</t>
        </is>
      </c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12">
        <f>IF(OR(R271="",R271-AP271&lt;=0),"",AO271/(R271-AP271))</f>
        <v/>
      </c>
      <c r="AM271" s="11">
        <f>IF(R271="","",SUM(AC271:AF271)-(R271-AP271))</f>
        <v/>
      </c>
      <c r="AN271" s="11">
        <f>IF(R271="","",SUM(S271:W271)+AP271-R271)</f>
        <v/>
      </c>
      <c r="AO271" s="9" t="n"/>
      <c r="AP271" s="9" t="n"/>
      <c r="AQ271" s="27" t="inlineStr">
        <is>
          <t>FB03-a FU实例合法换值；FB03-b opClass端口合法换值；FB03-c dispatch lane合法换值</t>
        </is>
      </c>
      <c r="AR271" s="39" t="n"/>
      <c r="AS271" s="39">
        <f>IFERROR(AR271/Q271,0)</f>
        <v/>
      </c>
      <c r="AT271" s="39" t="n">
        <v>30</v>
      </c>
      <c r="AU271" s="39" t="n">
        <v>385</v>
      </c>
      <c r="AV271" s="39" t="inlineStr">
        <is>
          <t>常规</t>
        </is>
      </c>
      <c r="AW271" s="39" t="inlineStr">
        <is>
          <t>累计至少385，不机械扩展到2401</t>
        </is>
      </c>
    </row>
    <row r="272" ht="118.0500030517578" customHeight="1">
      <c r="A272" s="6" t="inlineStr">
        <is>
          <t>FB03-F6-W8</t>
        </is>
      </c>
      <c r="B272" s="6" t="inlineStr">
        <is>
          <t>FB03</t>
        </is>
      </c>
      <c r="C272" s="6" t="inlineStr">
        <is>
          <t>FP/SIMD Dispatch/ROB</t>
        </is>
      </c>
      <c r="D272" s="6" t="inlineStr">
        <is>
          <t>dispatch到FP/SIMD FU/opClass队列的steering和lane选择。</t>
        </is>
      </c>
      <c r="E272" s="6" t="inlineStr">
        <is>
          <t>换值</t>
        </is>
      </c>
      <c r="F272" s="6" t="inlineStr">
        <is>
          <t>把FU实例、兼容opClass端口或dispatch lane换为另一合法目的。从当前有效且生命周期合法的候选集合中选择另一个合法值；禁止空闲、越界或编码非法候选。保存source/target和候选集大小。仅当替换值被消费时计activated。触发：存在至少两个兼容FP/SIMD执行目的。</t>
        </is>
      </c>
      <c r="G272" s="6" t="inlineStr">
        <is>
          <t>F6</t>
        </is>
      </c>
      <c r="H272" s="6" t="inlineStr">
        <is>
          <t>首次出现指定稀有事件时注入1次，保证结构化模型被激活</t>
        </is>
      </c>
      <c r="I272" s="6" t="inlineStr">
        <is>
          <t>W8 FP-ScalarProbe</t>
        </is>
      </c>
      <c r="J272" s="6" t="inlineStr">
        <is>
          <t>FP-ScalarProbe（自设定向负载）
执行定义与oracle：FP32/FP64 add/mul/div/sqrt/FMA、NaN/Inf/±0/subnormal、四种舍入、FP exception；位级结果与 FPSR/FPCR oracle</t>
        </is>
      </c>
      <c r="K272" s="6" t="inlineStr">
        <is>
          <t>存在至少两个兼容FP/SIMD执行目的</t>
        </is>
      </c>
      <c r="L272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72" s="6" t="inlineStr">
        <is>
          <t>兼容FU替换主要改变时序；错误opClass接受时可产生错误结果或完成延迟</t>
        </is>
      </c>
      <c r="N272" s="6" t="inlineStr">
        <is>
          <t>适配FP/SIMD资源选择</t>
        </is>
      </c>
      <c r="O272" s="6" t="inlineStr">
        <is>
          <t>本方案结构化模型</t>
        </is>
      </c>
      <c r="P272" s="9" t="n"/>
      <c r="Q272" s="9" t="n"/>
      <c r="R272" s="9" t="n"/>
      <c r="S272" s="9" t="n"/>
      <c r="T272" s="9" t="n"/>
      <c r="U272" s="9" t="n"/>
      <c r="V272" s="9" t="n"/>
      <c r="W272" s="9" t="n"/>
      <c r="X272" s="12">
        <f>IF(OR(R272="",R272-AP272&lt;=0),"",AB272/(R272-AP272))</f>
        <v/>
      </c>
      <c r="Y272" s="12">
        <f>IFERROR(R272/AR272,0)</f>
        <v/>
      </c>
      <c r="Z272" s="9" t="inlineStr">
        <is>
          <t>待执行</t>
        </is>
      </c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12">
        <f>IF(OR(R272="",R272-AP272&lt;=0),"",AO272/(R272-AP272))</f>
        <v/>
      </c>
      <c r="AM272" s="11">
        <f>IF(R272="","",SUM(AC272:AF272)-(R272-AP272))</f>
        <v/>
      </c>
      <c r="AN272" s="11">
        <f>IF(R272="","",SUM(S272:W272)+AP272-R272)</f>
        <v/>
      </c>
      <c r="AO272" s="9" t="n"/>
      <c r="AP272" s="9" t="n"/>
      <c r="AQ272" s="27" t="inlineStr">
        <is>
          <t>FB03-a FU实例合法换值；FB03-b opClass端口合法换值；FB03-c dispatch lane合法换值</t>
        </is>
      </c>
      <c r="AR272" s="39" t="n"/>
      <c r="AS272" s="39">
        <f>IFERROR(AR272/Q272,0)</f>
        <v/>
      </c>
      <c r="AT272" s="39" t="n">
        <v>30</v>
      </c>
      <c r="AU272" s="39" t="n">
        <v>385</v>
      </c>
      <c r="AV272" s="39" t="inlineStr">
        <is>
          <t>常规</t>
        </is>
      </c>
      <c r="AW272" s="39" t="inlineStr">
        <is>
          <t>累计至少385，不机械扩展到2401</t>
        </is>
      </c>
    </row>
    <row r="273" ht="118.0500030517578" customHeight="1">
      <c r="A273" s="6" t="inlineStr">
        <is>
          <t>FB03-F6-W9</t>
        </is>
      </c>
      <c r="B273" s="6" t="inlineStr">
        <is>
          <t>FB03</t>
        </is>
      </c>
      <c r="C273" s="6" t="inlineStr">
        <is>
          <t>FP/SIMD Dispatch/ROB</t>
        </is>
      </c>
      <c r="D273" s="6" t="inlineStr">
        <is>
          <t>dispatch到FP/SIMD FU/opClass队列的steering和lane选择。</t>
        </is>
      </c>
      <c r="E273" s="6" t="inlineStr">
        <is>
          <t>换值</t>
        </is>
      </c>
      <c r="F273" s="6" t="inlineStr">
        <is>
          <t>把FU实例、兼容opClass端口或dispatch lane换为另一合法目的。从当前有效且生命周期合法的候选集合中选择另一个合法值；禁止空闲、越界或编码非法候选。保存source/target和候选集大小。仅当替换值被消费时计activated。触发：存在至少两个兼容FP/SIMD执行目的。</t>
        </is>
      </c>
      <c r="G273" s="6" t="inlineStr">
        <is>
          <t>F6</t>
        </is>
      </c>
      <c r="H273" s="6" t="inlineStr">
        <is>
          <t>首次出现指定稀有事件时注入1次，保证结构化模型被激活</t>
        </is>
      </c>
      <c r="I273" s="6" t="inlineStr">
        <is>
          <t>W9 NEON-LaneProbe</t>
        </is>
      </c>
      <c r="J273" s="6" t="inlineStr">
        <is>
          <t>NEON-LaneProbe（自设定向负载）
执行定义与oracle：8/16/32/64-bit lane、整数/浮点 AdvSIMD、lane extract/insert、widen/narrow、permute、reduce；逐 lane 比对</t>
        </is>
      </c>
      <c r="K273" s="6" t="inlineStr">
        <is>
          <t>存在至少两个兼容FP/SIMD执行目的</t>
        </is>
      </c>
      <c r="L273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73" s="6" t="inlineStr">
        <is>
          <t>兼容FU替换主要改变时序；错误opClass接受时可产生错误结果或完成延迟</t>
        </is>
      </c>
      <c r="N273" s="6" t="inlineStr">
        <is>
          <t>适配FP/SIMD资源选择</t>
        </is>
      </c>
      <c r="O273" s="6" t="inlineStr">
        <is>
          <t>本方案结构化模型</t>
        </is>
      </c>
      <c r="P273" s="9" t="n"/>
      <c r="Q273" s="9" t="n"/>
      <c r="R273" s="9" t="n"/>
      <c r="S273" s="9" t="n"/>
      <c r="T273" s="9" t="n"/>
      <c r="U273" s="9" t="n"/>
      <c r="V273" s="9" t="n"/>
      <c r="W273" s="9" t="n"/>
      <c r="X273" s="12">
        <f>IF(OR(R273="",R273-AP273&lt;=0),"",AB273/(R273-AP273))</f>
        <v/>
      </c>
      <c r="Y273" s="12">
        <f>IFERROR(R273/AR273,0)</f>
        <v/>
      </c>
      <c r="Z273" s="9" t="inlineStr">
        <is>
          <t>待执行</t>
        </is>
      </c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12">
        <f>IF(OR(R273="",R273-AP273&lt;=0),"",AO273/(R273-AP273))</f>
        <v/>
      </c>
      <c r="AM273" s="11">
        <f>IF(R273="","",SUM(AC273:AF273)-(R273-AP273))</f>
        <v/>
      </c>
      <c r="AN273" s="11">
        <f>IF(R273="","",SUM(S273:W273)+AP273-R273)</f>
        <v/>
      </c>
      <c r="AO273" s="9" t="n"/>
      <c r="AP273" s="9" t="n"/>
      <c r="AQ273" s="27" t="inlineStr">
        <is>
          <t>FB03-a FU实例合法换值；FB03-b opClass端口合法换值；FB03-c dispatch lane合法换值</t>
        </is>
      </c>
      <c r="AR273" s="39" t="n"/>
      <c r="AS273" s="39">
        <f>IFERROR(AR273/Q273,0)</f>
        <v/>
      </c>
      <c r="AT273" s="39" t="n">
        <v>30</v>
      </c>
      <c r="AU273" s="39" t="n">
        <v>385</v>
      </c>
      <c r="AV273" s="39" t="inlineStr">
        <is>
          <t>常规</t>
        </is>
      </c>
      <c r="AW273" s="39" t="inlineStr">
        <is>
          <t>累计至少385，不机械扩展到2401</t>
        </is>
      </c>
    </row>
    <row r="274" ht="118.0500030517578" customHeight="1">
      <c r="A274" s="6" t="inlineStr">
        <is>
          <t>FB04-F0-W8</t>
        </is>
      </c>
      <c r="B274" s="6" t="inlineStr">
        <is>
          <t>FB04</t>
        </is>
      </c>
      <c r="C274" s="6" t="inlineStr">
        <is>
          <t>FP/SIMD Dispatch/ROB</t>
        </is>
      </c>
      <c r="D274" s="6" t="inlineStr">
        <is>
          <t>FP/SIMD operand-ready、issued和replay状态。</t>
        </is>
      </c>
      <c r="E274" s="6" t="inlineStr">
        <is>
          <t>状态</t>
        </is>
      </c>
      <c r="F274" s="6" t="inlineStr">
        <is>
          <t>提前ready/issued、丢失ready或伪造replay，不改操作数tag。清零、伪造、提前置位和延后清除分成独立子模型，每次运行只改变一种状态转移；记录前后状态机轨迹和关联动态指令。仅当错误状态参与仲裁/转移时计activated。触发：长延迟或依赖FP/SIMD uop等待。</t>
        </is>
      </c>
      <c r="G274" s="6" t="inlineStr">
        <is>
          <t>F0</t>
        </is>
      </c>
      <c r="H274" s="6" t="inlineStr">
        <is>
          <t>每次运行只注入1次；warm-up后在 eligible event 中均匀抽样</t>
        </is>
      </c>
      <c r="I274" s="6" t="inlineStr">
        <is>
          <t>W8 FP-ScalarProbe</t>
        </is>
      </c>
      <c r="J274" s="6" t="inlineStr">
        <is>
          <t>FP-ScalarProbe（自设定向负载）
执行定义与oracle：FP32/FP64 add/mul/div/sqrt/FMA、NaN/Inf/±0/subnormal、四种舍入、FP exception；位级结果与 FPSR/FPCR oracle</t>
        </is>
      </c>
      <c r="K274" s="6" t="inlineStr">
        <is>
          <t>长延迟或依赖FP/SIMD uop等待</t>
        </is>
      </c>
      <c r="L274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74" s="6" t="inlineStr">
        <is>
          <t>提前发射读取旧值可SDC；丢失多为Timeout；伪造replay多为性能下降</t>
        </is>
      </c>
      <c r="N274" s="6" t="inlineStr">
        <is>
          <t>长延迟FP使就绪状态尤其敏感</t>
        </is>
      </c>
      <c r="O274" s="6" t="inlineStr">
        <is>
          <t>本方案结构化模型</t>
        </is>
      </c>
      <c r="P274" s="9" t="n"/>
      <c r="Q274" s="9" t="n"/>
      <c r="R274" s="9" t="n"/>
      <c r="S274" s="9" t="n"/>
      <c r="T274" s="9" t="n"/>
      <c r="U274" s="9" t="n"/>
      <c r="V274" s="9" t="n"/>
      <c r="W274" s="9" t="n"/>
      <c r="X274" s="12">
        <f>IF(OR(R274="",R274-AP274&lt;=0),"",AB274/(R274-AP274))</f>
        <v/>
      </c>
      <c r="Y274" s="12">
        <f>IFERROR(R274/AR274,0)</f>
        <v/>
      </c>
      <c r="Z274" s="9" t="inlineStr">
        <is>
          <t>待执行</t>
        </is>
      </c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12">
        <f>IF(OR(R274="",R274-AP274&lt;=0),"",AO274/(R274-AP274))</f>
        <v/>
      </c>
      <c r="AM274" s="11">
        <f>IF(R274="","",SUM(AC274:AF274)-(R274-AP274))</f>
        <v/>
      </c>
      <c r="AN274" s="11">
        <f>IF(R274="","",SUM(S274:W274)+AP274-R274)</f>
        <v/>
      </c>
      <c r="AO274" s="9" t="n"/>
      <c r="AP274" s="9" t="n"/>
      <c r="AQ274" s="27" t="inlineStr">
        <is>
          <t>FB04-a 提前ready/issued；FB04-b 丢失ready；FB04-c 伪造replay；子模型分开统计</t>
        </is>
      </c>
      <c r="AR274" s="39" t="n"/>
      <c r="AS274" s="39">
        <f>IFERROR(AR274/Q274,0)</f>
        <v/>
      </c>
      <c r="AT274" s="39" t="n">
        <v>30</v>
      </c>
      <c r="AU274" s="39" t="n">
        <v>385</v>
      </c>
      <c r="AV274" s="39" t="inlineStr">
        <is>
          <t>常规</t>
        </is>
      </c>
      <c r="AW274" s="39" t="inlineStr">
        <is>
          <t>累计至少385，不机械扩展到2401</t>
        </is>
      </c>
    </row>
    <row r="275" ht="118.0500030517578" customHeight="1">
      <c r="A275" s="6" t="inlineStr">
        <is>
          <t>FB04-F0-W10</t>
        </is>
      </c>
      <c r="B275" s="6" t="inlineStr">
        <is>
          <t>FB04</t>
        </is>
      </c>
      <c r="C275" s="6" t="inlineStr">
        <is>
          <t>FP/SIMD Dispatch/ROB</t>
        </is>
      </c>
      <c r="D275" s="6" t="inlineStr">
        <is>
          <t>FP/SIMD operand-ready、issued和replay状态。</t>
        </is>
      </c>
      <c r="E275" s="6" t="inlineStr">
        <is>
          <t>状态</t>
        </is>
      </c>
      <c r="F275" s="6" t="inlineStr">
        <is>
          <t>提前ready/issued、丢失ready或伪造replay，不改操作数tag。清零、伪造、提前置位和延后清除分成独立子模型，每次运行只改变一种状态转移；记录前后状态机轨迹和关联动态指令。仅当错误状态参与仲裁/转移时计activated。触发：长延迟或依赖FP/SIMD uop等待。</t>
        </is>
      </c>
      <c r="G275" s="6" t="inlineStr">
        <is>
          <t>F0</t>
        </is>
      </c>
      <c r="H275" s="6" t="inlineStr">
        <is>
          <t>每次运行只注入1次；warm-up后在 eligible event 中均匀抽样</t>
        </is>
      </c>
      <c r="I275" s="6" t="inlineStr">
        <is>
          <t>W10 PolyBench</t>
        </is>
      </c>
      <c r="J275" s="6" t="inlineStr">
        <is>
          <t>PolyBench（公开通用）
执行定义与oracle：gemm、2mm、lu、cholesky、jacobi-2d；固定规模；输出数组逐元素/容差双校验</t>
        </is>
      </c>
      <c r="K275" s="6" t="inlineStr">
        <is>
          <t>长延迟或依赖FP/SIMD uop等待</t>
        </is>
      </c>
      <c r="L275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75" s="6" t="inlineStr">
        <is>
          <t>提前发射读取旧值可SDC；丢失多为Timeout；伪造replay多为性能下降</t>
        </is>
      </c>
      <c r="N275" s="6" t="inlineStr">
        <is>
          <t>长延迟FP使就绪状态尤其敏感</t>
        </is>
      </c>
      <c r="O275" s="6" t="inlineStr">
        <is>
          <t>本方案结构化模型</t>
        </is>
      </c>
      <c r="P275" s="9" t="n"/>
      <c r="Q275" s="9" t="n"/>
      <c r="R275" s="9" t="n"/>
      <c r="S275" s="9" t="n"/>
      <c r="T275" s="9" t="n"/>
      <c r="U275" s="9" t="n"/>
      <c r="V275" s="9" t="n"/>
      <c r="W275" s="9" t="n"/>
      <c r="X275" s="12">
        <f>IF(OR(R275="",R275-AP275&lt;=0),"",AB275/(R275-AP275))</f>
        <v/>
      </c>
      <c r="Y275" s="12">
        <f>IFERROR(R275/AR275,0)</f>
        <v/>
      </c>
      <c r="Z275" s="9" t="inlineStr">
        <is>
          <t>待执行</t>
        </is>
      </c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12">
        <f>IF(OR(R275="",R275-AP275&lt;=0),"",AO275/(R275-AP275))</f>
        <v/>
      </c>
      <c r="AM275" s="11">
        <f>IF(R275="","",SUM(AC275:AF275)-(R275-AP275))</f>
        <v/>
      </c>
      <c r="AN275" s="11">
        <f>IF(R275="","",SUM(S275:W275)+AP275-R275)</f>
        <v/>
      </c>
      <c r="AO275" s="9" t="n"/>
      <c r="AP275" s="9" t="n"/>
      <c r="AQ275" s="27" t="inlineStr">
        <is>
          <t>FB04-a 提前ready/issued；FB04-b 丢失ready；FB04-c 伪造replay；子模型分开统计</t>
        </is>
      </c>
      <c r="AR275" s="39" t="n"/>
      <c r="AS275" s="39">
        <f>IFERROR(AR275/Q275,0)</f>
        <v/>
      </c>
      <c r="AT275" s="39" t="n">
        <v>30</v>
      </c>
      <c r="AU275" s="39" t="n">
        <v>385</v>
      </c>
      <c r="AV275" s="39" t="inlineStr">
        <is>
          <t>常规</t>
        </is>
      </c>
      <c r="AW275" s="39" t="inlineStr">
        <is>
          <t>累计至少385，不机械扩展到2401</t>
        </is>
      </c>
    </row>
    <row r="276" ht="118.0500030517578" customHeight="1">
      <c r="A276" s="6" t="inlineStr">
        <is>
          <t>FB04-F4-W8</t>
        </is>
      </c>
      <c r="B276" s="6" t="inlineStr">
        <is>
          <t>FB04</t>
        </is>
      </c>
      <c r="C276" s="6" t="inlineStr">
        <is>
          <t>FP/SIMD Dispatch/ROB</t>
        </is>
      </c>
      <c r="D276" s="6" t="inlineStr">
        <is>
          <t>FP/SIMD operand-ready、issued和replay状态。</t>
        </is>
      </c>
      <c r="E276" s="6" t="inlineStr">
        <is>
          <t>状态</t>
        </is>
      </c>
      <c r="F276" s="6" t="inlineStr">
        <is>
          <t>提前ready/issued、丢失ready或伪造replay，不改操作数tag。清零、伪造、提前置位和延后清除分成独立子模型，每次运行只改变一种状态转移；记录前后状态机轨迹和关联动态指令。仅当错误状态参与仲裁/转移时计activated。触发：长延迟或依赖FP/SIMD uop等待。</t>
        </is>
      </c>
      <c r="G276" s="6" t="inlineStr">
        <is>
          <t>F4</t>
        </is>
      </c>
      <c r="H276" s="6" t="inlineStr">
        <is>
          <t>每100,000个 eligible events 触发一次，连续污染2-4个 eligible events</t>
        </is>
      </c>
      <c r="I276" s="6" t="inlineStr">
        <is>
          <t>W8 FP-ScalarProbe</t>
        </is>
      </c>
      <c r="J276" s="6" t="inlineStr">
        <is>
          <t>FP-ScalarProbe（自设定向负载）
执行定义与oracle：FP32/FP64 add/mul/div/sqrt/FMA、NaN/Inf/±0/subnormal、四种舍入、FP exception；位级结果与 FPSR/FPCR oracle</t>
        </is>
      </c>
      <c r="K276" s="6" t="inlineStr">
        <is>
          <t>长延迟或依赖FP/SIMD uop等待</t>
        </is>
      </c>
      <c r="L276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76" s="6" t="inlineStr">
        <is>
          <t>提前发射读取旧值可SDC；丢失多为Timeout；伪造replay多为性能下降</t>
        </is>
      </c>
      <c r="N276" s="6" t="inlineStr">
        <is>
          <t>长延迟FP使就绪状态尤其敏感</t>
        </is>
      </c>
      <c r="O276" s="6" t="inlineStr">
        <is>
          <t>本方案结构化模型</t>
        </is>
      </c>
      <c r="P276" s="9" t="n"/>
      <c r="Q276" s="9" t="n"/>
      <c r="R276" s="9" t="n"/>
      <c r="S276" s="9" t="n"/>
      <c r="T276" s="9" t="n"/>
      <c r="U276" s="9" t="n"/>
      <c r="V276" s="9" t="n"/>
      <c r="W276" s="9" t="n"/>
      <c r="X276" s="12">
        <f>IF(OR(R276="",R276-AP276&lt;=0),"",AB276/(R276-AP276))</f>
        <v/>
      </c>
      <c r="Y276" s="12">
        <f>IFERROR(R276/AR276,0)</f>
        <v/>
      </c>
      <c r="Z276" s="9" t="inlineStr">
        <is>
          <t>待执行</t>
        </is>
      </c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12">
        <f>IF(OR(R276="",R276-AP276&lt;=0),"",AO276/(R276-AP276))</f>
        <v/>
      </c>
      <c r="AM276" s="11">
        <f>IF(R276="","",SUM(AC276:AF276)-(R276-AP276))</f>
        <v/>
      </c>
      <c r="AN276" s="11">
        <f>IF(R276="","",SUM(S276:W276)+AP276-R276)</f>
        <v/>
      </c>
      <c r="AO276" s="9" t="n"/>
      <c r="AP276" s="9" t="n"/>
      <c r="AQ276" s="27" t="inlineStr">
        <is>
          <t>FB04-a 提前ready/issued；FB04-b 丢失ready；FB04-c 伪造replay；子模型分开统计</t>
        </is>
      </c>
      <c r="AR276" s="39" t="n"/>
      <c r="AS276" s="39">
        <f>IFERROR(AR276/Q276,0)</f>
        <v/>
      </c>
      <c r="AT276" s="39" t="n">
        <v>30</v>
      </c>
      <c r="AU276" s="39" t="n">
        <v>385</v>
      </c>
      <c r="AV276" s="39" t="inlineStr">
        <is>
          <t>常规</t>
        </is>
      </c>
      <c r="AW276" s="39" t="inlineStr">
        <is>
          <t>累计至少385，不机械扩展到2401</t>
        </is>
      </c>
    </row>
    <row r="277" ht="118.0500030517578" customHeight="1">
      <c r="A277" s="6" t="inlineStr">
        <is>
          <t>FB04-F4-W10</t>
        </is>
      </c>
      <c r="B277" s="6" t="inlineStr">
        <is>
          <t>FB04</t>
        </is>
      </c>
      <c r="C277" s="6" t="inlineStr">
        <is>
          <t>FP/SIMD Dispatch/ROB</t>
        </is>
      </c>
      <c r="D277" s="6" t="inlineStr">
        <is>
          <t>FP/SIMD operand-ready、issued和replay状态。</t>
        </is>
      </c>
      <c r="E277" s="6" t="inlineStr">
        <is>
          <t>状态</t>
        </is>
      </c>
      <c r="F277" s="6" t="inlineStr">
        <is>
          <t>提前ready/issued、丢失ready或伪造replay，不改操作数tag。清零、伪造、提前置位和延后清除分成独立子模型，每次运行只改变一种状态转移；记录前后状态机轨迹和关联动态指令。仅当错误状态参与仲裁/转移时计activated。触发：长延迟或依赖FP/SIMD uop等待。</t>
        </is>
      </c>
      <c r="G277" s="6" t="inlineStr">
        <is>
          <t>F4</t>
        </is>
      </c>
      <c r="H277" s="6" t="inlineStr">
        <is>
          <t>每100,000个 eligible events 触发一次，连续污染2-4个 eligible events</t>
        </is>
      </c>
      <c r="I277" s="6" t="inlineStr">
        <is>
          <t>W10 PolyBench</t>
        </is>
      </c>
      <c r="J277" s="6" t="inlineStr">
        <is>
          <t>PolyBench（公开通用）
执行定义与oracle：gemm、2mm、lu、cholesky、jacobi-2d；固定规模；输出数组逐元素/容差双校验</t>
        </is>
      </c>
      <c r="K277" s="6" t="inlineStr">
        <is>
          <t>长延迟或依赖FP/SIMD uop等待</t>
        </is>
      </c>
      <c r="L277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77" s="6" t="inlineStr">
        <is>
          <t>提前发射读取旧值可SDC；丢失多为Timeout；伪造replay多为性能下降</t>
        </is>
      </c>
      <c r="N277" s="6" t="inlineStr">
        <is>
          <t>长延迟FP使就绪状态尤其敏感</t>
        </is>
      </c>
      <c r="O277" s="6" t="inlineStr">
        <is>
          <t>本方案结构化模型</t>
        </is>
      </c>
      <c r="P277" s="9" t="n"/>
      <c r="Q277" s="9" t="n"/>
      <c r="R277" s="9" t="n"/>
      <c r="S277" s="9" t="n"/>
      <c r="T277" s="9" t="n"/>
      <c r="U277" s="9" t="n"/>
      <c r="V277" s="9" t="n"/>
      <c r="W277" s="9" t="n"/>
      <c r="X277" s="12">
        <f>IF(OR(R277="",R277-AP277&lt;=0),"",AB277/(R277-AP277))</f>
        <v/>
      </c>
      <c r="Y277" s="12">
        <f>IFERROR(R277/AR277,0)</f>
        <v/>
      </c>
      <c r="Z277" s="9" t="inlineStr">
        <is>
          <t>待执行</t>
        </is>
      </c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12">
        <f>IF(OR(R277="",R277-AP277&lt;=0),"",AO277/(R277-AP277))</f>
        <v/>
      </c>
      <c r="AM277" s="11">
        <f>IF(R277="","",SUM(AC277:AF277)-(R277-AP277))</f>
        <v/>
      </c>
      <c r="AN277" s="11">
        <f>IF(R277="","",SUM(S277:W277)+AP277-R277)</f>
        <v/>
      </c>
      <c r="AO277" s="9" t="n"/>
      <c r="AP277" s="9" t="n"/>
      <c r="AQ277" s="27" t="inlineStr">
        <is>
          <t>FB04-a 提前ready/issued；FB04-b 丢失ready；FB04-c 伪造replay；子模型分开统计</t>
        </is>
      </c>
      <c r="AR277" s="39" t="n"/>
      <c r="AS277" s="39">
        <f>IFERROR(AR277/Q277,0)</f>
        <v/>
      </c>
      <c r="AT277" s="39" t="n">
        <v>30</v>
      </c>
      <c r="AU277" s="39" t="n">
        <v>385</v>
      </c>
      <c r="AV277" s="39" t="inlineStr">
        <is>
          <t>常规</t>
        </is>
      </c>
      <c r="AW277" s="39" t="inlineStr">
        <is>
          <t>累计至少385，不机械扩展到2401</t>
        </is>
      </c>
    </row>
    <row r="278" ht="118.0500030517578" customHeight="1">
      <c r="A278" s="6" t="inlineStr">
        <is>
          <t>FB04-F6-W8</t>
        </is>
      </c>
      <c r="B278" s="6" t="inlineStr">
        <is>
          <t>FB04</t>
        </is>
      </c>
      <c r="C278" s="6" t="inlineStr">
        <is>
          <t>FP/SIMD Dispatch/ROB</t>
        </is>
      </c>
      <c r="D278" s="6" t="inlineStr">
        <is>
          <t>FP/SIMD operand-ready、issued和replay状态。</t>
        </is>
      </c>
      <c r="E278" s="6" t="inlineStr">
        <is>
          <t>状态</t>
        </is>
      </c>
      <c r="F278" s="6" t="inlineStr">
        <is>
          <t>提前ready/issued、丢失ready或伪造replay，不改操作数tag。清零、伪造、提前置位和延后清除分成独立子模型，每次运行只改变一种状态转移；记录前后状态机轨迹和关联动态指令。仅当错误状态参与仲裁/转移时计activated。触发：长延迟或依赖FP/SIMD uop等待。</t>
        </is>
      </c>
      <c r="G278" s="6" t="inlineStr">
        <is>
          <t>F6</t>
        </is>
      </c>
      <c r="H278" s="6" t="inlineStr">
        <is>
          <t>首次出现指定稀有事件时注入1次，保证结构化模型被激活</t>
        </is>
      </c>
      <c r="I278" s="6" t="inlineStr">
        <is>
          <t>W8 FP-ScalarProbe</t>
        </is>
      </c>
      <c r="J278" s="6" t="inlineStr">
        <is>
          <t>FP-ScalarProbe（自设定向负载）
执行定义与oracle：FP32/FP64 add/mul/div/sqrt/FMA、NaN/Inf/±0/subnormal、四种舍入、FP exception；位级结果与 FPSR/FPCR oracle</t>
        </is>
      </c>
      <c r="K278" s="6" t="inlineStr">
        <is>
          <t>长延迟或依赖FP/SIMD uop等待</t>
        </is>
      </c>
      <c r="L278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78" s="6" t="inlineStr">
        <is>
          <t>提前发射读取旧值可SDC；丢失多为Timeout；伪造replay多为性能下降</t>
        </is>
      </c>
      <c r="N278" s="6" t="inlineStr">
        <is>
          <t>长延迟FP使就绪状态尤其敏感</t>
        </is>
      </c>
      <c r="O278" s="6" t="inlineStr">
        <is>
          <t>本方案结构化模型</t>
        </is>
      </c>
      <c r="P278" s="9" t="n"/>
      <c r="Q278" s="9" t="n"/>
      <c r="R278" s="9" t="n"/>
      <c r="S278" s="9" t="n"/>
      <c r="T278" s="9" t="n"/>
      <c r="U278" s="9" t="n"/>
      <c r="V278" s="9" t="n"/>
      <c r="W278" s="9" t="n"/>
      <c r="X278" s="12">
        <f>IF(OR(R278="",R278-AP278&lt;=0),"",AB278/(R278-AP278))</f>
        <v/>
      </c>
      <c r="Y278" s="12">
        <f>IFERROR(R278/AR278,0)</f>
        <v/>
      </c>
      <c r="Z278" s="9" t="inlineStr">
        <is>
          <t>待执行</t>
        </is>
      </c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12">
        <f>IF(OR(R278="",R278-AP278&lt;=0),"",AO278/(R278-AP278))</f>
        <v/>
      </c>
      <c r="AM278" s="11">
        <f>IF(R278="","",SUM(AC278:AF278)-(R278-AP278))</f>
        <v/>
      </c>
      <c r="AN278" s="11">
        <f>IF(R278="","",SUM(S278:W278)+AP278-R278)</f>
        <v/>
      </c>
      <c r="AO278" s="9" t="n"/>
      <c r="AP278" s="9" t="n"/>
      <c r="AQ278" s="27" t="inlineStr">
        <is>
          <t>FB04-a 提前ready/issued；FB04-b 丢失ready；FB04-c 伪造replay；子模型分开统计</t>
        </is>
      </c>
      <c r="AR278" s="39" t="n"/>
      <c r="AS278" s="39">
        <f>IFERROR(AR278/Q278,0)</f>
        <v/>
      </c>
      <c r="AT278" s="39" t="n">
        <v>30</v>
      </c>
      <c r="AU278" s="39" t="n">
        <v>385</v>
      </c>
      <c r="AV278" s="39" t="inlineStr">
        <is>
          <t>常规</t>
        </is>
      </c>
      <c r="AW278" s="39" t="inlineStr">
        <is>
          <t>累计至少385，不机械扩展到2401</t>
        </is>
      </c>
    </row>
    <row r="279" ht="118.0500030517578" customHeight="1">
      <c r="A279" s="6" t="inlineStr">
        <is>
          <t>FB04-F6-W10</t>
        </is>
      </c>
      <c r="B279" s="6" t="inlineStr">
        <is>
          <t>FB04</t>
        </is>
      </c>
      <c r="C279" s="6" t="inlineStr">
        <is>
          <t>FP/SIMD Dispatch/ROB</t>
        </is>
      </c>
      <c r="D279" s="6" t="inlineStr">
        <is>
          <t>FP/SIMD operand-ready、issued和replay状态。</t>
        </is>
      </c>
      <c r="E279" s="6" t="inlineStr">
        <is>
          <t>状态</t>
        </is>
      </c>
      <c r="F279" s="6" t="inlineStr">
        <is>
          <t>提前ready/issued、丢失ready或伪造replay，不改操作数tag。清零、伪造、提前置位和延后清除分成独立子模型，每次运行只改变一种状态转移；记录前后状态机轨迹和关联动态指令。仅当错误状态参与仲裁/转移时计activated。触发：长延迟或依赖FP/SIMD uop等待。</t>
        </is>
      </c>
      <c r="G279" s="6" t="inlineStr">
        <is>
          <t>F6</t>
        </is>
      </c>
      <c r="H279" s="6" t="inlineStr">
        <is>
          <t>首次出现指定稀有事件时注入1次，保证结构化模型被激活</t>
        </is>
      </c>
      <c r="I279" s="6" t="inlineStr">
        <is>
          <t>W10 PolyBench</t>
        </is>
      </c>
      <c r="J279" s="6" t="inlineStr">
        <is>
          <t>PolyBench（公开通用）
执行定义与oracle：gemm、2mm、lu、cholesky、jacobi-2d；固定规模；输出数组逐元素/容差双校验</t>
        </is>
      </c>
      <c r="K279" s="6" t="inlineStr">
        <is>
          <t>长延迟或依赖FP/SIMD uop等待</t>
        </is>
      </c>
      <c r="L279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79" s="6" t="inlineStr">
        <is>
          <t>提前发射读取旧值可SDC；丢失多为Timeout；伪造replay多为性能下降</t>
        </is>
      </c>
      <c r="N279" s="6" t="inlineStr">
        <is>
          <t>长延迟FP使就绪状态尤其敏感</t>
        </is>
      </c>
      <c r="O279" s="6" t="inlineStr">
        <is>
          <t>本方案结构化模型</t>
        </is>
      </c>
      <c r="P279" s="9" t="n"/>
      <c r="Q279" s="9" t="n"/>
      <c r="R279" s="9" t="n"/>
      <c r="S279" s="9" t="n"/>
      <c r="T279" s="9" t="n"/>
      <c r="U279" s="9" t="n"/>
      <c r="V279" s="9" t="n"/>
      <c r="W279" s="9" t="n"/>
      <c r="X279" s="12">
        <f>IF(OR(R279="",R279-AP279&lt;=0),"",AB279/(R279-AP279))</f>
        <v/>
      </c>
      <c r="Y279" s="12">
        <f>IFERROR(R279/AR279,0)</f>
        <v/>
      </c>
      <c r="Z279" s="9" t="inlineStr">
        <is>
          <t>待执行</t>
        </is>
      </c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12">
        <f>IF(OR(R279="",R279-AP279&lt;=0),"",AO279/(R279-AP279))</f>
        <v/>
      </c>
      <c r="AM279" s="11">
        <f>IF(R279="","",SUM(AC279:AF279)-(R279-AP279))</f>
        <v/>
      </c>
      <c r="AN279" s="11">
        <f>IF(R279="","",SUM(S279:W279)+AP279-R279)</f>
        <v/>
      </c>
      <c r="AO279" s="9" t="n"/>
      <c r="AP279" s="9" t="n"/>
      <c r="AQ279" s="27" t="inlineStr">
        <is>
          <t>FB04-a 提前ready/issued；FB04-b 丢失ready；FB04-c 伪造replay；子模型分开统计</t>
        </is>
      </c>
      <c r="AR279" s="39" t="n"/>
      <c r="AS279" s="39">
        <f>IFERROR(AR279/Q279,0)</f>
        <v/>
      </c>
      <c r="AT279" s="39" t="n">
        <v>30</v>
      </c>
      <c r="AU279" s="39" t="n">
        <v>385</v>
      </c>
      <c r="AV279" s="39" t="inlineStr">
        <is>
          <t>常规</t>
        </is>
      </c>
      <c r="AW279" s="39" t="inlineStr">
        <is>
          <t>累计至少385，不机械扩展到2401</t>
        </is>
      </c>
    </row>
    <row r="280" ht="118.0500030517578" customHeight="1">
      <c r="A280" s="6" t="inlineStr">
        <is>
          <t>FB05-F0-W8</t>
        </is>
      </c>
      <c r="B280" s="6" t="inlineStr">
        <is>
          <t>FB05</t>
        </is>
      </c>
      <c r="C280" s="6" t="inlineStr">
        <is>
          <t>FP/SIMD Dispatch/ROB</t>
        </is>
      </c>
      <c r="D280" s="6" t="inlineStr">
        <is>
          <t>ROB complete/done、FP exception pending和canCommit状态。</t>
        </is>
      </c>
      <c r="E280" s="6" t="inlineStr">
        <is>
          <t>状态</t>
        </is>
      </c>
      <c r="F280" s="6" t="inlineStr">
        <is>
          <t>提前complete、丢失done、丢失真实FP exception或伪造exception。清零、伪造、提前置位和延后清除分成独立子模型，每次运行只改变一种状态转移；记录前后状态机轨迹和关联动态指令。仅当错误状态参与仲裁/转移时计activated。触发：FP/SIMD uop即将完成或产生异常。</t>
        </is>
      </c>
      <c r="G280" s="6" t="inlineStr">
        <is>
          <t>F0</t>
        </is>
      </c>
      <c r="H280" s="6" t="inlineStr">
        <is>
          <t>每次运行只注入1次；warm-up后在 eligible event 中均匀抽样</t>
        </is>
      </c>
      <c r="I280" s="6" t="inlineStr">
        <is>
          <t>W8 FP-ScalarProbe</t>
        </is>
      </c>
      <c r="J280" s="6" t="inlineStr">
        <is>
          <t>FP-ScalarProbe（自设定向负载）
执行定义与oracle：FP32/FP64 add/mul/div/sqrt/FMA、NaN/Inf/±0/subnormal、四种舍入、FP exception；位级结果与 FPSR/FPCR oracle</t>
        </is>
      </c>
      <c r="K280" s="6" t="inlineStr">
        <is>
          <t>FP/SIMD uop即将完成或产生异常</t>
        </is>
      </c>
      <c r="L280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80" s="6" t="inlineStr">
        <is>
          <t>提前complete可能提交旧值；丢失exception可形成静默数值/FPSR错误；伪造exception多为Crash</t>
        </is>
      </c>
      <c r="N280" s="6" t="inlineStr">
        <is>
          <t>覆盖FP特有异常与ROB提交门控</t>
        </is>
      </c>
      <c r="O280" s="6" t="inlineStr">
        <is>
          <t>本方案结构化模型</t>
        </is>
      </c>
      <c r="P280" s="9" t="n"/>
      <c r="Q280" s="9" t="n"/>
      <c r="R280" s="9" t="n"/>
      <c r="S280" s="9" t="n"/>
      <c r="T280" s="9" t="n"/>
      <c r="U280" s="9" t="n"/>
      <c r="V280" s="9" t="n"/>
      <c r="W280" s="9" t="n"/>
      <c r="X280" s="12">
        <f>IF(OR(R280="",R280-AP280&lt;=0),"",AB280/(R280-AP280))</f>
        <v/>
      </c>
      <c r="Y280" s="12">
        <f>IFERROR(R280/AR280,0)</f>
        <v/>
      </c>
      <c r="Z280" s="9" t="inlineStr">
        <is>
          <t>待执行</t>
        </is>
      </c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12">
        <f>IF(OR(R280="",R280-AP280&lt;=0),"",AO280/(R280-AP280))</f>
        <v/>
      </c>
      <c r="AM280" s="11">
        <f>IF(R280="","",SUM(AC280:AF280)-(R280-AP280))</f>
        <v/>
      </c>
      <c r="AN280" s="11">
        <f>IF(R280="","",SUM(S280:W280)+AP280-R280)</f>
        <v/>
      </c>
      <c r="AO280" s="9" t="n"/>
      <c r="AP280" s="9" t="n"/>
      <c r="AQ280" s="27" t="inlineStr">
        <is>
          <t>FB05-a 提前complete；FB05-b 丢失done；FB05-c 丢失真实FP exception；FB05-d 伪造exception</t>
        </is>
      </c>
      <c r="AR280" s="39" t="n"/>
      <c r="AS280" s="39">
        <f>IFERROR(AR280/Q280,0)</f>
        <v/>
      </c>
      <c r="AT280" s="39" t="n">
        <v>30</v>
      </c>
      <c r="AU280" s="39" t="n">
        <v>385</v>
      </c>
      <c r="AV280" s="39" t="inlineStr">
        <is>
          <t>常规</t>
        </is>
      </c>
      <c r="AW280" s="39" t="inlineStr">
        <is>
          <t>累计至少385，不机械扩展到2401</t>
        </is>
      </c>
    </row>
    <row r="281" ht="118.0500030517578" customHeight="1">
      <c r="A281" s="6" t="inlineStr">
        <is>
          <t>FB05-F0-W13</t>
        </is>
      </c>
      <c r="B281" s="6" t="inlineStr">
        <is>
          <t>FB05</t>
        </is>
      </c>
      <c r="C281" s="6" t="inlineStr">
        <is>
          <t>FP/SIMD Dispatch/ROB</t>
        </is>
      </c>
      <c r="D281" s="6" t="inlineStr">
        <is>
          <t>ROB complete/done、FP exception pending和canCommit状态。</t>
        </is>
      </c>
      <c r="E281" s="6" t="inlineStr">
        <is>
          <t>状态</t>
        </is>
      </c>
      <c r="F281" s="6" t="inlineStr">
        <is>
          <t>提前complete、丢失done、丢失真实FP exception或伪造exception。清零、伪造、提前置位和延后清除分成独立子模型，每次运行只改变一种状态转移；记录前后状态机轨迹和关联动态指令。仅当错误状态参与仲裁/转移时计activated。触发：FP/SIMD uop即将完成或产生异常。</t>
        </is>
      </c>
      <c r="G281" s="6" t="inlineStr">
        <is>
          <t>F0</t>
        </is>
      </c>
      <c r="H281" s="6" t="inlineStr">
        <is>
          <t>每次运行只注入1次；warm-up后在 eligible event 中均匀抽样</t>
        </is>
      </c>
      <c r="I281" s="6" t="inlineStr">
        <is>
          <t>W13 FP-ExceptionRecovery</t>
        </is>
      </c>
      <c r="J281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281" s="6" t="inlineStr">
        <is>
          <t>FP/SIMD uop即将完成或产生异常</t>
        </is>
      </c>
      <c r="L281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81" s="6" t="inlineStr">
        <is>
          <t>提前complete可能提交旧值；丢失exception可形成静默数值/FPSR错误；伪造exception多为Crash</t>
        </is>
      </c>
      <c r="N281" s="6" t="inlineStr">
        <is>
          <t>覆盖FP特有异常与ROB提交门控</t>
        </is>
      </c>
      <c r="O281" s="6" t="inlineStr">
        <is>
          <t>本方案结构化模型</t>
        </is>
      </c>
      <c r="P281" s="9" t="n"/>
      <c r="Q281" s="9" t="n"/>
      <c r="R281" s="9" t="n"/>
      <c r="S281" s="9" t="n"/>
      <c r="T281" s="9" t="n"/>
      <c r="U281" s="9" t="n"/>
      <c r="V281" s="9" t="n"/>
      <c r="W281" s="9" t="n"/>
      <c r="X281" s="12">
        <f>IF(OR(R281="",R281-AP281&lt;=0),"",AB281/(R281-AP281))</f>
        <v/>
      </c>
      <c r="Y281" s="12">
        <f>IFERROR(R281/AR281,0)</f>
        <v/>
      </c>
      <c r="Z281" s="9" t="inlineStr">
        <is>
          <t>待执行</t>
        </is>
      </c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/>
      <c r="AL281" s="12">
        <f>IF(OR(R281="",R281-AP281&lt;=0),"",AO281/(R281-AP281))</f>
        <v/>
      </c>
      <c r="AM281" s="11">
        <f>IF(R281="","",SUM(AC281:AF281)-(R281-AP281))</f>
        <v/>
      </c>
      <c r="AN281" s="11">
        <f>IF(R281="","",SUM(S281:W281)+AP281-R281)</f>
        <v/>
      </c>
      <c r="AO281" s="9" t="n"/>
      <c r="AP281" s="9" t="n"/>
      <c r="AQ281" s="27" t="inlineStr">
        <is>
          <t>FB05-a 提前complete；FB05-b 丢失done；FB05-c 丢失真实FP exception；FB05-d 伪造exception</t>
        </is>
      </c>
      <c r="AR281" s="39" t="n"/>
      <c r="AS281" s="39">
        <f>IFERROR(AR281/Q281,0)</f>
        <v/>
      </c>
      <c r="AT281" s="39" t="n">
        <v>30</v>
      </c>
      <c r="AU281" s="39" t="n">
        <v>385</v>
      </c>
      <c r="AV281" s="39" t="inlineStr">
        <is>
          <t>常规</t>
        </is>
      </c>
      <c r="AW281" s="39" t="inlineStr">
        <is>
          <t>累计至少385，不机械扩展到2401</t>
        </is>
      </c>
    </row>
    <row r="282" ht="118.0500030517578" customHeight="1">
      <c r="A282" s="6" t="inlineStr">
        <is>
          <t>FB05-F2-W8</t>
        </is>
      </c>
      <c r="B282" s="6" t="inlineStr">
        <is>
          <t>FB05</t>
        </is>
      </c>
      <c r="C282" s="6" t="inlineStr">
        <is>
          <t>FP/SIMD Dispatch/ROB</t>
        </is>
      </c>
      <c r="D282" s="6" t="inlineStr">
        <is>
          <t>ROB complete/done、FP exception pending和canCommit状态。</t>
        </is>
      </c>
      <c r="E282" s="6" t="inlineStr">
        <is>
          <t>状态</t>
        </is>
      </c>
      <c r="F282" s="6" t="inlineStr">
        <is>
          <t>提前complete、丢失done、丢失真实FP exception或伪造exception。清零、伪造、提前置位和延后清除分成独立子模型，每次运行只改变一种状态转移；记录前后状态机轨迹和关联动态指令。仅当错误状态参与仲裁/转移时计activated。触发：FP/SIMD uop即将完成或产生异常。</t>
        </is>
      </c>
      <c r="G282" s="6" t="inlineStr">
        <is>
          <t>F2</t>
        </is>
      </c>
      <c r="H282" s="6" t="inlineStr">
        <is>
          <t>平均每100,000个 eligible events 注入1次，间隔加入±50%抖动</t>
        </is>
      </c>
      <c r="I282" s="6" t="inlineStr">
        <is>
          <t>W8 FP-ScalarProbe</t>
        </is>
      </c>
      <c r="J282" s="6" t="inlineStr">
        <is>
          <t>FP-ScalarProbe（自设定向负载）
执行定义与oracle：FP32/FP64 add/mul/div/sqrt/FMA、NaN/Inf/±0/subnormal、四种舍入、FP exception；位级结果与 FPSR/FPCR oracle</t>
        </is>
      </c>
      <c r="K282" s="6" t="inlineStr">
        <is>
          <t>FP/SIMD uop即将完成或产生异常</t>
        </is>
      </c>
      <c r="L282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82" s="6" t="inlineStr">
        <is>
          <t>提前complete可能提交旧值；丢失exception可形成静默数值/FPSR错误；伪造exception多为Crash</t>
        </is>
      </c>
      <c r="N282" s="6" t="inlineStr">
        <is>
          <t>覆盖FP特有异常与ROB提交门控</t>
        </is>
      </c>
      <c r="O282" s="6" t="inlineStr">
        <is>
          <t>本方案结构化模型</t>
        </is>
      </c>
      <c r="P282" s="9" t="n"/>
      <c r="Q282" s="9" t="n"/>
      <c r="R282" s="9" t="n"/>
      <c r="S282" s="9" t="n"/>
      <c r="T282" s="9" t="n"/>
      <c r="U282" s="9" t="n"/>
      <c r="V282" s="9" t="n"/>
      <c r="W282" s="9" t="n"/>
      <c r="X282" s="12">
        <f>IF(OR(R282="",R282-AP282&lt;=0),"",AB282/(R282-AP282))</f>
        <v/>
      </c>
      <c r="Y282" s="12">
        <f>IFERROR(R282/AR282,0)</f>
        <v/>
      </c>
      <c r="Z282" s="9" t="inlineStr">
        <is>
          <t>待执行</t>
        </is>
      </c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12">
        <f>IF(OR(R282="",R282-AP282&lt;=0),"",AO282/(R282-AP282))</f>
        <v/>
      </c>
      <c r="AM282" s="11">
        <f>IF(R282="","",SUM(AC282:AF282)-(R282-AP282))</f>
        <v/>
      </c>
      <c r="AN282" s="11">
        <f>IF(R282="","",SUM(S282:W282)+AP282-R282)</f>
        <v/>
      </c>
      <c r="AO282" s="9" t="n"/>
      <c r="AP282" s="9" t="n"/>
      <c r="AQ282" s="27" t="inlineStr">
        <is>
          <t>FB05-a 提前complete；FB05-b 丢失done；FB05-c 丢失真实FP exception；FB05-d 伪造exception</t>
        </is>
      </c>
      <c r="AR282" s="39" t="n"/>
      <c r="AS282" s="39">
        <f>IFERROR(AR282/Q282,0)</f>
        <v/>
      </c>
      <c r="AT282" s="39" t="n">
        <v>30</v>
      </c>
      <c r="AU282" s="39" t="n">
        <v>385</v>
      </c>
      <c r="AV282" s="39" t="inlineStr">
        <is>
          <t>常规</t>
        </is>
      </c>
      <c r="AW282" s="39" t="inlineStr">
        <is>
          <t>累计至少385，不机械扩展到2401</t>
        </is>
      </c>
    </row>
    <row r="283" ht="118.0500030517578" customHeight="1">
      <c r="A283" s="6" t="inlineStr">
        <is>
          <t>FB05-F2-W13</t>
        </is>
      </c>
      <c r="B283" s="6" t="inlineStr">
        <is>
          <t>FB05</t>
        </is>
      </c>
      <c r="C283" s="6" t="inlineStr">
        <is>
          <t>FP/SIMD Dispatch/ROB</t>
        </is>
      </c>
      <c r="D283" s="6" t="inlineStr">
        <is>
          <t>ROB complete/done、FP exception pending和canCommit状态。</t>
        </is>
      </c>
      <c r="E283" s="6" t="inlineStr">
        <is>
          <t>状态</t>
        </is>
      </c>
      <c r="F283" s="6" t="inlineStr">
        <is>
          <t>提前complete、丢失done、丢失真实FP exception或伪造exception。清零、伪造、提前置位和延后清除分成独立子模型，每次运行只改变一种状态转移；记录前后状态机轨迹和关联动态指令。仅当错误状态参与仲裁/转移时计activated。触发：FP/SIMD uop即将完成或产生异常。</t>
        </is>
      </c>
      <c r="G283" s="6" t="inlineStr">
        <is>
          <t>F2</t>
        </is>
      </c>
      <c r="H283" s="6" t="inlineStr">
        <is>
          <t>平均每100,000个 eligible events 注入1次，间隔加入±50%抖动</t>
        </is>
      </c>
      <c r="I283" s="6" t="inlineStr">
        <is>
          <t>W13 FP-ExceptionRecovery</t>
        </is>
      </c>
      <c r="J283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283" s="6" t="inlineStr">
        <is>
          <t>FP/SIMD uop即将完成或产生异常</t>
        </is>
      </c>
      <c r="L283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83" s="6" t="inlineStr">
        <is>
          <t>提前complete可能提交旧值；丢失exception可形成静默数值/FPSR错误；伪造exception多为Crash</t>
        </is>
      </c>
      <c r="N283" s="6" t="inlineStr">
        <is>
          <t>覆盖FP特有异常与ROB提交门控</t>
        </is>
      </c>
      <c r="O283" s="6" t="inlineStr">
        <is>
          <t>本方案结构化模型</t>
        </is>
      </c>
      <c r="P283" s="9" t="n"/>
      <c r="Q283" s="9" t="n"/>
      <c r="R283" s="9" t="n"/>
      <c r="S283" s="9" t="n"/>
      <c r="T283" s="9" t="n"/>
      <c r="U283" s="9" t="n"/>
      <c r="V283" s="9" t="n"/>
      <c r="W283" s="9" t="n"/>
      <c r="X283" s="12">
        <f>IF(OR(R283="",R283-AP283&lt;=0),"",AB283/(R283-AP283))</f>
        <v/>
      </c>
      <c r="Y283" s="12">
        <f>IFERROR(R283/AR283,0)</f>
        <v/>
      </c>
      <c r="Z283" s="9" t="inlineStr">
        <is>
          <t>待执行</t>
        </is>
      </c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12">
        <f>IF(OR(R283="",R283-AP283&lt;=0),"",AO283/(R283-AP283))</f>
        <v/>
      </c>
      <c r="AM283" s="11">
        <f>IF(R283="","",SUM(AC283:AF283)-(R283-AP283))</f>
        <v/>
      </c>
      <c r="AN283" s="11">
        <f>IF(R283="","",SUM(S283:W283)+AP283-R283)</f>
        <v/>
      </c>
      <c r="AO283" s="9" t="n"/>
      <c r="AP283" s="9" t="n"/>
      <c r="AQ283" s="27" t="inlineStr">
        <is>
          <t>FB05-a 提前complete；FB05-b 丢失done；FB05-c 丢失真实FP exception；FB05-d 伪造exception</t>
        </is>
      </c>
      <c r="AR283" s="39" t="n"/>
      <c r="AS283" s="39">
        <f>IFERROR(AR283/Q283,0)</f>
        <v/>
      </c>
      <c r="AT283" s="39" t="n">
        <v>30</v>
      </c>
      <c r="AU283" s="39" t="n">
        <v>385</v>
      </c>
      <c r="AV283" s="39" t="inlineStr">
        <is>
          <t>常规</t>
        </is>
      </c>
      <c r="AW283" s="39" t="inlineStr">
        <is>
          <t>累计至少385，不机械扩展到2401</t>
        </is>
      </c>
    </row>
    <row r="284" ht="118.0500030517578" customHeight="1">
      <c r="A284" s="6" t="inlineStr">
        <is>
          <t>FB05-F6-W8</t>
        </is>
      </c>
      <c r="B284" s="6" t="inlineStr">
        <is>
          <t>FB05</t>
        </is>
      </c>
      <c r="C284" s="6" t="inlineStr">
        <is>
          <t>FP/SIMD Dispatch/ROB</t>
        </is>
      </c>
      <c r="D284" s="6" t="inlineStr">
        <is>
          <t>ROB complete/done、FP exception pending和canCommit状态。</t>
        </is>
      </c>
      <c r="E284" s="6" t="inlineStr">
        <is>
          <t>状态</t>
        </is>
      </c>
      <c r="F284" s="6" t="inlineStr">
        <is>
          <t>提前complete、丢失done、丢失真实FP exception或伪造exception。清零、伪造、提前置位和延后清除分成独立子模型，每次运行只改变一种状态转移；记录前后状态机轨迹和关联动态指令。仅当错误状态参与仲裁/转移时计activated。触发：FP/SIMD uop即将完成或产生异常。</t>
        </is>
      </c>
      <c r="G284" s="6" t="inlineStr">
        <is>
          <t>F6</t>
        </is>
      </c>
      <c r="H284" s="6" t="inlineStr">
        <is>
          <t>首次出现指定稀有事件时注入1次，保证结构化模型被激活</t>
        </is>
      </c>
      <c r="I284" s="6" t="inlineStr">
        <is>
          <t>W8 FP-ScalarProbe</t>
        </is>
      </c>
      <c r="J284" s="6" t="inlineStr">
        <is>
          <t>FP-ScalarProbe（自设定向负载）
执行定义与oracle：FP32/FP64 add/mul/div/sqrt/FMA、NaN/Inf/±0/subnormal、四种舍入、FP exception；位级结果与 FPSR/FPCR oracle</t>
        </is>
      </c>
      <c r="K284" s="6" t="inlineStr">
        <is>
          <t>FP/SIMD uop即将完成或产生异常</t>
        </is>
      </c>
      <c r="L284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84" s="6" t="inlineStr">
        <is>
          <t>提前complete可能提交旧值；丢失exception可形成静默数值/FPSR错误；伪造exception多为Crash</t>
        </is>
      </c>
      <c r="N284" s="6" t="inlineStr">
        <is>
          <t>覆盖FP特有异常与ROB提交门控</t>
        </is>
      </c>
      <c r="O284" s="6" t="inlineStr">
        <is>
          <t>本方案结构化模型</t>
        </is>
      </c>
      <c r="P284" s="9" t="n"/>
      <c r="Q284" s="9" t="n"/>
      <c r="R284" s="9" t="n"/>
      <c r="S284" s="9" t="n"/>
      <c r="T284" s="9" t="n"/>
      <c r="U284" s="9" t="n"/>
      <c r="V284" s="9" t="n"/>
      <c r="W284" s="9" t="n"/>
      <c r="X284" s="12">
        <f>IF(OR(R284="",R284-AP284&lt;=0),"",AB284/(R284-AP284))</f>
        <v/>
      </c>
      <c r="Y284" s="12">
        <f>IFERROR(R284/AR284,0)</f>
        <v/>
      </c>
      <c r="Z284" s="9" t="inlineStr">
        <is>
          <t>待执行</t>
        </is>
      </c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12">
        <f>IF(OR(R284="",R284-AP284&lt;=0),"",AO284/(R284-AP284))</f>
        <v/>
      </c>
      <c r="AM284" s="11">
        <f>IF(R284="","",SUM(AC284:AF284)-(R284-AP284))</f>
        <v/>
      </c>
      <c r="AN284" s="11">
        <f>IF(R284="","",SUM(S284:W284)+AP284-R284)</f>
        <v/>
      </c>
      <c r="AO284" s="9" t="n"/>
      <c r="AP284" s="9" t="n"/>
      <c r="AQ284" s="27" t="inlineStr">
        <is>
          <t>FB05-a 提前complete；FB05-b 丢失done；FB05-c 丢失真实FP exception；FB05-d 伪造exception</t>
        </is>
      </c>
      <c r="AR284" s="39" t="n"/>
      <c r="AS284" s="39">
        <f>IFERROR(AR284/Q284,0)</f>
        <v/>
      </c>
      <c r="AT284" s="39" t="n">
        <v>30</v>
      </c>
      <c r="AU284" s="39" t="n">
        <v>385</v>
      </c>
      <c r="AV284" s="39" t="inlineStr">
        <is>
          <t>常规</t>
        </is>
      </c>
      <c r="AW284" s="39" t="inlineStr">
        <is>
          <t>累计至少385，不机械扩展到2401</t>
        </is>
      </c>
    </row>
    <row r="285" ht="118.0500030517578" customHeight="1">
      <c r="A285" s="6" t="inlineStr">
        <is>
          <t>FB05-F6-W13</t>
        </is>
      </c>
      <c r="B285" s="6" t="inlineStr">
        <is>
          <t>FB05</t>
        </is>
      </c>
      <c r="C285" s="6" t="inlineStr">
        <is>
          <t>FP/SIMD Dispatch/ROB</t>
        </is>
      </c>
      <c r="D285" s="6" t="inlineStr">
        <is>
          <t>ROB complete/done、FP exception pending和canCommit状态。</t>
        </is>
      </c>
      <c r="E285" s="6" t="inlineStr">
        <is>
          <t>状态</t>
        </is>
      </c>
      <c r="F285" s="6" t="inlineStr">
        <is>
          <t>提前complete、丢失done、丢失真实FP exception或伪造exception。清零、伪造、提前置位和延后清除分成独立子模型，每次运行只改变一种状态转移；记录前后状态机轨迹和关联动态指令。仅当错误状态参与仲裁/转移时计activated。触发：FP/SIMD uop即将完成或产生异常。</t>
        </is>
      </c>
      <c r="G285" s="6" t="inlineStr">
        <is>
          <t>F6</t>
        </is>
      </c>
      <c r="H285" s="6" t="inlineStr">
        <is>
          <t>首次出现指定稀有事件时注入1次，保证结构化模型被激活</t>
        </is>
      </c>
      <c r="I285" s="6" t="inlineStr">
        <is>
          <t>W13 FP-ExceptionRecovery</t>
        </is>
      </c>
      <c r="J285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285" s="6" t="inlineStr">
        <is>
          <t>FP/SIMD uop即将完成或产生异常</t>
        </is>
      </c>
      <c r="L285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85" s="6" t="inlineStr">
        <is>
          <t>提前complete可能提交旧值；丢失exception可形成静默数值/FPSR错误；伪造exception多为Crash</t>
        </is>
      </c>
      <c r="N285" s="6" t="inlineStr">
        <is>
          <t>覆盖FP特有异常与ROB提交门控</t>
        </is>
      </c>
      <c r="O285" s="6" t="inlineStr">
        <is>
          <t>本方案结构化模型</t>
        </is>
      </c>
      <c r="P285" s="9" t="n"/>
      <c r="Q285" s="9" t="n"/>
      <c r="R285" s="9" t="n"/>
      <c r="S285" s="9" t="n"/>
      <c r="T285" s="9" t="n"/>
      <c r="U285" s="9" t="n"/>
      <c r="V285" s="9" t="n"/>
      <c r="W285" s="9" t="n"/>
      <c r="X285" s="12">
        <f>IF(OR(R285="",R285-AP285&lt;=0),"",AB285/(R285-AP285))</f>
        <v/>
      </c>
      <c r="Y285" s="12">
        <f>IFERROR(R285/AR285,0)</f>
        <v/>
      </c>
      <c r="Z285" s="9" t="inlineStr">
        <is>
          <t>待执行</t>
        </is>
      </c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12">
        <f>IF(OR(R285="",R285-AP285&lt;=0),"",AO285/(R285-AP285))</f>
        <v/>
      </c>
      <c r="AM285" s="11">
        <f>IF(R285="","",SUM(AC285:AF285)-(R285-AP285))</f>
        <v/>
      </c>
      <c r="AN285" s="11">
        <f>IF(R285="","",SUM(S285:W285)+AP285-R285)</f>
        <v/>
      </c>
      <c r="AO285" s="9" t="n"/>
      <c r="AP285" s="9" t="n"/>
      <c r="AQ285" s="27" t="inlineStr">
        <is>
          <t>FB05-a 提前complete；FB05-b 丢失done；FB05-c 丢失真实FP exception；FB05-d 伪造exception</t>
        </is>
      </c>
      <c r="AR285" s="39" t="n"/>
      <c r="AS285" s="39">
        <f>IFERROR(AR285/Q285,0)</f>
        <v/>
      </c>
      <c r="AT285" s="39" t="n">
        <v>30</v>
      </c>
      <c r="AU285" s="39" t="n">
        <v>2401</v>
      </c>
      <c r="AV285" s="39" t="inlineStr">
        <is>
          <t>预登记重点</t>
        </is>
      </c>
      <c r="AW285" s="39" t="inlineStr">
        <is>
          <t>累计2401（含pilot与前385），不得序贯停止</t>
        </is>
      </c>
    </row>
    <row r="286" ht="118.0500030517578" customHeight="1">
      <c r="A286" s="6" t="inlineStr">
        <is>
          <t>FB06-F0-W10</t>
        </is>
      </c>
      <c r="B286" s="6" t="inlineStr">
        <is>
          <t>FB06</t>
        </is>
      </c>
      <c r="C286" s="6" t="inlineStr">
        <is>
          <t>FP/SIMD Dispatch/ROB</t>
        </is>
      </c>
      <c r="D286" s="6" t="inlineStr">
        <is>
          <t>FU完成事件携带的ROB index、物理目的tag和动态指令ID。</t>
        </is>
      </c>
      <c r="E286" s="6" t="inlineStr">
        <is>
          <t>换值</t>
        </is>
      </c>
      <c r="F286" s="6" t="inlineStr">
        <is>
          <t>把完成事件配到另一在飞且类型兼容的FP/SIMD entry/tag。从当前有效且生命周期合法的候选集合中选择另一个合法值；禁止空闲、越界或编码非法候选。保存source/target和候选集大小。仅当替换值被消费时计activated。触发：至少两个FP/SIMD操作同时在飞。</t>
        </is>
      </c>
      <c r="G286" s="6" t="inlineStr">
        <is>
          <t>F0</t>
        </is>
      </c>
      <c r="H286" s="6" t="inlineStr">
        <is>
          <t>每次运行只注入1次；warm-up后在 eligible event 中均匀抽样</t>
        </is>
      </c>
      <c r="I286" s="6" t="inlineStr">
        <is>
          <t>W10 PolyBench</t>
        </is>
      </c>
      <c r="J286" s="6" t="inlineStr">
        <is>
          <t>PolyBench（公开通用）
执行定义与oracle：gemm、2mm、lu、cholesky、jacobi-2d；固定规模；输出数组逐元素/容差双校验</t>
        </is>
      </c>
      <c r="K286" s="6" t="inlineStr">
        <is>
          <t>至少两个FP/SIMD操作同时在飞</t>
        </is>
      </c>
      <c r="L286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86" s="6" t="inlineStr">
        <is>
          <t>错误配对可让一条指令早完成、另一条永不完成；若值/tag仍自洽可能静默交换结果</t>
        </is>
      </c>
      <c r="N286" s="6" t="inlineStr">
        <is>
          <t>覆盖长延迟FU返回与ROB配对</t>
        </is>
      </c>
      <c r="O286" s="6" t="inlineStr">
        <is>
          <t>本方案结构化模型</t>
        </is>
      </c>
      <c r="P286" s="9" t="n"/>
      <c r="Q286" s="9" t="n"/>
      <c r="R286" s="9" t="n"/>
      <c r="S286" s="9" t="n"/>
      <c r="T286" s="9" t="n"/>
      <c r="U286" s="9" t="n"/>
      <c r="V286" s="9" t="n"/>
      <c r="W286" s="9" t="n"/>
      <c r="X286" s="12">
        <f>IF(OR(R286="",R286-AP286&lt;=0),"",AB286/(R286-AP286))</f>
        <v/>
      </c>
      <c r="Y286" s="12">
        <f>IFERROR(R286/AR286,0)</f>
        <v/>
      </c>
      <c r="Z286" s="9" t="inlineStr">
        <is>
          <t>待执行</t>
        </is>
      </c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12">
        <f>IF(OR(R286="",R286-AP286&lt;=0),"",AO286/(R286-AP286))</f>
        <v/>
      </c>
      <c r="AM286" s="11">
        <f>IF(R286="","",SUM(AC286:AF286)-(R286-AP286))</f>
        <v/>
      </c>
      <c r="AN286" s="11">
        <f>IF(R286="","",SUM(S286:W286)+AP286-R286)</f>
        <v/>
      </c>
      <c r="AO286" s="9" t="n"/>
      <c r="AP286" s="9" t="n"/>
      <c r="AQ286" s="27" t="inlineStr">
        <is>
          <t>FB06-a ROB index配对换值；FB06-b 目的tag配对换值；FB06-c 动态指令ID配对换值</t>
        </is>
      </c>
      <c r="AR286" s="39" t="n"/>
      <c r="AS286" s="39">
        <f>IFERROR(AR286/Q286,0)</f>
        <v/>
      </c>
      <c r="AT286" s="39" t="n">
        <v>30</v>
      </c>
      <c r="AU286" s="39" t="n">
        <v>385</v>
      </c>
      <c r="AV286" s="39" t="inlineStr">
        <is>
          <t>常规</t>
        </is>
      </c>
      <c r="AW286" s="39" t="inlineStr">
        <is>
          <t>累计至少385，不机械扩展到2401</t>
        </is>
      </c>
    </row>
    <row r="287" ht="118.0500030517578" customHeight="1">
      <c r="A287" s="6" t="inlineStr">
        <is>
          <t>FB06-F0-W11</t>
        </is>
      </c>
      <c r="B287" s="6" t="inlineStr">
        <is>
          <t>FB06</t>
        </is>
      </c>
      <c r="C287" s="6" t="inlineStr">
        <is>
          <t>FP/SIMD Dispatch/ROB</t>
        </is>
      </c>
      <c r="D287" s="6" t="inlineStr">
        <is>
          <t>FU完成事件携带的ROB index、物理目的tag和动态指令ID。</t>
        </is>
      </c>
      <c r="E287" s="6" t="inlineStr">
        <is>
          <t>换值</t>
        </is>
      </c>
      <c r="F287" s="6" t="inlineStr">
        <is>
          <t>把完成事件配到另一在飞且类型兼容的FP/SIMD entry/tag。从当前有效且生命周期合法的候选集合中选择另一个合法值；禁止空闲、越界或编码非法候选。保存source/target和候选集大小。仅当替换值被消费时计activated。触发：至少两个FP/SIMD操作同时在飞。</t>
        </is>
      </c>
      <c r="G287" s="6" t="inlineStr">
        <is>
          <t>F0</t>
        </is>
      </c>
      <c r="H287" s="6" t="inlineStr">
        <is>
          <t>每次运行只注入1次；warm-up后在 eligible event 中均匀抽样</t>
        </is>
      </c>
      <c r="I287" s="6" t="inlineStr">
        <is>
          <t>W11 libjpeg-turbo-NEON</t>
        </is>
      </c>
      <c r="J287" s="6" t="inlineStr">
        <is>
          <t>libjpeg-turbo-NEON（真实应用）
执行定义与oracle：固定图像做压缩/解压，启用 AArch64 NEON；逐像素、文件 hash 和格式合法性检查</t>
        </is>
      </c>
      <c r="K287" s="6" t="inlineStr">
        <is>
          <t>至少两个FP/SIMD操作同时在飞</t>
        </is>
      </c>
      <c r="L287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87" s="6" t="inlineStr">
        <is>
          <t>错误配对可让一条指令早完成、另一条永不完成；若值/tag仍自洽可能静默交换结果</t>
        </is>
      </c>
      <c r="N287" s="6" t="inlineStr">
        <is>
          <t>覆盖长延迟FU返回与ROB配对</t>
        </is>
      </c>
      <c r="O287" s="6" t="inlineStr">
        <is>
          <t>本方案结构化模型</t>
        </is>
      </c>
      <c r="P287" s="9" t="n"/>
      <c r="Q287" s="9" t="n"/>
      <c r="R287" s="9" t="n"/>
      <c r="S287" s="9" t="n"/>
      <c r="T287" s="9" t="n"/>
      <c r="U287" s="9" t="n"/>
      <c r="V287" s="9" t="n"/>
      <c r="W287" s="9" t="n"/>
      <c r="X287" s="12">
        <f>IF(OR(R287="",R287-AP287&lt;=0),"",AB287/(R287-AP287))</f>
        <v/>
      </c>
      <c r="Y287" s="12">
        <f>IFERROR(R287/AR287,0)</f>
        <v/>
      </c>
      <c r="Z287" s="9" t="inlineStr">
        <is>
          <t>待执行</t>
        </is>
      </c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12">
        <f>IF(OR(R287="",R287-AP287&lt;=0),"",AO287/(R287-AP287))</f>
        <v/>
      </c>
      <c r="AM287" s="11">
        <f>IF(R287="","",SUM(AC287:AF287)-(R287-AP287))</f>
        <v/>
      </c>
      <c r="AN287" s="11">
        <f>IF(R287="","",SUM(S287:W287)+AP287-R287)</f>
        <v/>
      </c>
      <c r="AO287" s="9" t="n"/>
      <c r="AP287" s="9" t="n"/>
      <c r="AQ287" s="27" t="inlineStr">
        <is>
          <t>FB06-a ROB index配对换值；FB06-b 目的tag配对换值；FB06-c 动态指令ID配对换值</t>
        </is>
      </c>
      <c r="AR287" s="39" t="n"/>
      <c r="AS287" s="39">
        <f>IFERROR(AR287/Q287,0)</f>
        <v/>
      </c>
      <c r="AT287" s="39" t="n">
        <v>30</v>
      </c>
      <c r="AU287" s="39" t="n">
        <v>385</v>
      </c>
      <c r="AV287" s="39" t="inlineStr">
        <is>
          <t>常规</t>
        </is>
      </c>
      <c r="AW287" s="39" t="inlineStr">
        <is>
          <t>累计至少385，不机械扩展到2401</t>
        </is>
      </c>
    </row>
    <row r="288" ht="118.0500030517578" customHeight="1">
      <c r="A288" s="6" t="inlineStr">
        <is>
          <t>FB06-F2-W10</t>
        </is>
      </c>
      <c r="B288" s="6" t="inlineStr">
        <is>
          <t>FB06</t>
        </is>
      </c>
      <c r="C288" s="6" t="inlineStr">
        <is>
          <t>FP/SIMD Dispatch/ROB</t>
        </is>
      </c>
      <c r="D288" s="6" t="inlineStr">
        <is>
          <t>FU完成事件携带的ROB index、物理目的tag和动态指令ID。</t>
        </is>
      </c>
      <c r="E288" s="6" t="inlineStr">
        <is>
          <t>换值</t>
        </is>
      </c>
      <c r="F288" s="6" t="inlineStr">
        <is>
          <t>把完成事件配到另一在飞且类型兼容的FP/SIMD entry/tag。从当前有效且生命周期合法的候选集合中选择另一个合法值；禁止空闲、越界或编码非法候选。保存source/target和候选集大小。仅当替换值被消费时计activated。触发：至少两个FP/SIMD操作同时在飞。</t>
        </is>
      </c>
      <c r="G288" s="6" t="inlineStr">
        <is>
          <t>F2</t>
        </is>
      </c>
      <c r="H288" s="6" t="inlineStr">
        <is>
          <t>平均每100,000个 eligible events 注入1次，间隔加入±50%抖动</t>
        </is>
      </c>
      <c r="I288" s="6" t="inlineStr">
        <is>
          <t>W10 PolyBench</t>
        </is>
      </c>
      <c r="J288" s="6" t="inlineStr">
        <is>
          <t>PolyBench（公开通用）
执行定义与oracle：gemm、2mm、lu、cholesky、jacobi-2d；固定规模；输出数组逐元素/容差双校验</t>
        </is>
      </c>
      <c r="K288" s="6" t="inlineStr">
        <is>
          <t>至少两个FP/SIMD操作同时在飞</t>
        </is>
      </c>
      <c r="L288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88" s="6" t="inlineStr">
        <is>
          <t>错误配对可让一条指令早完成、另一条永不完成；若值/tag仍自洽可能静默交换结果</t>
        </is>
      </c>
      <c r="N288" s="6" t="inlineStr">
        <is>
          <t>覆盖长延迟FU返回与ROB配对</t>
        </is>
      </c>
      <c r="O288" s="6" t="inlineStr">
        <is>
          <t>本方案结构化模型</t>
        </is>
      </c>
      <c r="P288" s="9" t="n"/>
      <c r="Q288" s="9" t="n"/>
      <c r="R288" s="9" t="n"/>
      <c r="S288" s="9" t="n"/>
      <c r="T288" s="9" t="n"/>
      <c r="U288" s="9" t="n"/>
      <c r="V288" s="9" t="n"/>
      <c r="W288" s="9" t="n"/>
      <c r="X288" s="12">
        <f>IF(OR(R288="",R288-AP288&lt;=0),"",AB288/(R288-AP288))</f>
        <v/>
      </c>
      <c r="Y288" s="12">
        <f>IFERROR(R288/AR288,0)</f>
        <v/>
      </c>
      <c r="Z288" s="9" t="inlineStr">
        <is>
          <t>待执行</t>
        </is>
      </c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12">
        <f>IF(OR(R288="",R288-AP288&lt;=0),"",AO288/(R288-AP288))</f>
        <v/>
      </c>
      <c r="AM288" s="11">
        <f>IF(R288="","",SUM(AC288:AF288)-(R288-AP288))</f>
        <v/>
      </c>
      <c r="AN288" s="11">
        <f>IF(R288="","",SUM(S288:W288)+AP288-R288)</f>
        <v/>
      </c>
      <c r="AO288" s="9" t="n"/>
      <c r="AP288" s="9" t="n"/>
      <c r="AQ288" s="27" t="inlineStr">
        <is>
          <t>FB06-a ROB index配对换值；FB06-b 目的tag配对换值；FB06-c 动态指令ID配对换值</t>
        </is>
      </c>
      <c r="AR288" s="39" t="n"/>
      <c r="AS288" s="39">
        <f>IFERROR(AR288/Q288,0)</f>
        <v/>
      </c>
      <c r="AT288" s="39" t="n">
        <v>30</v>
      </c>
      <c r="AU288" s="39" t="n">
        <v>385</v>
      </c>
      <c r="AV288" s="39" t="inlineStr">
        <is>
          <t>常规</t>
        </is>
      </c>
      <c r="AW288" s="39" t="inlineStr">
        <is>
          <t>累计至少385，不机械扩展到2401</t>
        </is>
      </c>
    </row>
    <row r="289" ht="118.0500030517578" customHeight="1">
      <c r="A289" s="6" t="inlineStr">
        <is>
          <t>FB06-F2-W11</t>
        </is>
      </c>
      <c r="B289" s="6" t="inlineStr">
        <is>
          <t>FB06</t>
        </is>
      </c>
      <c r="C289" s="6" t="inlineStr">
        <is>
          <t>FP/SIMD Dispatch/ROB</t>
        </is>
      </c>
      <c r="D289" s="6" t="inlineStr">
        <is>
          <t>FU完成事件携带的ROB index、物理目的tag和动态指令ID。</t>
        </is>
      </c>
      <c r="E289" s="6" t="inlineStr">
        <is>
          <t>换值</t>
        </is>
      </c>
      <c r="F289" s="6" t="inlineStr">
        <is>
          <t>把完成事件配到另一在飞且类型兼容的FP/SIMD entry/tag。从当前有效且生命周期合法的候选集合中选择另一个合法值；禁止空闲、越界或编码非法候选。保存source/target和候选集大小。仅当替换值被消费时计activated。触发：至少两个FP/SIMD操作同时在飞。</t>
        </is>
      </c>
      <c r="G289" s="6" t="inlineStr">
        <is>
          <t>F2</t>
        </is>
      </c>
      <c r="H289" s="6" t="inlineStr">
        <is>
          <t>平均每100,000个 eligible events 注入1次，间隔加入±50%抖动</t>
        </is>
      </c>
      <c r="I289" s="6" t="inlineStr">
        <is>
          <t>W11 libjpeg-turbo-NEON</t>
        </is>
      </c>
      <c r="J289" s="6" t="inlineStr">
        <is>
          <t>libjpeg-turbo-NEON（真实应用）
执行定义与oracle：固定图像做压缩/解压，启用 AArch64 NEON；逐像素、文件 hash 和格式合法性检查</t>
        </is>
      </c>
      <c r="K289" s="6" t="inlineStr">
        <is>
          <t>至少两个FP/SIMD操作同时在飞</t>
        </is>
      </c>
      <c r="L289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89" s="6" t="inlineStr">
        <is>
          <t>错误配对可让一条指令早完成、另一条永不完成；若值/tag仍自洽可能静默交换结果</t>
        </is>
      </c>
      <c r="N289" s="6" t="inlineStr">
        <is>
          <t>覆盖长延迟FU返回与ROB配对</t>
        </is>
      </c>
      <c r="O289" s="6" t="inlineStr">
        <is>
          <t>本方案结构化模型</t>
        </is>
      </c>
      <c r="P289" s="9" t="n"/>
      <c r="Q289" s="9" t="n"/>
      <c r="R289" s="9" t="n"/>
      <c r="S289" s="9" t="n"/>
      <c r="T289" s="9" t="n"/>
      <c r="U289" s="9" t="n"/>
      <c r="V289" s="9" t="n"/>
      <c r="W289" s="9" t="n"/>
      <c r="X289" s="12">
        <f>IF(OR(R289="",R289-AP289&lt;=0),"",AB289/(R289-AP289))</f>
        <v/>
      </c>
      <c r="Y289" s="12">
        <f>IFERROR(R289/AR289,0)</f>
        <v/>
      </c>
      <c r="Z289" s="9" t="inlineStr">
        <is>
          <t>待执行</t>
        </is>
      </c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12">
        <f>IF(OR(R289="",R289-AP289&lt;=0),"",AO289/(R289-AP289))</f>
        <v/>
      </c>
      <c r="AM289" s="11">
        <f>IF(R289="","",SUM(AC289:AF289)-(R289-AP289))</f>
        <v/>
      </c>
      <c r="AN289" s="11">
        <f>IF(R289="","",SUM(S289:W289)+AP289-R289)</f>
        <v/>
      </c>
      <c r="AO289" s="9" t="n"/>
      <c r="AP289" s="9" t="n"/>
      <c r="AQ289" s="27" t="inlineStr">
        <is>
          <t>FB06-a ROB index配对换值；FB06-b 目的tag配对换值；FB06-c 动态指令ID配对换值</t>
        </is>
      </c>
      <c r="AR289" s="39" t="n"/>
      <c r="AS289" s="39">
        <f>IFERROR(AR289/Q289,0)</f>
        <v/>
      </c>
      <c r="AT289" s="39" t="n">
        <v>30</v>
      </c>
      <c r="AU289" s="39" t="n">
        <v>385</v>
      </c>
      <c r="AV289" s="39" t="inlineStr">
        <is>
          <t>常规</t>
        </is>
      </c>
      <c r="AW289" s="39" t="inlineStr">
        <is>
          <t>累计至少385，不机械扩展到2401</t>
        </is>
      </c>
    </row>
    <row r="290" ht="118.0500030517578" customHeight="1">
      <c r="A290" s="6" t="inlineStr">
        <is>
          <t>FB06-F6-W10</t>
        </is>
      </c>
      <c r="B290" s="6" t="inlineStr">
        <is>
          <t>FB06</t>
        </is>
      </c>
      <c r="C290" s="6" t="inlineStr">
        <is>
          <t>FP/SIMD Dispatch/ROB</t>
        </is>
      </c>
      <c r="D290" s="6" t="inlineStr">
        <is>
          <t>FU完成事件携带的ROB index、物理目的tag和动态指令ID。</t>
        </is>
      </c>
      <c r="E290" s="6" t="inlineStr">
        <is>
          <t>换值</t>
        </is>
      </c>
      <c r="F290" s="6" t="inlineStr">
        <is>
          <t>把完成事件配到另一在飞且类型兼容的FP/SIMD entry/tag。从当前有效且生命周期合法的候选集合中选择另一个合法值；禁止空闲、越界或编码非法候选。保存source/target和候选集大小。仅当替换值被消费时计activated。触发：至少两个FP/SIMD操作同时在飞。</t>
        </is>
      </c>
      <c r="G290" s="6" t="inlineStr">
        <is>
          <t>F6</t>
        </is>
      </c>
      <c r="H290" s="6" t="inlineStr">
        <is>
          <t>首次出现指定稀有事件时注入1次，保证结构化模型被激活</t>
        </is>
      </c>
      <c r="I290" s="6" t="inlineStr">
        <is>
          <t>W10 PolyBench</t>
        </is>
      </c>
      <c r="J290" s="6" t="inlineStr">
        <is>
          <t>PolyBench（公开通用）
执行定义与oracle：gemm、2mm、lu、cholesky、jacobi-2d；固定规模；输出数组逐元素/容差双校验</t>
        </is>
      </c>
      <c r="K290" s="6" t="inlineStr">
        <is>
          <t>至少两个FP/SIMD操作同时在飞</t>
        </is>
      </c>
      <c r="L290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90" s="6" t="inlineStr">
        <is>
          <t>错误配对可让一条指令早完成、另一条永不完成；若值/tag仍自洽可能静默交换结果</t>
        </is>
      </c>
      <c r="N290" s="6" t="inlineStr">
        <is>
          <t>覆盖长延迟FU返回与ROB配对</t>
        </is>
      </c>
      <c r="O290" s="6" t="inlineStr">
        <is>
          <t>本方案结构化模型</t>
        </is>
      </c>
      <c r="P290" s="9" t="n"/>
      <c r="Q290" s="9" t="n"/>
      <c r="R290" s="9" t="n"/>
      <c r="S290" s="9" t="n"/>
      <c r="T290" s="9" t="n"/>
      <c r="U290" s="9" t="n"/>
      <c r="V290" s="9" t="n"/>
      <c r="W290" s="9" t="n"/>
      <c r="X290" s="12">
        <f>IF(OR(R290="",R290-AP290&lt;=0),"",AB290/(R290-AP290))</f>
        <v/>
      </c>
      <c r="Y290" s="12">
        <f>IFERROR(R290/AR290,0)</f>
        <v/>
      </c>
      <c r="Z290" s="9" t="inlineStr">
        <is>
          <t>待执行</t>
        </is>
      </c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12">
        <f>IF(OR(R290="",R290-AP290&lt;=0),"",AO290/(R290-AP290))</f>
        <v/>
      </c>
      <c r="AM290" s="11">
        <f>IF(R290="","",SUM(AC290:AF290)-(R290-AP290))</f>
        <v/>
      </c>
      <c r="AN290" s="11">
        <f>IF(R290="","",SUM(S290:W290)+AP290-R290)</f>
        <v/>
      </c>
      <c r="AO290" s="9" t="n"/>
      <c r="AP290" s="9" t="n"/>
      <c r="AQ290" s="27" t="inlineStr">
        <is>
          <t>FB06-a ROB index配对换值；FB06-b 目的tag配对换值；FB06-c 动态指令ID配对换值</t>
        </is>
      </c>
      <c r="AR290" s="39" t="n"/>
      <c r="AS290" s="39">
        <f>IFERROR(AR290/Q290,0)</f>
        <v/>
      </c>
      <c r="AT290" s="39" t="n">
        <v>30</v>
      </c>
      <c r="AU290" s="39" t="n">
        <v>385</v>
      </c>
      <c r="AV290" s="39" t="inlineStr">
        <is>
          <t>常规</t>
        </is>
      </c>
      <c r="AW290" s="39" t="inlineStr">
        <is>
          <t>累计至少385，不机械扩展到2401</t>
        </is>
      </c>
    </row>
    <row r="291" ht="118.0500030517578" customHeight="1">
      <c r="A291" s="6" t="inlineStr">
        <is>
          <t>FB06-F6-W11</t>
        </is>
      </c>
      <c r="B291" s="6" t="inlineStr">
        <is>
          <t>FB06</t>
        </is>
      </c>
      <c r="C291" s="6" t="inlineStr">
        <is>
          <t>FP/SIMD Dispatch/ROB</t>
        </is>
      </c>
      <c r="D291" s="6" t="inlineStr">
        <is>
          <t>FU完成事件携带的ROB index、物理目的tag和动态指令ID。</t>
        </is>
      </c>
      <c r="E291" s="6" t="inlineStr">
        <is>
          <t>换值</t>
        </is>
      </c>
      <c r="F291" s="6" t="inlineStr">
        <is>
          <t>把完成事件配到另一在飞且类型兼容的FP/SIMD entry/tag。从当前有效且生命周期合法的候选集合中选择另一个合法值；禁止空闲、越界或编码非法候选。保存source/target和候选集大小。仅当替换值被消费时计activated。触发：至少两个FP/SIMD操作同时在飞。</t>
        </is>
      </c>
      <c r="G291" s="6" t="inlineStr">
        <is>
          <t>F6</t>
        </is>
      </c>
      <c r="H291" s="6" t="inlineStr">
        <is>
          <t>首次出现指定稀有事件时注入1次，保证结构化模型被激活</t>
        </is>
      </c>
      <c r="I291" s="6" t="inlineStr">
        <is>
          <t>W11 libjpeg-turbo-NEON</t>
        </is>
      </c>
      <c r="J291" s="6" t="inlineStr">
        <is>
          <t>libjpeg-turbo-NEON（真实应用）
执行定义与oracle：固定图像做压缩/解压，启用 AArch64 NEON；逐像素、文件 hash 和格式合法性检查</t>
        </is>
      </c>
      <c r="K291" s="6" t="inlineStr">
        <is>
          <t>至少两个FP/SIMD操作同时在飞</t>
        </is>
      </c>
      <c r="L291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91" s="6" t="inlineStr">
        <is>
          <t>错误配对可让一条指令早完成、另一条永不完成；若值/tag仍自洽可能静默交换结果</t>
        </is>
      </c>
      <c r="N291" s="6" t="inlineStr">
        <is>
          <t>覆盖长延迟FU返回与ROB配对</t>
        </is>
      </c>
      <c r="O291" s="6" t="inlineStr">
        <is>
          <t>本方案结构化模型</t>
        </is>
      </c>
      <c r="P291" s="9" t="n"/>
      <c r="Q291" s="9" t="n"/>
      <c r="R291" s="9" t="n"/>
      <c r="S291" s="9" t="n"/>
      <c r="T291" s="9" t="n"/>
      <c r="U291" s="9" t="n"/>
      <c r="V291" s="9" t="n"/>
      <c r="W291" s="9" t="n"/>
      <c r="X291" s="12">
        <f>IF(OR(R291="",R291-AP291&lt;=0),"",AB291/(R291-AP291))</f>
        <v/>
      </c>
      <c r="Y291" s="12">
        <f>IFERROR(R291/AR291,0)</f>
        <v/>
      </c>
      <c r="Z291" s="9" t="inlineStr">
        <is>
          <t>待执行</t>
        </is>
      </c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12">
        <f>IF(OR(R291="",R291-AP291&lt;=0),"",AO291/(R291-AP291))</f>
        <v/>
      </c>
      <c r="AM291" s="11">
        <f>IF(R291="","",SUM(AC291:AF291)-(R291-AP291))</f>
        <v/>
      </c>
      <c r="AN291" s="11">
        <f>IF(R291="","",SUM(S291:W291)+AP291-R291)</f>
        <v/>
      </c>
      <c r="AO291" s="9" t="n"/>
      <c r="AP291" s="9" t="n"/>
      <c r="AQ291" s="27" t="inlineStr">
        <is>
          <t>FB06-a ROB index配对换值；FB06-b 目的tag配对换值；FB06-c 动态指令ID配对换值</t>
        </is>
      </c>
      <c r="AR291" s="39" t="n"/>
      <c r="AS291" s="39">
        <f>IFERROR(AR291/Q291,0)</f>
        <v/>
      </c>
      <c r="AT291" s="39" t="n">
        <v>30</v>
      </c>
      <c r="AU291" s="39" t="n">
        <v>385</v>
      </c>
      <c r="AV291" s="39" t="inlineStr">
        <is>
          <t>常规</t>
        </is>
      </c>
      <c r="AW291" s="39" t="inlineStr">
        <is>
          <t>累计至少385，不机械扩展到2401</t>
        </is>
      </c>
    </row>
    <row r="292" ht="118.0500030517578" customHeight="1">
      <c r="A292" s="6" t="inlineStr">
        <is>
          <t>FB07-F0-W9</t>
        </is>
      </c>
      <c r="B292" s="6" t="inlineStr">
        <is>
          <t>FB07</t>
        </is>
      </c>
      <c r="C292" s="6" t="inlineStr">
        <is>
          <t>FP/SIMD Dispatch/ROB</t>
        </is>
      </c>
      <c r="D292" s="6" t="inlineStr">
        <is>
          <t>writeback lane mask、element-enable和目的物理tag。</t>
        </is>
      </c>
      <c r="E292" s="6" t="inlineStr">
        <is>
          <t>错位拼接</t>
        </is>
      </c>
      <c r="F292" s="6" t="inlineStr">
        <is>
          <t>lane mask循环移位/互换，或把新结果的一部分lane与旧PRF值拼接；保持128-bit完整。仅当受影响lane随后被读或提交时activated。</t>
        </is>
      </c>
      <c r="G292" s="6" t="inlineStr">
        <is>
          <t>F0</t>
        </is>
      </c>
      <c r="H292" s="6" t="inlineStr">
        <is>
          <t>每次运行只注入1次；warm-up后在 eligible event 中均匀抽样</t>
        </is>
      </c>
      <c r="I292" s="6" t="inlineStr">
        <is>
          <t>W9 NEON-LaneProbe</t>
        </is>
      </c>
      <c r="J292" s="6" t="inlineStr">
        <is>
          <t>NEON-LaneProbe（自设定向负载）
执行定义与oracle：8/16/32/64-bit lane、整数/浮点 AdvSIMD、lane extract/insert、widen/narrow、permute、reduce；逐 lane 比对</t>
        </is>
      </c>
      <c r="K292" s="6" t="inlineStr">
        <is>
          <t>向量writeback且lane mask非平凡</t>
        </is>
      </c>
      <c r="L292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92" s="6" t="inlineStr">
        <is>
          <t>产生半新半旧或lane错位向量，应用可能正常完成但结果错误，预期SDC高</t>
        </is>
      </c>
      <c r="N292" s="6" t="inlineStr">
        <is>
          <t>SIMD写回路径的专属结构化模型</t>
        </is>
      </c>
      <c r="O292" s="6" t="inlineStr">
        <is>
          <t>本方案结构化模型</t>
        </is>
      </c>
      <c r="P292" s="9" t="n"/>
      <c r="Q292" s="9" t="n"/>
      <c r="R292" s="9" t="n"/>
      <c r="S292" s="9" t="n"/>
      <c r="T292" s="9" t="n"/>
      <c r="U292" s="9" t="n"/>
      <c r="V292" s="9" t="n"/>
      <c r="W292" s="9" t="n"/>
      <c r="X292" s="12">
        <f>IF(OR(R292="",R292-AP292&lt;=0),"",AB292/(R292-AP292))</f>
        <v/>
      </c>
      <c r="Y292" s="12">
        <f>IFERROR(R292/AR292,0)</f>
        <v/>
      </c>
      <c r="Z292" s="9" t="inlineStr">
        <is>
          <t>待执行</t>
        </is>
      </c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12">
        <f>IF(OR(R292="",R292-AP292&lt;=0),"",AO292/(R292-AP292))</f>
        <v/>
      </c>
      <c r="AM292" s="11">
        <f>IF(R292="","",SUM(AC292:AF292)-(R292-AP292))</f>
        <v/>
      </c>
      <c r="AN292" s="11">
        <f>IF(R292="","",SUM(S292:W292)+AP292-R292)</f>
        <v/>
      </c>
      <c r="AO292" s="9" t="n"/>
      <c r="AP292" s="9" t="n"/>
      <c r="AQ292" s="27" t="inlineStr">
        <is>
          <t>FB07-a lane mask循环移位；FB07-b lane mask互换；FB07-c element-enable错位；FB07-d 新旧lane错误拼接</t>
        </is>
      </c>
      <c r="AR292" s="39" t="n"/>
      <c r="AS292" s="39">
        <f>IFERROR(AR292/Q292,0)</f>
        <v/>
      </c>
      <c r="AT292" s="39" t="n">
        <v>30</v>
      </c>
      <c r="AU292" s="39" t="n">
        <v>385</v>
      </c>
      <c r="AV292" s="39" t="inlineStr">
        <is>
          <t>常规</t>
        </is>
      </c>
      <c r="AW292" s="39" t="inlineStr">
        <is>
          <t>累计至少385，不机械扩展到2401</t>
        </is>
      </c>
    </row>
    <row r="293" ht="118.0500030517578" customHeight="1">
      <c r="A293" s="6" t="inlineStr">
        <is>
          <t>FB07-F0-W11</t>
        </is>
      </c>
      <c r="B293" s="6" t="inlineStr">
        <is>
          <t>FB07</t>
        </is>
      </c>
      <c r="C293" s="6" t="inlineStr">
        <is>
          <t>FP/SIMD Dispatch/ROB</t>
        </is>
      </c>
      <c r="D293" s="6" t="inlineStr">
        <is>
          <t>writeback lane mask、element-enable和目的物理tag。</t>
        </is>
      </c>
      <c r="E293" s="6" t="inlineStr">
        <is>
          <t>错位拼接</t>
        </is>
      </c>
      <c r="F293" s="6" t="inlineStr">
        <is>
          <t>lane mask循环移位/互换，或把新结果的一部分lane与旧PRF值拼接；保持128-bit完整。仅当受影响lane随后被读或提交时activated。</t>
        </is>
      </c>
      <c r="G293" s="6" t="inlineStr">
        <is>
          <t>F0</t>
        </is>
      </c>
      <c r="H293" s="6" t="inlineStr">
        <is>
          <t>每次运行只注入1次；warm-up后在 eligible event 中均匀抽样</t>
        </is>
      </c>
      <c r="I293" s="6" t="inlineStr">
        <is>
          <t>W11 libjpeg-turbo-NEON</t>
        </is>
      </c>
      <c r="J293" s="6" t="inlineStr">
        <is>
          <t>libjpeg-turbo-NEON（真实应用）
执行定义与oracle：固定图像做压缩/解压，启用 AArch64 NEON；逐像素、文件 hash 和格式合法性检查</t>
        </is>
      </c>
      <c r="K293" s="6" t="inlineStr">
        <is>
          <t>向量writeback且lane mask非平凡</t>
        </is>
      </c>
      <c r="L293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93" s="6" t="inlineStr">
        <is>
          <t>产生半新半旧或lane错位向量，应用可能正常完成但结果错误，预期SDC高</t>
        </is>
      </c>
      <c r="N293" s="6" t="inlineStr">
        <is>
          <t>SIMD写回路径的专属结构化模型</t>
        </is>
      </c>
      <c r="O293" s="6" t="inlineStr">
        <is>
          <t>本方案结构化模型</t>
        </is>
      </c>
      <c r="P293" s="9" t="n"/>
      <c r="Q293" s="9" t="n"/>
      <c r="R293" s="9" t="n"/>
      <c r="S293" s="9" t="n"/>
      <c r="T293" s="9" t="n"/>
      <c r="U293" s="9" t="n"/>
      <c r="V293" s="9" t="n"/>
      <c r="W293" s="9" t="n"/>
      <c r="X293" s="12">
        <f>IF(OR(R293="",R293-AP293&lt;=0),"",AB293/(R293-AP293))</f>
        <v/>
      </c>
      <c r="Y293" s="12">
        <f>IFERROR(R293/AR293,0)</f>
        <v/>
      </c>
      <c r="Z293" s="9" t="inlineStr">
        <is>
          <t>待执行</t>
        </is>
      </c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12">
        <f>IF(OR(R293="",R293-AP293&lt;=0),"",AO293/(R293-AP293))</f>
        <v/>
      </c>
      <c r="AM293" s="11">
        <f>IF(R293="","",SUM(AC293:AF293)-(R293-AP293))</f>
        <v/>
      </c>
      <c r="AN293" s="11">
        <f>IF(R293="","",SUM(S293:W293)+AP293-R293)</f>
        <v/>
      </c>
      <c r="AO293" s="9" t="n"/>
      <c r="AP293" s="9" t="n"/>
      <c r="AQ293" s="27" t="inlineStr">
        <is>
          <t>FB07-a lane mask循环移位；FB07-b lane mask互换；FB07-c element-enable错位；FB07-d 新旧lane错误拼接</t>
        </is>
      </c>
      <c r="AR293" s="39" t="n"/>
      <c r="AS293" s="39">
        <f>IFERROR(AR293/Q293,0)</f>
        <v/>
      </c>
      <c r="AT293" s="39" t="n">
        <v>30</v>
      </c>
      <c r="AU293" s="39" t="n">
        <v>385</v>
      </c>
      <c r="AV293" s="39" t="inlineStr">
        <is>
          <t>常规</t>
        </is>
      </c>
      <c r="AW293" s="39" t="inlineStr">
        <is>
          <t>累计至少385，不机械扩展到2401</t>
        </is>
      </c>
    </row>
    <row r="294" ht="118.0500030517578" customHeight="1">
      <c r="A294" s="6" t="inlineStr">
        <is>
          <t>FB07-F2-W9</t>
        </is>
      </c>
      <c r="B294" s="6" t="inlineStr">
        <is>
          <t>FB07</t>
        </is>
      </c>
      <c r="C294" s="6" t="inlineStr">
        <is>
          <t>FP/SIMD Dispatch/ROB</t>
        </is>
      </c>
      <c r="D294" s="6" t="inlineStr">
        <is>
          <t>writeback lane mask、element-enable和目的物理tag。</t>
        </is>
      </c>
      <c r="E294" s="6" t="inlineStr">
        <is>
          <t>错位拼接</t>
        </is>
      </c>
      <c r="F294" s="6" t="inlineStr">
        <is>
          <t>lane mask循环移位/互换，或把新结果的一部分lane与旧PRF值拼接；保持128-bit完整。仅当受影响lane随后被读或提交时activated。</t>
        </is>
      </c>
      <c r="G294" s="6" t="inlineStr">
        <is>
          <t>F2</t>
        </is>
      </c>
      <c r="H294" s="6" t="inlineStr">
        <is>
          <t>平均每100,000个 eligible events 注入1次，间隔加入±50%抖动</t>
        </is>
      </c>
      <c r="I294" s="6" t="inlineStr">
        <is>
          <t>W9 NEON-LaneProbe</t>
        </is>
      </c>
      <c r="J294" s="6" t="inlineStr">
        <is>
          <t>NEON-LaneProbe（自设定向负载）
执行定义与oracle：8/16/32/64-bit lane、整数/浮点 AdvSIMD、lane extract/insert、widen/narrow、permute、reduce；逐 lane 比对</t>
        </is>
      </c>
      <c r="K294" s="6" t="inlineStr">
        <is>
          <t>向量writeback且lane mask非平凡</t>
        </is>
      </c>
      <c r="L294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94" s="6" t="inlineStr">
        <is>
          <t>产生半新半旧或lane错位向量，应用可能正常完成但结果错误，预期SDC高</t>
        </is>
      </c>
      <c r="N294" s="6" t="inlineStr">
        <is>
          <t>SIMD写回路径的专属结构化模型</t>
        </is>
      </c>
      <c r="O294" s="6" t="inlineStr">
        <is>
          <t>本方案结构化模型</t>
        </is>
      </c>
      <c r="P294" s="9" t="n"/>
      <c r="Q294" s="9" t="n"/>
      <c r="R294" s="9" t="n"/>
      <c r="S294" s="9" t="n"/>
      <c r="T294" s="9" t="n"/>
      <c r="U294" s="9" t="n"/>
      <c r="V294" s="9" t="n"/>
      <c r="W294" s="9" t="n"/>
      <c r="X294" s="12">
        <f>IF(OR(R294="",R294-AP294&lt;=0),"",AB294/(R294-AP294))</f>
        <v/>
      </c>
      <c r="Y294" s="12">
        <f>IFERROR(R294/AR294,0)</f>
        <v/>
      </c>
      <c r="Z294" s="9" t="inlineStr">
        <is>
          <t>待执行</t>
        </is>
      </c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12">
        <f>IF(OR(R294="",R294-AP294&lt;=0),"",AO294/(R294-AP294))</f>
        <v/>
      </c>
      <c r="AM294" s="11">
        <f>IF(R294="","",SUM(AC294:AF294)-(R294-AP294))</f>
        <v/>
      </c>
      <c r="AN294" s="11">
        <f>IF(R294="","",SUM(S294:W294)+AP294-R294)</f>
        <v/>
      </c>
      <c r="AO294" s="9" t="n"/>
      <c r="AP294" s="9" t="n"/>
      <c r="AQ294" s="27" t="inlineStr">
        <is>
          <t>FB07-a lane mask循环移位；FB07-b lane mask互换；FB07-c element-enable错位；FB07-d 新旧lane错误拼接</t>
        </is>
      </c>
      <c r="AR294" s="39" t="n"/>
      <c r="AS294" s="39">
        <f>IFERROR(AR294/Q294,0)</f>
        <v/>
      </c>
      <c r="AT294" s="39" t="n">
        <v>30</v>
      </c>
      <c r="AU294" s="39" t="n">
        <v>385</v>
      </c>
      <c r="AV294" s="39" t="inlineStr">
        <is>
          <t>常规</t>
        </is>
      </c>
      <c r="AW294" s="39" t="inlineStr">
        <is>
          <t>累计至少385，不机械扩展到2401</t>
        </is>
      </c>
    </row>
    <row r="295" ht="118.0500030517578" customHeight="1">
      <c r="A295" s="6" t="inlineStr">
        <is>
          <t>FB07-F2-W11</t>
        </is>
      </c>
      <c r="B295" s="6" t="inlineStr">
        <is>
          <t>FB07</t>
        </is>
      </c>
      <c r="C295" s="6" t="inlineStr">
        <is>
          <t>FP/SIMD Dispatch/ROB</t>
        </is>
      </c>
      <c r="D295" s="6" t="inlineStr">
        <is>
          <t>writeback lane mask、element-enable和目的物理tag。</t>
        </is>
      </c>
      <c r="E295" s="6" t="inlineStr">
        <is>
          <t>错位拼接</t>
        </is>
      </c>
      <c r="F295" s="6" t="inlineStr">
        <is>
          <t>lane mask循环移位/互换，或把新结果的一部分lane与旧PRF值拼接；保持128-bit完整。仅当受影响lane随后被读或提交时activated。</t>
        </is>
      </c>
      <c r="G295" s="6" t="inlineStr">
        <is>
          <t>F2</t>
        </is>
      </c>
      <c r="H295" s="6" t="inlineStr">
        <is>
          <t>平均每100,000个 eligible events 注入1次，间隔加入±50%抖动</t>
        </is>
      </c>
      <c r="I295" s="6" t="inlineStr">
        <is>
          <t>W11 libjpeg-turbo-NEON</t>
        </is>
      </c>
      <c r="J295" s="6" t="inlineStr">
        <is>
          <t>libjpeg-turbo-NEON（真实应用）
执行定义与oracle：固定图像做压缩/解压，启用 AArch64 NEON；逐像素、文件 hash 和格式合法性检查</t>
        </is>
      </c>
      <c r="K295" s="6" t="inlineStr">
        <is>
          <t>向量writeback且lane mask非平凡</t>
        </is>
      </c>
      <c r="L295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95" s="6" t="inlineStr">
        <is>
          <t>产生半新半旧或lane错位向量，应用可能正常完成但结果错误，预期SDC高</t>
        </is>
      </c>
      <c r="N295" s="6" t="inlineStr">
        <is>
          <t>SIMD写回路径的专属结构化模型</t>
        </is>
      </c>
      <c r="O295" s="6" t="inlineStr">
        <is>
          <t>本方案结构化模型</t>
        </is>
      </c>
      <c r="P295" s="9" t="n"/>
      <c r="Q295" s="9" t="n"/>
      <c r="R295" s="9" t="n"/>
      <c r="S295" s="9" t="n"/>
      <c r="T295" s="9" t="n"/>
      <c r="U295" s="9" t="n"/>
      <c r="V295" s="9" t="n"/>
      <c r="W295" s="9" t="n"/>
      <c r="X295" s="12">
        <f>IF(OR(R295="",R295-AP295&lt;=0),"",AB295/(R295-AP295))</f>
        <v/>
      </c>
      <c r="Y295" s="12">
        <f>IFERROR(R295/AR295,0)</f>
        <v/>
      </c>
      <c r="Z295" s="9" t="inlineStr">
        <is>
          <t>待执行</t>
        </is>
      </c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12">
        <f>IF(OR(R295="",R295-AP295&lt;=0),"",AO295/(R295-AP295))</f>
        <v/>
      </c>
      <c r="AM295" s="11">
        <f>IF(R295="","",SUM(AC295:AF295)-(R295-AP295))</f>
        <v/>
      </c>
      <c r="AN295" s="11">
        <f>IF(R295="","",SUM(S295:W295)+AP295-R295)</f>
        <v/>
      </c>
      <c r="AO295" s="9" t="n"/>
      <c r="AP295" s="9" t="n"/>
      <c r="AQ295" s="27" t="inlineStr">
        <is>
          <t>FB07-a lane mask循环移位；FB07-b lane mask互换；FB07-c element-enable错位；FB07-d 新旧lane错误拼接</t>
        </is>
      </c>
      <c r="AR295" s="39" t="n"/>
      <c r="AS295" s="39">
        <f>IFERROR(AR295/Q295,0)</f>
        <v/>
      </c>
      <c r="AT295" s="39" t="n">
        <v>30</v>
      </c>
      <c r="AU295" s="39" t="n">
        <v>385</v>
      </c>
      <c r="AV295" s="39" t="inlineStr">
        <is>
          <t>常规</t>
        </is>
      </c>
      <c r="AW295" s="39" t="inlineStr">
        <is>
          <t>累计至少385，不机械扩展到2401</t>
        </is>
      </c>
    </row>
    <row r="296" ht="118.0500030517578" customHeight="1">
      <c r="A296" s="6" t="inlineStr">
        <is>
          <t>FB07-F6-W9</t>
        </is>
      </c>
      <c r="B296" s="6" t="inlineStr">
        <is>
          <t>FB07</t>
        </is>
      </c>
      <c r="C296" s="6" t="inlineStr">
        <is>
          <t>FP/SIMD Dispatch/ROB</t>
        </is>
      </c>
      <c r="D296" s="6" t="inlineStr">
        <is>
          <t>writeback lane mask、element-enable和目的物理tag。</t>
        </is>
      </c>
      <c r="E296" s="6" t="inlineStr">
        <is>
          <t>错位拼接</t>
        </is>
      </c>
      <c r="F296" s="6" t="inlineStr">
        <is>
          <t>lane mask循环移位/互换，或把新结果的一部分lane与旧PRF值拼接；保持128-bit完整。仅当受影响lane随后被读或提交时activated。</t>
        </is>
      </c>
      <c r="G296" s="6" t="inlineStr">
        <is>
          <t>F6</t>
        </is>
      </c>
      <c r="H296" s="6" t="inlineStr">
        <is>
          <t>首次出现指定稀有事件时注入1次，保证结构化模型被激活</t>
        </is>
      </c>
      <c r="I296" s="6" t="inlineStr">
        <is>
          <t>W9 NEON-LaneProbe</t>
        </is>
      </c>
      <c r="J296" s="6" t="inlineStr">
        <is>
          <t>NEON-LaneProbe（自设定向负载）
执行定义与oracle：8/16/32/64-bit lane、整数/浮点 AdvSIMD、lane extract/insert、widen/narrow、permute、reduce；逐 lane 比对</t>
        </is>
      </c>
      <c r="K296" s="6" t="inlineStr">
        <is>
          <t>向量writeback且lane mask非平凡</t>
        </is>
      </c>
      <c r="L296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96" s="6" t="inlineStr">
        <is>
          <t>产生半新半旧或lane错位向量，应用可能正常完成但结果错误，预期SDC高</t>
        </is>
      </c>
      <c r="N296" s="6" t="inlineStr">
        <is>
          <t>SIMD写回路径的专属结构化模型</t>
        </is>
      </c>
      <c r="O296" s="6" t="inlineStr">
        <is>
          <t>本方案结构化模型</t>
        </is>
      </c>
      <c r="P296" s="9" t="n"/>
      <c r="Q296" s="9" t="n"/>
      <c r="R296" s="9" t="n"/>
      <c r="S296" s="9" t="n"/>
      <c r="T296" s="9" t="n"/>
      <c r="U296" s="9" t="n"/>
      <c r="V296" s="9" t="n"/>
      <c r="W296" s="9" t="n"/>
      <c r="X296" s="12">
        <f>IF(OR(R296="",R296-AP296&lt;=0),"",AB296/(R296-AP296))</f>
        <v/>
      </c>
      <c r="Y296" s="12">
        <f>IFERROR(R296/AR296,0)</f>
        <v/>
      </c>
      <c r="Z296" s="9" t="inlineStr">
        <is>
          <t>待执行</t>
        </is>
      </c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12">
        <f>IF(OR(R296="",R296-AP296&lt;=0),"",AO296/(R296-AP296))</f>
        <v/>
      </c>
      <c r="AM296" s="11">
        <f>IF(R296="","",SUM(AC296:AF296)-(R296-AP296))</f>
        <v/>
      </c>
      <c r="AN296" s="11">
        <f>IF(R296="","",SUM(S296:W296)+AP296-R296)</f>
        <v/>
      </c>
      <c r="AO296" s="9" t="n"/>
      <c r="AP296" s="9" t="n"/>
      <c r="AQ296" s="27" t="inlineStr">
        <is>
          <t>FB07-a lane mask循环移位；FB07-b lane mask互换；FB07-c element-enable错位；FB07-d 新旧lane错误拼接</t>
        </is>
      </c>
      <c r="AR296" s="39" t="n"/>
      <c r="AS296" s="39">
        <f>IFERROR(AR296/Q296,0)</f>
        <v/>
      </c>
      <c r="AT296" s="39" t="n">
        <v>30</v>
      </c>
      <c r="AU296" s="39" t="n">
        <v>385</v>
      </c>
      <c r="AV296" s="39" t="inlineStr">
        <is>
          <t>常规</t>
        </is>
      </c>
      <c r="AW296" s="39" t="inlineStr">
        <is>
          <t>累计至少385，不机械扩展到2401</t>
        </is>
      </c>
    </row>
    <row r="297" ht="118.0500030517578" customHeight="1">
      <c r="A297" s="6" t="inlineStr">
        <is>
          <t>FB07-F6-W11</t>
        </is>
      </c>
      <c r="B297" s="6" t="inlineStr">
        <is>
          <t>FB07</t>
        </is>
      </c>
      <c r="C297" s="6" t="inlineStr">
        <is>
          <t>FP/SIMD Dispatch/ROB</t>
        </is>
      </c>
      <c r="D297" s="6" t="inlineStr">
        <is>
          <t>writeback lane mask、element-enable和目的物理tag。</t>
        </is>
      </c>
      <c r="E297" s="6" t="inlineStr">
        <is>
          <t>错位拼接</t>
        </is>
      </c>
      <c r="F297" s="6" t="inlineStr">
        <is>
          <t>lane mask循环移位/互换，或把新结果的一部分lane与旧PRF值拼接；保持128-bit完整。仅当受影响lane随后被读或提交时activated。</t>
        </is>
      </c>
      <c r="G297" s="6" t="inlineStr">
        <is>
          <t>F6</t>
        </is>
      </c>
      <c r="H297" s="6" t="inlineStr">
        <is>
          <t>首次出现指定稀有事件时注入1次，保证结构化模型被激活</t>
        </is>
      </c>
      <c r="I297" s="6" t="inlineStr">
        <is>
          <t>W11 libjpeg-turbo-NEON</t>
        </is>
      </c>
      <c r="J297" s="6" t="inlineStr">
        <is>
          <t>libjpeg-turbo-NEON（真实应用）
执行定义与oracle：固定图像做压缩/解压，启用 AArch64 NEON；逐像素、文件 hash 和格式合法性检查</t>
        </is>
      </c>
      <c r="K297" s="6" t="inlineStr">
        <is>
          <t>向量writeback且lane mask非平凡</t>
        </is>
      </c>
      <c r="L297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97" s="6" t="inlineStr">
        <is>
          <t>产生半新半旧或lane错位向量，应用可能正常完成但结果错误，预期SDC高</t>
        </is>
      </c>
      <c r="N297" s="6" t="inlineStr">
        <is>
          <t>SIMD写回路径的专属结构化模型</t>
        </is>
      </c>
      <c r="O297" s="6" t="inlineStr">
        <is>
          <t>本方案结构化模型</t>
        </is>
      </c>
      <c r="P297" s="9" t="n"/>
      <c r="Q297" s="9" t="n"/>
      <c r="R297" s="9" t="n"/>
      <c r="S297" s="9" t="n"/>
      <c r="T297" s="9" t="n"/>
      <c r="U297" s="9" t="n"/>
      <c r="V297" s="9" t="n"/>
      <c r="W297" s="9" t="n"/>
      <c r="X297" s="12">
        <f>IF(OR(R297="",R297-AP297&lt;=0),"",AB297/(R297-AP297))</f>
        <v/>
      </c>
      <c r="Y297" s="12">
        <f>IFERROR(R297/AR297,0)</f>
        <v/>
      </c>
      <c r="Z297" s="9" t="inlineStr">
        <is>
          <t>待执行</t>
        </is>
      </c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12">
        <f>IF(OR(R297="",R297-AP297&lt;=0),"",AO297/(R297-AP297))</f>
        <v/>
      </c>
      <c r="AM297" s="11">
        <f>IF(R297="","",SUM(AC297:AF297)-(R297-AP297))</f>
        <v/>
      </c>
      <c r="AN297" s="11">
        <f>IF(R297="","",SUM(S297:W297)+AP297-R297)</f>
        <v/>
      </c>
      <c r="AO297" s="9" t="n"/>
      <c r="AP297" s="9" t="n"/>
      <c r="AQ297" s="27" t="inlineStr">
        <is>
          <t>FB07-a lane mask循环移位；FB07-b lane mask互换；FB07-c element-enable错位；FB07-d 新旧lane错误拼接</t>
        </is>
      </c>
      <c r="AR297" s="39" t="n"/>
      <c r="AS297" s="39">
        <f>IFERROR(AR297/Q297,0)</f>
        <v/>
      </c>
      <c r="AT297" s="39" t="n">
        <v>30</v>
      </c>
      <c r="AU297" s="39" t="n">
        <v>385</v>
      </c>
      <c r="AV297" s="39" t="inlineStr">
        <is>
          <t>常规</t>
        </is>
      </c>
      <c r="AW297" s="39" t="inlineStr">
        <is>
          <t>累计至少385，不机械扩展到2401</t>
        </is>
      </c>
    </row>
    <row r="298" ht="118.0500030517578" customHeight="1">
      <c r="A298" s="6" t="inlineStr">
        <is>
          <t>FB08-F0-W10</t>
        </is>
      </c>
      <c r="B298" s="6" t="inlineStr">
        <is>
          <t>FB08</t>
        </is>
      </c>
      <c r="C298" s="6" t="inlineStr">
        <is>
          <t>FP/SIMD Dispatch/ROB</t>
        </is>
      </c>
      <c r="D298" s="6" t="inlineStr">
        <is>
          <t>FP/SIMD指令相关的squash与FU取消/结果抑制事件。</t>
        </is>
      </c>
      <c r="E298" s="6" t="inlineStr">
        <is>
          <t>时序</t>
        </is>
      </c>
      <c r="F298" s="6" t="inlineStr">
        <is>
          <t>squash/取消提前、延后、丢失或重复；绑定错误路径FP操作。绑定一个动态指令/事件ID，提前、延后、丢失、重复分开执行；数据载荷保持正确。仅当下游因此读取旧值、漏发、重复或改变顺序时计activated。触发：mispredict时存在未完成FP/SIMD操作。</t>
        </is>
      </c>
      <c r="G298" s="6" t="inlineStr">
        <is>
          <t>F0</t>
        </is>
      </c>
      <c r="H298" s="6" t="inlineStr">
        <is>
          <t>每次运行只注入1次；warm-up后在 eligible event 中均匀抽样</t>
        </is>
      </c>
      <c r="I298" s="6" t="inlineStr">
        <is>
          <t>W10 PolyBench</t>
        </is>
      </c>
      <c r="J298" s="6" t="inlineStr">
        <is>
          <t>PolyBench（公开通用）
执行定义与oracle：gemm、2mm、lu、cholesky、jacobi-2d；固定规模；输出数组逐元素/容差双校验</t>
        </is>
      </c>
      <c r="K298" s="6" t="inlineStr">
        <is>
          <t>mispredict时存在未完成FP/SIMD操作</t>
        </is>
      </c>
      <c r="L298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98" s="6" t="inlineStr">
        <is>
          <t>丢失取消可能让错误路径结果写回或错误唤醒；重复取消多为性能/Timeout</t>
        </is>
      </c>
      <c r="N298" s="6" t="inlineStr">
        <is>
          <t>覆盖长延迟FP跨squash返回</t>
        </is>
      </c>
      <c r="O298" s="6" t="inlineStr">
        <is>
          <t>本方案结构化模型；MICRO24时延方法论</t>
        </is>
      </c>
      <c r="P298" s="9" t="n"/>
      <c r="Q298" s="9" t="n"/>
      <c r="R298" s="9" t="n"/>
      <c r="S298" s="9" t="n"/>
      <c r="T298" s="9" t="n"/>
      <c r="U298" s="9" t="n"/>
      <c r="V298" s="9" t="n"/>
      <c r="W298" s="9" t="n"/>
      <c r="X298" s="12">
        <f>IF(OR(R298="",R298-AP298&lt;=0),"",AB298/(R298-AP298))</f>
        <v/>
      </c>
      <c r="Y298" s="12">
        <f>IFERROR(R298/AR298,0)</f>
        <v/>
      </c>
      <c r="Z298" s="9" t="inlineStr">
        <is>
          <t>待执行</t>
        </is>
      </c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12">
        <f>IF(OR(R298="",R298-AP298&lt;=0),"",AO298/(R298-AP298))</f>
        <v/>
      </c>
      <c r="AM298" s="11">
        <f>IF(R298="","",SUM(AC298:AF298)-(R298-AP298))</f>
        <v/>
      </c>
      <c r="AN298" s="11">
        <f>IF(R298="","",SUM(S298:W298)+AP298-R298)</f>
        <v/>
      </c>
      <c r="AO298" s="9" t="n"/>
      <c r="AP298" s="9" t="n"/>
      <c r="AQ298" s="27" t="inlineStr">
        <is>
          <t>FB08-a squash提前/延后；FB08-b FU取消丢失；FB08-c 结果抑制丢失；FB08-d 取消重复</t>
        </is>
      </c>
      <c r="AR298" s="39" t="n"/>
      <c r="AS298" s="39">
        <f>IFERROR(AR298/Q298,0)</f>
        <v/>
      </c>
      <c r="AT298" s="39" t="n">
        <v>30</v>
      </c>
      <c r="AU298" s="39" t="n">
        <v>385</v>
      </c>
      <c r="AV298" s="39" t="inlineStr">
        <is>
          <t>常规</t>
        </is>
      </c>
      <c r="AW298" s="39" t="inlineStr">
        <is>
          <t>累计至少385，不机械扩展到2401</t>
        </is>
      </c>
    </row>
    <row r="299" ht="118.0500030517578" customHeight="1">
      <c r="A299" s="6" t="inlineStr">
        <is>
          <t>FB08-F0-W13</t>
        </is>
      </c>
      <c r="B299" s="6" t="inlineStr">
        <is>
          <t>FB08</t>
        </is>
      </c>
      <c r="C299" s="6" t="inlineStr">
        <is>
          <t>FP/SIMD Dispatch/ROB</t>
        </is>
      </c>
      <c r="D299" s="6" t="inlineStr">
        <is>
          <t>FP/SIMD指令相关的squash与FU取消/结果抑制事件。</t>
        </is>
      </c>
      <c r="E299" s="6" t="inlineStr">
        <is>
          <t>时序</t>
        </is>
      </c>
      <c r="F299" s="6" t="inlineStr">
        <is>
          <t>squash/取消提前、延后、丢失或重复；绑定错误路径FP操作。绑定一个动态指令/事件ID，提前、延后、丢失、重复分开执行；数据载荷保持正确。仅当下游因此读取旧值、漏发、重复或改变顺序时计activated。触发：mispredict时存在未完成FP/SIMD操作。</t>
        </is>
      </c>
      <c r="G299" s="6" t="inlineStr">
        <is>
          <t>F0</t>
        </is>
      </c>
      <c r="H299" s="6" t="inlineStr">
        <is>
          <t>每次运行只注入1次；warm-up后在 eligible event 中均匀抽样</t>
        </is>
      </c>
      <c r="I299" s="6" t="inlineStr">
        <is>
          <t>W13 FP-ExceptionRecovery</t>
        </is>
      </c>
      <c r="J299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299" s="6" t="inlineStr">
        <is>
          <t>mispredict时存在未完成FP/SIMD操作</t>
        </is>
      </c>
      <c r="L299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299" s="6" t="inlineStr">
        <is>
          <t>丢失取消可能让错误路径结果写回或错误唤醒；重复取消多为性能/Timeout</t>
        </is>
      </c>
      <c r="N299" s="6" t="inlineStr">
        <is>
          <t>覆盖长延迟FP跨squash返回</t>
        </is>
      </c>
      <c r="O299" s="6" t="inlineStr">
        <is>
          <t>本方案结构化模型；MICRO24时延方法论</t>
        </is>
      </c>
      <c r="P299" s="9" t="n"/>
      <c r="Q299" s="9" t="n"/>
      <c r="R299" s="9" t="n"/>
      <c r="S299" s="9" t="n"/>
      <c r="T299" s="9" t="n"/>
      <c r="U299" s="9" t="n"/>
      <c r="V299" s="9" t="n"/>
      <c r="W299" s="9" t="n"/>
      <c r="X299" s="12">
        <f>IF(OR(R299="",R299-AP299&lt;=0),"",AB299/(R299-AP299))</f>
        <v/>
      </c>
      <c r="Y299" s="12">
        <f>IFERROR(R299/AR299,0)</f>
        <v/>
      </c>
      <c r="Z299" s="9" t="inlineStr">
        <is>
          <t>待执行</t>
        </is>
      </c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12">
        <f>IF(OR(R299="",R299-AP299&lt;=0),"",AO299/(R299-AP299))</f>
        <v/>
      </c>
      <c r="AM299" s="11">
        <f>IF(R299="","",SUM(AC299:AF299)-(R299-AP299))</f>
        <v/>
      </c>
      <c r="AN299" s="11">
        <f>IF(R299="","",SUM(S299:W299)+AP299-R299)</f>
        <v/>
      </c>
      <c r="AO299" s="9" t="n"/>
      <c r="AP299" s="9" t="n"/>
      <c r="AQ299" s="27" t="inlineStr">
        <is>
          <t>FB08-a squash提前/延后；FB08-b FU取消丢失；FB08-c 结果抑制丢失；FB08-d 取消重复</t>
        </is>
      </c>
      <c r="AR299" s="39" t="n"/>
      <c r="AS299" s="39">
        <f>IFERROR(AR299/Q299,0)</f>
        <v/>
      </c>
      <c r="AT299" s="39" t="n">
        <v>30</v>
      </c>
      <c r="AU299" s="39" t="n">
        <v>385</v>
      </c>
      <c r="AV299" s="39" t="inlineStr">
        <is>
          <t>常规</t>
        </is>
      </c>
      <c r="AW299" s="39" t="inlineStr">
        <is>
          <t>累计至少385，不机械扩展到2401</t>
        </is>
      </c>
    </row>
    <row r="300" ht="118.0500030517578" customHeight="1">
      <c r="A300" s="6" t="inlineStr">
        <is>
          <t>FB08-F4-W10</t>
        </is>
      </c>
      <c r="B300" s="6" t="inlineStr">
        <is>
          <t>FB08</t>
        </is>
      </c>
      <c r="C300" s="6" t="inlineStr">
        <is>
          <t>FP/SIMD Dispatch/ROB</t>
        </is>
      </c>
      <c r="D300" s="6" t="inlineStr">
        <is>
          <t>FP/SIMD指令相关的squash与FU取消/结果抑制事件。</t>
        </is>
      </c>
      <c r="E300" s="6" t="inlineStr">
        <is>
          <t>时序</t>
        </is>
      </c>
      <c r="F300" s="6" t="inlineStr">
        <is>
          <t>squash/取消提前、延后、丢失或重复；绑定错误路径FP操作。绑定一个动态指令/事件ID，提前、延后、丢失、重复分开执行；数据载荷保持正确。仅当下游因此读取旧值、漏发、重复或改变顺序时计activated。触发：mispredict时存在未完成FP/SIMD操作。</t>
        </is>
      </c>
      <c r="G300" s="6" t="inlineStr">
        <is>
          <t>F4</t>
        </is>
      </c>
      <c r="H300" s="6" t="inlineStr">
        <is>
          <t>每100,000个 eligible events 触发一次，连续污染2-4个 eligible events</t>
        </is>
      </c>
      <c r="I300" s="6" t="inlineStr">
        <is>
          <t>W10 PolyBench</t>
        </is>
      </c>
      <c r="J300" s="6" t="inlineStr">
        <is>
          <t>PolyBench（公开通用）
执行定义与oracle：gemm、2mm、lu、cholesky、jacobi-2d；固定规模；输出数组逐元素/容差双校验</t>
        </is>
      </c>
      <c r="K300" s="6" t="inlineStr">
        <is>
          <t>mispredict时存在未完成FP/SIMD操作</t>
        </is>
      </c>
      <c r="L300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300" s="6" t="inlineStr">
        <is>
          <t>丢失取消可能让错误路径结果写回或错误唤醒；重复取消多为性能/Timeout</t>
        </is>
      </c>
      <c r="N300" s="6" t="inlineStr">
        <is>
          <t>覆盖长延迟FP跨squash返回</t>
        </is>
      </c>
      <c r="O300" s="6" t="inlineStr">
        <is>
          <t>本方案结构化模型；MICRO24时延方法论</t>
        </is>
      </c>
      <c r="P300" s="9" t="n"/>
      <c r="Q300" s="9" t="n"/>
      <c r="R300" s="9" t="n"/>
      <c r="S300" s="9" t="n"/>
      <c r="T300" s="9" t="n"/>
      <c r="U300" s="9" t="n"/>
      <c r="V300" s="9" t="n"/>
      <c r="W300" s="9" t="n"/>
      <c r="X300" s="12">
        <f>IF(OR(R300="",R300-AP300&lt;=0),"",AB300/(R300-AP300))</f>
        <v/>
      </c>
      <c r="Y300" s="12">
        <f>IFERROR(R300/AR300,0)</f>
        <v/>
      </c>
      <c r="Z300" s="9" t="inlineStr">
        <is>
          <t>待执行</t>
        </is>
      </c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12">
        <f>IF(OR(R300="",R300-AP300&lt;=0),"",AO300/(R300-AP300))</f>
        <v/>
      </c>
      <c r="AM300" s="11">
        <f>IF(R300="","",SUM(AC300:AF300)-(R300-AP300))</f>
        <v/>
      </c>
      <c r="AN300" s="11">
        <f>IF(R300="","",SUM(S300:W300)+AP300-R300)</f>
        <v/>
      </c>
      <c r="AO300" s="9" t="n"/>
      <c r="AP300" s="9" t="n"/>
      <c r="AQ300" s="27" t="inlineStr">
        <is>
          <t>FB08-a squash提前/延后；FB08-b FU取消丢失；FB08-c 结果抑制丢失；FB08-d 取消重复</t>
        </is>
      </c>
      <c r="AR300" s="39" t="n"/>
      <c r="AS300" s="39">
        <f>IFERROR(AR300/Q300,0)</f>
        <v/>
      </c>
      <c r="AT300" s="39" t="n">
        <v>30</v>
      </c>
      <c r="AU300" s="39" t="n">
        <v>385</v>
      </c>
      <c r="AV300" s="39" t="inlineStr">
        <is>
          <t>常规</t>
        </is>
      </c>
      <c r="AW300" s="39" t="inlineStr">
        <is>
          <t>累计至少385，不机械扩展到2401</t>
        </is>
      </c>
    </row>
    <row r="301" ht="118.0500030517578" customHeight="1">
      <c r="A301" s="6" t="inlineStr">
        <is>
          <t>FB08-F4-W13</t>
        </is>
      </c>
      <c r="B301" s="6" t="inlineStr">
        <is>
          <t>FB08</t>
        </is>
      </c>
      <c r="C301" s="6" t="inlineStr">
        <is>
          <t>FP/SIMD Dispatch/ROB</t>
        </is>
      </c>
      <c r="D301" s="6" t="inlineStr">
        <is>
          <t>FP/SIMD指令相关的squash与FU取消/结果抑制事件。</t>
        </is>
      </c>
      <c r="E301" s="6" t="inlineStr">
        <is>
          <t>时序</t>
        </is>
      </c>
      <c r="F301" s="6" t="inlineStr">
        <is>
          <t>squash/取消提前、延后、丢失或重复；绑定错误路径FP操作。绑定一个动态指令/事件ID，提前、延后、丢失、重复分开执行；数据载荷保持正确。仅当下游因此读取旧值、漏发、重复或改变顺序时计activated。触发：mispredict时存在未完成FP/SIMD操作。</t>
        </is>
      </c>
      <c r="G301" s="6" t="inlineStr">
        <is>
          <t>F4</t>
        </is>
      </c>
      <c r="H301" s="6" t="inlineStr">
        <is>
          <t>每100,000个 eligible events 触发一次，连续污染2-4个 eligible events</t>
        </is>
      </c>
      <c r="I301" s="6" t="inlineStr">
        <is>
          <t>W13 FP-ExceptionRecovery</t>
        </is>
      </c>
      <c r="J301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301" s="6" t="inlineStr">
        <is>
          <t>mispredict时存在未完成FP/SIMD操作</t>
        </is>
      </c>
      <c r="L301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301" s="6" t="inlineStr">
        <is>
          <t>丢失取消可能让错误路径结果写回或错误唤醒；重复取消多为性能/Timeout</t>
        </is>
      </c>
      <c r="N301" s="6" t="inlineStr">
        <is>
          <t>覆盖长延迟FP跨squash返回</t>
        </is>
      </c>
      <c r="O301" s="6" t="inlineStr">
        <is>
          <t>本方案结构化模型；MICRO24时延方法论</t>
        </is>
      </c>
      <c r="P301" s="9" t="n"/>
      <c r="Q301" s="9" t="n"/>
      <c r="R301" s="9" t="n"/>
      <c r="S301" s="9" t="n"/>
      <c r="T301" s="9" t="n"/>
      <c r="U301" s="9" t="n"/>
      <c r="V301" s="9" t="n"/>
      <c r="W301" s="9" t="n"/>
      <c r="X301" s="12">
        <f>IF(OR(R301="",R301-AP301&lt;=0),"",AB301/(R301-AP301))</f>
        <v/>
      </c>
      <c r="Y301" s="12">
        <f>IFERROR(R301/AR301,0)</f>
        <v/>
      </c>
      <c r="Z301" s="9" t="inlineStr">
        <is>
          <t>待执行</t>
        </is>
      </c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12">
        <f>IF(OR(R301="",R301-AP301&lt;=0),"",AO301/(R301-AP301))</f>
        <v/>
      </c>
      <c r="AM301" s="11">
        <f>IF(R301="","",SUM(AC301:AF301)-(R301-AP301))</f>
        <v/>
      </c>
      <c r="AN301" s="11">
        <f>IF(R301="","",SUM(S301:W301)+AP301-R301)</f>
        <v/>
      </c>
      <c r="AO301" s="9" t="n"/>
      <c r="AP301" s="9" t="n"/>
      <c r="AQ301" s="27" t="inlineStr">
        <is>
          <t>FB08-a squash提前/延后；FB08-b FU取消丢失；FB08-c 结果抑制丢失；FB08-d 取消重复</t>
        </is>
      </c>
      <c r="AR301" s="39" t="n"/>
      <c r="AS301" s="39">
        <f>IFERROR(AR301/Q301,0)</f>
        <v/>
      </c>
      <c r="AT301" s="39" t="n">
        <v>30</v>
      </c>
      <c r="AU301" s="39" t="n">
        <v>385</v>
      </c>
      <c r="AV301" s="39" t="inlineStr">
        <is>
          <t>常规</t>
        </is>
      </c>
      <c r="AW301" s="39" t="inlineStr">
        <is>
          <t>累计至少385，不机械扩展到2401</t>
        </is>
      </c>
    </row>
    <row r="302" ht="118.0500030517578" customHeight="1">
      <c r="A302" s="6" t="inlineStr">
        <is>
          <t>FB08-F6-W10</t>
        </is>
      </c>
      <c r="B302" s="6" t="inlineStr">
        <is>
          <t>FB08</t>
        </is>
      </c>
      <c r="C302" s="6" t="inlineStr">
        <is>
          <t>FP/SIMD Dispatch/ROB</t>
        </is>
      </c>
      <c r="D302" s="6" t="inlineStr">
        <is>
          <t>FP/SIMD指令相关的squash与FU取消/结果抑制事件。</t>
        </is>
      </c>
      <c r="E302" s="6" t="inlineStr">
        <is>
          <t>时序</t>
        </is>
      </c>
      <c r="F302" s="6" t="inlineStr">
        <is>
          <t>squash/取消提前、延后、丢失或重复；绑定错误路径FP操作。绑定一个动态指令/事件ID，提前、延后、丢失、重复分开执行；数据载荷保持正确。仅当下游因此读取旧值、漏发、重复或改变顺序时计activated。触发：mispredict时存在未完成FP/SIMD操作。</t>
        </is>
      </c>
      <c r="G302" s="6" t="inlineStr">
        <is>
          <t>F6</t>
        </is>
      </c>
      <c r="H302" s="6" t="inlineStr">
        <is>
          <t>首次出现指定稀有事件时注入1次，保证结构化模型被激活</t>
        </is>
      </c>
      <c r="I302" s="6" t="inlineStr">
        <is>
          <t>W10 PolyBench</t>
        </is>
      </c>
      <c r="J302" s="6" t="inlineStr">
        <is>
          <t>PolyBench（公开通用）
执行定义与oracle：gemm、2mm、lu、cholesky、jacobi-2d；固定规模；输出数组逐元素/容差双校验</t>
        </is>
      </c>
      <c r="K302" s="6" t="inlineStr">
        <is>
          <t>mispredict时存在未完成FP/SIMD操作</t>
        </is>
      </c>
      <c r="L302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302" s="6" t="inlineStr">
        <is>
          <t>丢失取消可能让错误路径结果写回或错误唤醒；重复取消多为性能/Timeout</t>
        </is>
      </c>
      <c r="N302" s="6" t="inlineStr">
        <is>
          <t>覆盖长延迟FP跨squash返回</t>
        </is>
      </c>
      <c r="O302" s="6" t="inlineStr">
        <is>
          <t>本方案结构化模型；MICRO24时延方法论</t>
        </is>
      </c>
      <c r="P302" s="9" t="n"/>
      <c r="Q302" s="9" t="n"/>
      <c r="R302" s="9" t="n"/>
      <c r="S302" s="9" t="n"/>
      <c r="T302" s="9" t="n"/>
      <c r="U302" s="9" t="n"/>
      <c r="V302" s="9" t="n"/>
      <c r="W302" s="9" t="n"/>
      <c r="X302" s="12">
        <f>IF(OR(R302="",R302-AP302&lt;=0),"",AB302/(R302-AP302))</f>
        <v/>
      </c>
      <c r="Y302" s="12">
        <f>IFERROR(R302/AR302,0)</f>
        <v/>
      </c>
      <c r="Z302" s="9" t="inlineStr">
        <is>
          <t>待执行</t>
        </is>
      </c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12">
        <f>IF(OR(R302="",R302-AP302&lt;=0),"",AO302/(R302-AP302))</f>
        <v/>
      </c>
      <c r="AM302" s="11">
        <f>IF(R302="","",SUM(AC302:AF302)-(R302-AP302))</f>
        <v/>
      </c>
      <c r="AN302" s="11">
        <f>IF(R302="","",SUM(S302:W302)+AP302-R302)</f>
        <v/>
      </c>
      <c r="AO302" s="9" t="n"/>
      <c r="AP302" s="9" t="n"/>
      <c r="AQ302" s="27" t="inlineStr">
        <is>
          <t>FB08-a squash提前/延后；FB08-b FU取消丢失；FB08-c 结果抑制丢失；FB08-d 取消重复</t>
        </is>
      </c>
      <c r="AR302" s="39" t="n"/>
      <c r="AS302" s="39">
        <f>IFERROR(AR302/Q302,0)</f>
        <v/>
      </c>
      <c r="AT302" s="39" t="n">
        <v>30</v>
      </c>
      <c r="AU302" s="39" t="n">
        <v>385</v>
      </c>
      <c r="AV302" s="39" t="inlineStr">
        <is>
          <t>常规</t>
        </is>
      </c>
      <c r="AW302" s="39" t="inlineStr">
        <is>
          <t>累计至少385，不机械扩展到2401</t>
        </is>
      </c>
    </row>
    <row r="303" ht="118.0500030517578" customHeight="1">
      <c r="A303" s="6" t="inlineStr">
        <is>
          <t>FB08-F6-W13</t>
        </is>
      </c>
      <c r="B303" s="6" t="inlineStr">
        <is>
          <t>FB08</t>
        </is>
      </c>
      <c r="C303" s="6" t="inlineStr">
        <is>
          <t>FP/SIMD Dispatch/ROB</t>
        </is>
      </c>
      <c r="D303" s="6" t="inlineStr">
        <is>
          <t>FP/SIMD指令相关的squash与FU取消/结果抑制事件。</t>
        </is>
      </c>
      <c r="E303" s="6" t="inlineStr">
        <is>
          <t>时序</t>
        </is>
      </c>
      <c r="F303" s="6" t="inlineStr">
        <is>
          <t>squash/取消提前、延后、丢失或重复；绑定错误路径FP操作。绑定一个动态指令/事件ID，提前、延后、丢失、重复分开执行；数据载荷保持正确。仅当下游因此读取旧值、漏发、重复或改变顺序时计activated。触发：mispredict时存在未完成FP/SIMD操作。</t>
        </is>
      </c>
      <c r="G303" s="6" t="inlineStr">
        <is>
          <t>F6</t>
        </is>
      </c>
      <c r="H303" s="6" t="inlineStr">
        <is>
          <t>首次出现指定稀有事件时注入1次，保证结构化模型被激活</t>
        </is>
      </c>
      <c r="I303" s="6" t="inlineStr">
        <is>
          <t>W13 FP-ExceptionRecovery</t>
        </is>
      </c>
      <c r="J303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303" s="6" t="inlineStr">
        <is>
          <t>mispredict时存在未完成FP/SIMD操作</t>
        </is>
      </c>
      <c r="L303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303" s="6" t="inlineStr">
        <is>
          <t>丢失取消可能让错误路径结果写回或错误唤醒；重复取消多为性能/Timeout</t>
        </is>
      </c>
      <c r="N303" s="6" t="inlineStr">
        <is>
          <t>覆盖长延迟FP跨squash返回</t>
        </is>
      </c>
      <c r="O303" s="6" t="inlineStr">
        <is>
          <t>本方案结构化模型；MICRO24时延方法论</t>
        </is>
      </c>
      <c r="P303" s="9" t="n"/>
      <c r="Q303" s="9" t="n"/>
      <c r="R303" s="9" t="n"/>
      <c r="S303" s="9" t="n"/>
      <c r="T303" s="9" t="n"/>
      <c r="U303" s="9" t="n"/>
      <c r="V303" s="9" t="n"/>
      <c r="W303" s="9" t="n"/>
      <c r="X303" s="12">
        <f>IF(OR(R303="",R303-AP303&lt;=0),"",AB303/(R303-AP303))</f>
        <v/>
      </c>
      <c r="Y303" s="12">
        <f>IFERROR(R303/AR303,0)</f>
        <v/>
      </c>
      <c r="Z303" s="9" t="inlineStr">
        <is>
          <t>待执行</t>
        </is>
      </c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12">
        <f>IF(OR(R303="",R303-AP303&lt;=0),"",AO303/(R303-AP303))</f>
        <v/>
      </c>
      <c r="AM303" s="11">
        <f>IF(R303="","",SUM(AC303:AF303)-(R303-AP303))</f>
        <v/>
      </c>
      <c r="AN303" s="11">
        <f>IF(R303="","",SUM(S303:W303)+AP303-R303)</f>
        <v/>
      </c>
      <c r="AO303" s="9" t="n"/>
      <c r="AP303" s="9" t="n"/>
      <c r="AQ303" s="27" t="inlineStr">
        <is>
          <t>FB08-a squash提前/延后；FB08-b FU取消丢失；FB08-c 结果抑制丢失；FB08-d 取消重复</t>
        </is>
      </c>
      <c r="AR303" s="39" t="n"/>
      <c r="AS303" s="39">
        <f>IFERROR(AR303/Q303,0)</f>
        <v/>
      </c>
      <c r="AT303" s="39" t="n">
        <v>30</v>
      </c>
      <c r="AU303" s="39" t="n">
        <v>385</v>
      </c>
      <c r="AV303" s="39" t="inlineStr">
        <is>
          <t>常规</t>
        </is>
      </c>
      <c r="AW303" s="39" t="inlineStr">
        <is>
          <t>累计至少385，不机械扩展到2401</t>
        </is>
      </c>
    </row>
    <row r="304" ht="118.0500030517578" customHeight="1">
      <c r="A304" s="6" t="inlineStr">
        <is>
          <t>FB09-F0-W8</t>
        </is>
      </c>
      <c r="B304" s="6" t="inlineStr">
        <is>
          <t>FB09</t>
        </is>
      </c>
      <c r="C304" s="6" t="inlineStr">
        <is>
          <t>FP/SIMD Dispatch/ROB</t>
        </is>
      </c>
      <c r="D304" s="6" t="inlineStr">
        <is>
          <t>FP/SIMD commit、V寄存器架构映射更新、FPSR更新与old-dest释放事件。</t>
        </is>
      </c>
      <c r="E304" s="6" t="inlineStr">
        <is>
          <t>时序</t>
        </is>
      </c>
      <c r="F304" s="6" t="inlineStr">
        <is>
          <t>让其中一个子事件提前/延后/丢失/重复，分别执行。绑定一个动态指令/事件ID，提前、延后、丢失、重复分开执行；数据载荷保持正确。仅当下游因此读取旧值、漏发、重复或改变顺序时计activated。触发：FP/SIMD ROB head已完成可提交。</t>
        </is>
      </c>
      <c r="G304" s="6" t="inlineStr">
        <is>
          <t>F0</t>
        </is>
      </c>
      <c r="H304" s="6" t="inlineStr">
        <is>
          <t>每次运行只注入1次；warm-up后在 eligible event 中均匀抽样</t>
        </is>
      </c>
      <c r="I304" s="6" t="inlineStr">
        <is>
          <t>W8 FP-ScalarProbe</t>
        </is>
      </c>
      <c r="J304" s="6" t="inlineStr">
        <is>
          <t>FP-ScalarProbe（自设定向负载）
执行定义与oracle：FP32/FP64 add/mul/div/sqrt/FMA、NaN/Inf/±0/subnormal、四种舍入、FP exception；位级结果与 FPSR/FPCR oracle</t>
        </is>
      </c>
      <c r="K304" s="6" t="inlineStr">
        <is>
          <t>FP/SIMD ROB head已完成可提交</t>
        </is>
      </c>
      <c r="L304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304" s="6" t="inlineStr">
        <is>
          <t>V值与FPSR不同步、重复释放或漏提交可形成SDC/延迟use-after-free</t>
        </is>
      </c>
      <c r="N304" s="6" t="inlineStr">
        <is>
          <t>提交事务必须同时监控数据、状态和资源回收</t>
        </is>
      </c>
      <c r="O304" s="6" t="inlineStr">
        <is>
          <t>本方案结构化模型</t>
        </is>
      </c>
      <c r="P304" s="9" t="n"/>
      <c r="Q304" s="9" t="n"/>
      <c r="R304" s="9" t="n"/>
      <c r="S304" s="9" t="n"/>
      <c r="T304" s="9" t="n"/>
      <c r="U304" s="9" t="n"/>
      <c r="V304" s="9" t="n"/>
      <c r="W304" s="9" t="n"/>
      <c r="X304" s="12">
        <f>IF(OR(R304="",R304-AP304&lt;=0),"",AB304/(R304-AP304))</f>
        <v/>
      </c>
      <c r="Y304" s="12">
        <f>IFERROR(R304/AR304,0)</f>
        <v/>
      </c>
      <c r="Z304" s="9" t="inlineStr">
        <is>
          <t>待执行</t>
        </is>
      </c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12">
        <f>IF(OR(R304="",R304-AP304&lt;=0),"",AO304/(R304-AP304))</f>
        <v/>
      </c>
      <c r="AM304" s="11">
        <f>IF(R304="","",SUM(AC304:AF304)-(R304-AP304))</f>
        <v/>
      </c>
      <c r="AN304" s="11">
        <f>IF(R304="","",SUM(S304:W304)+AP304-R304)</f>
        <v/>
      </c>
      <c r="AO304" s="9" t="n"/>
      <c r="AP304" s="9" t="n"/>
      <c r="AQ304" s="27" t="inlineStr">
        <is>
          <t>FB09-a commit提前/延后；FB09-b V寄存器映射更新丢失/重复；FB09-c FPSR更新丢失/重复；FB09-d old-dest释放错误</t>
        </is>
      </c>
      <c r="AR304" s="39" t="n"/>
      <c r="AS304" s="39">
        <f>IFERROR(AR304/Q304,0)</f>
        <v/>
      </c>
      <c r="AT304" s="39" t="n">
        <v>30</v>
      </c>
      <c r="AU304" s="39" t="n">
        <v>385</v>
      </c>
      <c r="AV304" s="39" t="inlineStr">
        <is>
          <t>常规</t>
        </is>
      </c>
      <c r="AW304" s="39" t="inlineStr">
        <is>
          <t>累计至少385，不机械扩展到2401</t>
        </is>
      </c>
    </row>
    <row r="305" ht="118.0500030517578" customHeight="1">
      <c r="A305" s="6" t="inlineStr">
        <is>
          <t>FB09-F0-W13</t>
        </is>
      </c>
      <c r="B305" s="6" t="inlineStr">
        <is>
          <t>FB09</t>
        </is>
      </c>
      <c r="C305" s="6" t="inlineStr">
        <is>
          <t>FP/SIMD Dispatch/ROB</t>
        </is>
      </c>
      <c r="D305" s="6" t="inlineStr">
        <is>
          <t>FP/SIMD commit、V寄存器架构映射更新、FPSR更新与old-dest释放事件。</t>
        </is>
      </c>
      <c r="E305" s="6" t="inlineStr">
        <is>
          <t>时序</t>
        </is>
      </c>
      <c r="F305" s="6" t="inlineStr">
        <is>
          <t>让其中一个子事件提前/延后/丢失/重复，分别执行。绑定一个动态指令/事件ID，提前、延后、丢失、重复分开执行；数据载荷保持正确。仅当下游因此读取旧值、漏发、重复或改变顺序时计activated。触发：FP/SIMD ROB head已完成可提交。</t>
        </is>
      </c>
      <c r="G305" s="6" t="inlineStr">
        <is>
          <t>F0</t>
        </is>
      </c>
      <c r="H305" s="6" t="inlineStr">
        <is>
          <t>每次运行只注入1次；warm-up后在 eligible event 中均匀抽样</t>
        </is>
      </c>
      <c r="I305" s="6" t="inlineStr">
        <is>
          <t>W13 FP-ExceptionRecovery</t>
        </is>
      </c>
      <c r="J305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305" s="6" t="inlineStr">
        <is>
          <t>FP/SIMD ROB head已完成可提交</t>
        </is>
      </c>
      <c r="L305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305" s="6" t="inlineStr">
        <is>
          <t>V值与FPSR不同步、重复释放或漏提交可形成SDC/延迟use-after-free</t>
        </is>
      </c>
      <c r="N305" s="6" t="inlineStr">
        <is>
          <t>提交事务必须同时监控数据、状态和资源回收</t>
        </is>
      </c>
      <c r="O305" s="6" t="inlineStr">
        <is>
          <t>本方案结构化模型</t>
        </is>
      </c>
      <c r="P305" s="9" t="n"/>
      <c r="Q305" s="9" t="n"/>
      <c r="R305" s="9" t="n"/>
      <c r="S305" s="9" t="n"/>
      <c r="T305" s="9" t="n"/>
      <c r="U305" s="9" t="n"/>
      <c r="V305" s="9" t="n"/>
      <c r="W305" s="9" t="n"/>
      <c r="X305" s="12">
        <f>IF(OR(R305="",R305-AP305&lt;=0),"",AB305/(R305-AP305))</f>
        <v/>
      </c>
      <c r="Y305" s="12">
        <f>IFERROR(R305/AR305,0)</f>
        <v/>
      </c>
      <c r="Z305" s="9" t="inlineStr">
        <is>
          <t>待执行</t>
        </is>
      </c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12">
        <f>IF(OR(R305="",R305-AP305&lt;=0),"",AO305/(R305-AP305))</f>
        <v/>
      </c>
      <c r="AM305" s="11">
        <f>IF(R305="","",SUM(AC305:AF305)-(R305-AP305))</f>
        <v/>
      </c>
      <c r="AN305" s="11">
        <f>IF(R305="","",SUM(S305:W305)+AP305-R305)</f>
        <v/>
      </c>
      <c r="AO305" s="9" t="n"/>
      <c r="AP305" s="9" t="n"/>
      <c r="AQ305" s="27" t="inlineStr">
        <is>
          <t>FB09-a commit提前/延后；FB09-b V寄存器映射更新丢失/重复；FB09-c FPSR更新丢失/重复；FB09-d old-dest释放错误</t>
        </is>
      </c>
      <c r="AR305" s="39" t="n"/>
      <c r="AS305" s="39">
        <f>IFERROR(AR305/Q305,0)</f>
        <v/>
      </c>
      <c r="AT305" s="39" t="n">
        <v>30</v>
      </c>
      <c r="AU305" s="39" t="n">
        <v>385</v>
      </c>
      <c r="AV305" s="39" t="inlineStr">
        <is>
          <t>常规</t>
        </is>
      </c>
      <c r="AW305" s="39" t="inlineStr">
        <is>
          <t>累计至少385，不机械扩展到2401</t>
        </is>
      </c>
    </row>
    <row r="306" ht="118.0500030517578" customHeight="1">
      <c r="A306" s="6" t="inlineStr">
        <is>
          <t>FB09-F4-W8</t>
        </is>
      </c>
      <c r="B306" s="6" t="inlineStr">
        <is>
          <t>FB09</t>
        </is>
      </c>
      <c r="C306" s="6" t="inlineStr">
        <is>
          <t>FP/SIMD Dispatch/ROB</t>
        </is>
      </c>
      <c r="D306" s="6" t="inlineStr">
        <is>
          <t>FP/SIMD commit、V寄存器架构映射更新、FPSR更新与old-dest释放事件。</t>
        </is>
      </c>
      <c r="E306" s="6" t="inlineStr">
        <is>
          <t>时序</t>
        </is>
      </c>
      <c r="F306" s="6" t="inlineStr">
        <is>
          <t>让其中一个子事件提前/延后/丢失/重复，分别执行。绑定一个动态指令/事件ID，提前、延后、丢失、重复分开执行；数据载荷保持正确。仅当下游因此读取旧值、漏发、重复或改变顺序时计activated。触发：FP/SIMD ROB head已完成可提交。</t>
        </is>
      </c>
      <c r="G306" s="6" t="inlineStr">
        <is>
          <t>F4</t>
        </is>
      </c>
      <c r="H306" s="6" t="inlineStr">
        <is>
          <t>每100,000个 eligible events 触发一次，连续污染2-4个 eligible events</t>
        </is>
      </c>
      <c r="I306" s="6" t="inlineStr">
        <is>
          <t>W8 FP-ScalarProbe</t>
        </is>
      </c>
      <c r="J306" s="6" t="inlineStr">
        <is>
          <t>FP-ScalarProbe（自设定向负载）
执行定义与oracle：FP32/FP64 add/mul/div/sqrt/FMA、NaN/Inf/±0/subnormal、四种舍入、FP exception；位级结果与 FPSR/FPCR oracle</t>
        </is>
      </c>
      <c r="K306" s="6" t="inlineStr">
        <is>
          <t>FP/SIMD ROB head已完成可提交</t>
        </is>
      </c>
      <c r="L306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306" s="6" t="inlineStr">
        <is>
          <t>V值与FPSR不同步、重复释放或漏提交可形成SDC/延迟use-after-free</t>
        </is>
      </c>
      <c r="N306" s="6" t="inlineStr">
        <is>
          <t>提交事务必须同时监控数据、状态和资源回收</t>
        </is>
      </c>
      <c r="O306" s="6" t="inlineStr">
        <is>
          <t>本方案结构化模型</t>
        </is>
      </c>
      <c r="P306" s="9" t="n"/>
      <c r="Q306" s="9" t="n"/>
      <c r="R306" s="9" t="n"/>
      <c r="S306" s="9" t="n"/>
      <c r="T306" s="9" t="n"/>
      <c r="U306" s="9" t="n"/>
      <c r="V306" s="9" t="n"/>
      <c r="W306" s="9" t="n"/>
      <c r="X306" s="12">
        <f>IF(OR(R306="",R306-AP306&lt;=0),"",AB306/(R306-AP306))</f>
        <v/>
      </c>
      <c r="Y306" s="12">
        <f>IFERROR(R306/AR306,0)</f>
        <v/>
      </c>
      <c r="Z306" s="9" t="inlineStr">
        <is>
          <t>待执行</t>
        </is>
      </c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12">
        <f>IF(OR(R306="",R306-AP306&lt;=0),"",AO306/(R306-AP306))</f>
        <v/>
      </c>
      <c r="AM306" s="11">
        <f>IF(R306="","",SUM(AC306:AF306)-(R306-AP306))</f>
        <v/>
      </c>
      <c r="AN306" s="11">
        <f>IF(R306="","",SUM(S306:W306)+AP306-R306)</f>
        <v/>
      </c>
      <c r="AO306" s="9" t="n"/>
      <c r="AP306" s="9" t="n"/>
      <c r="AQ306" s="27" t="inlineStr">
        <is>
          <t>FB09-a commit提前/延后；FB09-b V寄存器映射更新丢失/重复；FB09-c FPSR更新丢失/重复；FB09-d old-dest释放错误</t>
        </is>
      </c>
      <c r="AR306" s="39" t="n"/>
      <c r="AS306" s="39">
        <f>IFERROR(AR306/Q306,0)</f>
        <v/>
      </c>
      <c r="AT306" s="39" t="n">
        <v>30</v>
      </c>
      <c r="AU306" s="39" t="n">
        <v>385</v>
      </c>
      <c r="AV306" s="39" t="inlineStr">
        <is>
          <t>常规</t>
        </is>
      </c>
      <c r="AW306" s="39" t="inlineStr">
        <is>
          <t>累计至少385，不机械扩展到2401</t>
        </is>
      </c>
    </row>
    <row r="307" ht="118.0500030517578" customHeight="1">
      <c r="A307" s="6" t="inlineStr">
        <is>
          <t>FB09-F4-W13</t>
        </is>
      </c>
      <c r="B307" s="6" t="inlineStr">
        <is>
          <t>FB09</t>
        </is>
      </c>
      <c r="C307" s="6" t="inlineStr">
        <is>
          <t>FP/SIMD Dispatch/ROB</t>
        </is>
      </c>
      <c r="D307" s="6" t="inlineStr">
        <is>
          <t>FP/SIMD commit、V寄存器架构映射更新、FPSR更新与old-dest释放事件。</t>
        </is>
      </c>
      <c r="E307" s="6" t="inlineStr">
        <is>
          <t>时序</t>
        </is>
      </c>
      <c r="F307" s="6" t="inlineStr">
        <is>
          <t>让其中一个子事件提前/延后/丢失/重复，分别执行。绑定一个动态指令/事件ID，提前、延后、丢失、重复分开执行；数据载荷保持正确。仅当下游因此读取旧值、漏发、重复或改变顺序时计activated。触发：FP/SIMD ROB head已完成可提交。</t>
        </is>
      </c>
      <c r="G307" s="6" t="inlineStr">
        <is>
          <t>F4</t>
        </is>
      </c>
      <c r="H307" s="6" t="inlineStr">
        <is>
          <t>每100,000个 eligible events 触发一次，连续污染2-4个 eligible events</t>
        </is>
      </c>
      <c r="I307" s="6" t="inlineStr">
        <is>
          <t>W13 FP-ExceptionRecovery</t>
        </is>
      </c>
      <c r="J307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307" s="6" t="inlineStr">
        <is>
          <t>FP/SIMD ROB head已完成可提交</t>
        </is>
      </c>
      <c r="L307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307" s="6" t="inlineStr">
        <is>
          <t>V值与FPSR不同步、重复释放或漏提交可形成SDC/延迟use-after-free</t>
        </is>
      </c>
      <c r="N307" s="6" t="inlineStr">
        <is>
          <t>提交事务必须同时监控数据、状态和资源回收</t>
        </is>
      </c>
      <c r="O307" s="6" t="inlineStr">
        <is>
          <t>本方案结构化模型</t>
        </is>
      </c>
      <c r="P307" s="9" t="n"/>
      <c r="Q307" s="9" t="n"/>
      <c r="R307" s="9" t="n"/>
      <c r="S307" s="9" t="n"/>
      <c r="T307" s="9" t="n"/>
      <c r="U307" s="9" t="n"/>
      <c r="V307" s="9" t="n"/>
      <c r="W307" s="9" t="n"/>
      <c r="X307" s="12">
        <f>IF(OR(R307="",R307-AP307&lt;=0),"",AB307/(R307-AP307))</f>
        <v/>
      </c>
      <c r="Y307" s="12">
        <f>IFERROR(R307/AR307,0)</f>
        <v/>
      </c>
      <c r="Z307" s="9" t="inlineStr">
        <is>
          <t>待执行</t>
        </is>
      </c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12">
        <f>IF(OR(R307="",R307-AP307&lt;=0),"",AO307/(R307-AP307))</f>
        <v/>
      </c>
      <c r="AM307" s="11">
        <f>IF(R307="","",SUM(AC307:AF307)-(R307-AP307))</f>
        <v/>
      </c>
      <c r="AN307" s="11">
        <f>IF(R307="","",SUM(S307:W307)+AP307-R307)</f>
        <v/>
      </c>
      <c r="AO307" s="9" t="n"/>
      <c r="AP307" s="9" t="n"/>
      <c r="AQ307" s="27" t="inlineStr">
        <is>
          <t>FB09-a commit提前/延后；FB09-b V寄存器映射更新丢失/重复；FB09-c FPSR更新丢失/重复；FB09-d old-dest释放错误</t>
        </is>
      </c>
      <c r="AR307" s="39" t="n"/>
      <c r="AS307" s="39">
        <f>IFERROR(AR307/Q307,0)</f>
        <v/>
      </c>
      <c r="AT307" s="39" t="n">
        <v>30</v>
      </c>
      <c r="AU307" s="39" t="n">
        <v>2401</v>
      </c>
      <c r="AV307" s="39" t="inlineStr">
        <is>
          <t>预登记重点</t>
        </is>
      </c>
      <c r="AW307" s="39" t="inlineStr">
        <is>
          <t>累计2401（含pilot与前385），不得序贯停止</t>
        </is>
      </c>
    </row>
    <row r="308" ht="118.0500030517578" customHeight="1">
      <c r="A308" s="6" t="inlineStr">
        <is>
          <t>FB09-F6-W8</t>
        </is>
      </c>
      <c r="B308" s="6" t="inlineStr">
        <is>
          <t>FB09</t>
        </is>
      </c>
      <c r="C308" s="6" t="inlineStr">
        <is>
          <t>FP/SIMD Dispatch/ROB</t>
        </is>
      </c>
      <c r="D308" s="6" t="inlineStr">
        <is>
          <t>FP/SIMD commit、V寄存器架构映射更新、FPSR更新与old-dest释放事件。</t>
        </is>
      </c>
      <c r="E308" s="6" t="inlineStr">
        <is>
          <t>时序</t>
        </is>
      </c>
      <c r="F308" s="6" t="inlineStr">
        <is>
          <t>让其中一个子事件提前/延后/丢失/重复，分别执行。绑定一个动态指令/事件ID，提前、延后、丢失、重复分开执行；数据载荷保持正确。仅当下游因此读取旧值、漏发、重复或改变顺序时计activated。触发：FP/SIMD ROB head已完成可提交。</t>
        </is>
      </c>
      <c r="G308" s="6" t="inlineStr">
        <is>
          <t>F6</t>
        </is>
      </c>
      <c r="H308" s="6" t="inlineStr">
        <is>
          <t>首次出现指定稀有事件时注入1次，保证结构化模型被激活</t>
        </is>
      </c>
      <c r="I308" s="6" t="inlineStr">
        <is>
          <t>W8 FP-ScalarProbe</t>
        </is>
      </c>
      <c r="J308" s="6" t="inlineStr">
        <is>
          <t>FP-ScalarProbe（自设定向负载）
执行定义与oracle：FP32/FP64 add/mul/div/sqrt/FMA、NaN/Inf/±0/subnormal、四种舍入、FP exception；位级结果与 FPSR/FPCR oracle</t>
        </is>
      </c>
      <c r="K308" s="6" t="inlineStr">
        <is>
          <t>FP/SIMD ROB head已完成可提交</t>
        </is>
      </c>
      <c r="L308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308" s="6" t="inlineStr">
        <is>
          <t>V值与FPSR不同步、重复释放或漏提交可形成SDC/延迟use-after-free</t>
        </is>
      </c>
      <c r="N308" s="6" t="inlineStr">
        <is>
          <t>提交事务必须同时监控数据、状态和资源回收</t>
        </is>
      </c>
      <c r="O308" s="6" t="inlineStr">
        <is>
          <t>本方案结构化模型</t>
        </is>
      </c>
      <c r="P308" s="9" t="n"/>
      <c r="Q308" s="9" t="n"/>
      <c r="R308" s="9" t="n"/>
      <c r="S308" s="9" t="n"/>
      <c r="T308" s="9" t="n"/>
      <c r="U308" s="9" t="n"/>
      <c r="V308" s="9" t="n"/>
      <c r="W308" s="9" t="n"/>
      <c r="X308" s="12">
        <f>IF(OR(R308="",R308-AP308&lt;=0),"",AB308/(R308-AP308))</f>
        <v/>
      </c>
      <c r="Y308" s="12">
        <f>IFERROR(R308/AR308,0)</f>
        <v/>
      </c>
      <c r="Z308" s="9" t="inlineStr">
        <is>
          <t>待执行</t>
        </is>
      </c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12">
        <f>IF(OR(R308="",R308-AP308&lt;=0),"",AO308/(R308-AP308))</f>
        <v/>
      </c>
      <c r="AM308" s="11">
        <f>IF(R308="","",SUM(AC308:AF308)-(R308-AP308))</f>
        <v/>
      </c>
      <c r="AN308" s="11">
        <f>IF(R308="","",SUM(S308:W308)+AP308-R308)</f>
        <v/>
      </c>
      <c r="AO308" s="9" t="n"/>
      <c r="AP308" s="9" t="n"/>
      <c r="AQ308" s="27" t="inlineStr">
        <is>
          <t>FB09-a commit提前/延后；FB09-b V寄存器映射更新丢失/重复；FB09-c FPSR更新丢失/重复；FB09-d old-dest释放错误</t>
        </is>
      </c>
      <c r="AR308" s="39" t="n"/>
      <c r="AS308" s="39">
        <f>IFERROR(AR308/Q308,0)</f>
        <v/>
      </c>
      <c r="AT308" s="39" t="n">
        <v>30</v>
      </c>
      <c r="AU308" s="39" t="n">
        <v>385</v>
      </c>
      <c r="AV308" s="39" t="inlineStr">
        <is>
          <t>常规</t>
        </is>
      </c>
      <c r="AW308" s="39" t="inlineStr">
        <is>
          <t>累计至少385，不机械扩展到2401</t>
        </is>
      </c>
    </row>
    <row r="309" ht="118.0500030517578" customHeight="1">
      <c r="A309" s="6" t="inlineStr">
        <is>
          <t>FB09-F6-W13</t>
        </is>
      </c>
      <c r="B309" s="6" t="inlineStr">
        <is>
          <t>FB09</t>
        </is>
      </c>
      <c r="C309" s="6" t="inlineStr">
        <is>
          <t>FP/SIMD Dispatch/ROB</t>
        </is>
      </c>
      <c r="D309" s="6" t="inlineStr">
        <is>
          <t>FP/SIMD commit、V寄存器架构映射更新、FPSR更新与old-dest释放事件。</t>
        </is>
      </c>
      <c r="E309" s="6" t="inlineStr">
        <is>
          <t>时序</t>
        </is>
      </c>
      <c r="F309" s="6" t="inlineStr">
        <is>
          <t>让其中一个子事件提前/延后/丢失/重复，分别执行。绑定一个动态指令/事件ID，提前、延后、丢失、重复分开执行；数据载荷保持正确。仅当下游因此读取旧值、漏发、重复或改变顺序时计activated。触发：FP/SIMD ROB head已完成可提交。</t>
        </is>
      </c>
      <c r="G309" s="6" t="inlineStr">
        <is>
          <t>F6</t>
        </is>
      </c>
      <c r="H309" s="6" t="inlineStr">
        <is>
          <t>首次出现指定稀有事件时注入1次，保证结构化模型被激活</t>
        </is>
      </c>
      <c r="I309" s="6" t="inlineStr">
        <is>
          <t>W13 FP-ExceptionRecovery</t>
        </is>
      </c>
      <c r="J309" s="6" t="inlineStr">
        <is>
          <t>FP-ExceptionRecovery（自设定向负载）
执行定义与oracle：FP invalid/div0/overflow/underflow/inexact 与分支误预测/精确异常交叉；检查 FPSR、目的寄存器和提交边界</t>
        </is>
      </c>
      <c r="K309" s="6" t="inlineStr">
        <is>
          <t>FP/SIMD ROB head已完成可提交</t>
        </is>
      </c>
      <c r="L309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309" s="6" t="inlineStr">
        <is>
          <t>V值与FPSR不同步、重复释放或漏提交可形成SDC/延迟use-after-free</t>
        </is>
      </c>
      <c r="N309" s="6" t="inlineStr">
        <is>
          <t>提交事务必须同时监控数据、状态和资源回收</t>
        </is>
      </c>
      <c r="O309" s="6" t="inlineStr">
        <is>
          <t>本方案结构化模型</t>
        </is>
      </c>
      <c r="P309" s="9" t="n"/>
      <c r="Q309" s="9" t="n"/>
      <c r="R309" s="9" t="n"/>
      <c r="S309" s="9" t="n"/>
      <c r="T309" s="9" t="n"/>
      <c r="U309" s="9" t="n"/>
      <c r="V309" s="9" t="n"/>
      <c r="W309" s="9" t="n"/>
      <c r="X309" s="12">
        <f>IF(OR(R309="",R309-AP309&lt;=0),"",AB309/(R309-AP309))</f>
        <v/>
      </c>
      <c r="Y309" s="12">
        <f>IFERROR(R309/AR309,0)</f>
        <v/>
      </c>
      <c r="Z309" s="9" t="inlineStr">
        <is>
          <t>待执行</t>
        </is>
      </c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12">
        <f>IF(OR(R309="",R309-AP309&lt;=0),"",AO309/(R309-AP309))</f>
        <v/>
      </c>
      <c r="AM309" s="11">
        <f>IF(R309="","",SUM(AC309:AF309)-(R309-AP309))</f>
        <v/>
      </c>
      <c r="AN309" s="11">
        <f>IF(R309="","",SUM(S309:W309)+AP309-R309)</f>
        <v/>
      </c>
      <c r="AO309" s="9" t="n"/>
      <c r="AP309" s="9" t="n"/>
      <c r="AQ309" s="27" t="inlineStr">
        <is>
          <t>FB09-a commit提前/延后；FB09-b V寄存器映射更新丢失/重复；FB09-c FPSR更新丢失/重复；FB09-d old-dest释放错误</t>
        </is>
      </c>
      <c r="AR309" s="39" t="n"/>
      <c r="AS309" s="39">
        <f>IFERROR(AR309/Q309,0)</f>
        <v/>
      </c>
      <c r="AT309" s="39" t="n">
        <v>30</v>
      </c>
      <c r="AU309" s="39" t="n">
        <v>385</v>
      </c>
      <c r="AV309" s="39" t="inlineStr">
        <is>
          <t>常规</t>
        </is>
      </c>
      <c r="AW309" s="39" t="inlineStr">
        <is>
          <t>累计至少385，不机械扩展到2401</t>
        </is>
      </c>
    </row>
    <row r="310" ht="118.0500030517578" customHeight="1">
      <c r="A310" s="6" t="inlineStr">
        <is>
          <t>FB10-F5-W9</t>
        </is>
      </c>
      <c r="B310" s="6" t="inlineStr">
        <is>
          <t>FB10</t>
        </is>
      </c>
      <c r="C310" s="6" t="inlineStr">
        <is>
          <t>FP/SIMD Dispatch/ROB</t>
        </is>
      </c>
      <c r="D310" s="6" t="inlineStr">
        <is>
          <t>FP激活ROB slot或完成状态固定bit，跨entry复用持续。</t>
        </is>
      </c>
      <c r="E310" s="6" t="inlineStr">
        <is>
          <t>卡死</t>
        </is>
      </c>
      <c r="F310" s="6" t="inlineStr">
        <is>
          <t>选择tag/complete/exception/lane-mask bit实施stuck-at-0/1。warm-up后固定一个bit/控制位，分别做stuck-at-0和stuck-at-1，每次经过均施加到结束；正确值本来等于卡死值时不增加activated。触发：warm-up后每次该slot被FP/SIMD指令占用。</t>
        </is>
      </c>
      <c r="G310" s="6" t="inlineStr">
        <is>
          <t>F5</t>
        </is>
      </c>
      <c r="H310" s="6" t="inlineStr">
        <is>
          <t>warm-up后第一个 eligible event 起持续至运行结束；每次运行只选1 bit/字段</t>
        </is>
      </c>
      <c r="I310" s="6" t="inlineStr">
        <is>
          <t>W9 NEON-LaneProbe</t>
        </is>
      </c>
      <c r="J310" s="6" t="inlineStr">
        <is>
          <t>NEON-LaneProbe（自设定向负载）
执行定义与oracle：8/16/32/64-bit lane、整数/浮点 AdvSIMD、lane extract/insert、widen/narrow、permute、reduce；逐 lane 比对</t>
        </is>
      </c>
      <c r="K310" s="6" t="inlineStr">
        <is>
          <t>warm-up后每次该slot被FP/SIMD指令占用</t>
        </is>
      </c>
      <c r="L310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310" s="6" t="inlineStr">
        <is>
          <t>周期性Crash/Timeout或稳定lane污染；FP异常状态卡死可能只对特殊值激活</t>
        </is>
      </c>
      <c r="N310" s="6" t="inlineStr">
        <is>
          <t>覆盖永久缺陷和数据相关激活</t>
        </is>
      </c>
      <c r="O310" s="6" t="inlineStr">
        <is>
          <t>CHAOS26 stuck-at方法；无直接FP ROB结果</t>
        </is>
      </c>
      <c r="P310" s="9" t="n"/>
      <c r="Q310" s="9" t="n"/>
      <c r="R310" s="9" t="n"/>
      <c r="S310" s="9" t="n"/>
      <c r="T310" s="9" t="n"/>
      <c r="U310" s="9" t="n"/>
      <c r="V310" s="9" t="n"/>
      <c r="W310" s="9" t="n"/>
      <c r="X310" s="12">
        <f>IF(OR(R310="",R310-AP310&lt;=0),"",AB310/(R310-AP310))</f>
        <v/>
      </c>
      <c r="Y310" s="12">
        <f>IFERROR(R310/AR310,0)</f>
        <v/>
      </c>
      <c r="Z310" s="9" t="inlineStr">
        <is>
          <t>待执行</t>
        </is>
      </c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12">
        <f>IF(OR(R310="",R310-AP310&lt;=0),"",AO310/(R310-AP310))</f>
        <v/>
      </c>
      <c r="AM310" s="11">
        <f>IF(R310="","",SUM(AC310:AF310)-(R310-AP310))</f>
        <v/>
      </c>
      <c r="AN310" s="11">
        <f>IF(R310="","",SUM(S310:W310)+AP310-R310)</f>
        <v/>
      </c>
      <c r="AO310" s="9" t="n"/>
      <c r="AP310" s="9" t="n"/>
      <c r="AQ310" s="27" t="inlineStr">
        <is>
          <t>FB10-a tag bit stuck-at-0/1；FB10-b complete bit stuck-at-0/1；FB10-c exception bit stuck-at-0/1；FB10-d lane-mask bit stuck-at-0/1</t>
        </is>
      </c>
      <c r="AR310" s="39" t="n"/>
      <c r="AS310" s="39">
        <f>IFERROR(AR310/Q310,0)</f>
        <v/>
      </c>
      <c r="AT310" s="39" t="n">
        <v>30</v>
      </c>
      <c r="AU310" s="39" t="n">
        <v>385</v>
      </c>
      <c r="AV310" s="39" t="inlineStr">
        <is>
          <t>常规</t>
        </is>
      </c>
      <c r="AW310" s="39" t="inlineStr">
        <is>
          <t>累计至少385，不机械扩展到2401</t>
        </is>
      </c>
    </row>
    <row r="311" ht="118.0500030517578" customHeight="1">
      <c r="A311" s="6" t="inlineStr">
        <is>
          <t>FB10-F5-W10</t>
        </is>
      </c>
      <c r="B311" s="6" t="inlineStr">
        <is>
          <t>FB10</t>
        </is>
      </c>
      <c r="C311" s="6" t="inlineStr">
        <is>
          <t>FP/SIMD Dispatch/ROB</t>
        </is>
      </c>
      <c r="D311" s="6" t="inlineStr">
        <is>
          <t>FP激活ROB slot或完成状态固定bit，跨entry复用持续。</t>
        </is>
      </c>
      <c r="E311" s="6" t="inlineStr">
        <is>
          <t>卡死</t>
        </is>
      </c>
      <c r="F311" s="6" t="inlineStr">
        <is>
          <t>选择tag/complete/exception/lane-mask bit实施stuck-at-0/1。warm-up后固定一个bit/控制位，分别做stuck-at-0和stuck-at-1，每次经过均施加到结束；正确值本来等于卡死值时不增加activated。触发：warm-up后每次该slot被FP/SIMD指令占用。</t>
        </is>
      </c>
      <c r="G311" s="6" t="inlineStr">
        <is>
          <t>F5</t>
        </is>
      </c>
      <c r="H311" s="6" t="inlineStr">
        <is>
          <t>warm-up后第一个 eligible event 起持续至运行结束；每次运行只选1 bit/字段</t>
        </is>
      </c>
      <c r="I311" s="6" t="inlineStr">
        <is>
          <t>W10 PolyBench</t>
        </is>
      </c>
      <c r="J311" s="6" t="inlineStr">
        <is>
          <t>PolyBench（公开通用）
执行定义与oracle：gemm、2mm、lu、cholesky、jacobi-2d；固定规模；输出数组逐元素/容差双校验</t>
        </is>
      </c>
      <c r="K311" s="6" t="inlineStr">
        <is>
          <t>warm-up后每次该slot被FP/SIMD指令占用</t>
        </is>
      </c>
      <c r="L311" s="6" t="inlineStr">
        <is>
          <t>L0 eligible/activated；L1 FP激活ROB entry与状态；L2 FP/SIMD IQ/FU steering、operand ready；L3完成事件、writeback tag/lane mask/FPSR；L4按序提交V寄存器/FPSR/异常；L5检测与结局；记录错误完成配对、漏/重复提交和squash恢复</t>
        </is>
      </c>
      <c r="M311" s="6" t="inlineStr">
        <is>
          <t>周期性Crash/Timeout或稳定lane污染；FP异常状态卡死可能只对特殊值激活</t>
        </is>
      </c>
      <c r="N311" s="6" t="inlineStr">
        <is>
          <t>覆盖永久缺陷和数据相关激活</t>
        </is>
      </c>
      <c r="O311" s="6" t="inlineStr">
        <is>
          <t>CHAOS26 stuck-at方法；无直接FP ROB结果</t>
        </is>
      </c>
      <c r="P311" s="9" t="n"/>
      <c r="Q311" s="9" t="n"/>
      <c r="R311" s="9" t="n"/>
      <c r="S311" s="9" t="n"/>
      <c r="T311" s="9" t="n"/>
      <c r="U311" s="9" t="n"/>
      <c r="V311" s="9" t="n"/>
      <c r="W311" s="9" t="n"/>
      <c r="X311" s="12">
        <f>IF(OR(R311="",R311-AP311&lt;=0),"",AB311/(R311-AP311))</f>
        <v/>
      </c>
      <c r="Y311" s="12">
        <f>IFERROR(R311/AR311,0)</f>
        <v/>
      </c>
      <c r="Z311" s="9" t="inlineStr">
        <is>
          <t>待执行</t>
        </is>
      </c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12">
        <f>IF(OR(R311="",R311-AP311&lt;=0),"",AO311/(R311-AP311))</f>
        <v/>
      </c>
      <c r="AM311" s="11">
        <f>IF(R311="","",SUM(AC311:AF311)-(R311-AP311))</f>
        <v/>
      </c>
      <c r="AN311" s="11">
        <f>IF(R311="","",SUM(S311:W311)+AP311-R311)</f>
        <v/>
      </c>
      <c r="AO311" s="9" t="n"/>
      <c r="AP311" s="9" t="n"/>
      <c r="AQ311" s="27" t="inlineStr">
        <is>
          <t>FB10-a tag bit stuck-at-0/1；FB10-b complete bit stuck-at-0/1；FB10-c exception bit stuck-at-0/1；FB10-d lane-mask bit stuck-at-0/1</t>
        </is>
      </c>
      <c r="AR311" s="39" t="n"/>
      <c r="AS311" s="39">
        <f>IFERROR(AR311/Q311,0)</f>
        <v/>
      </c>
      <c r="AT311" s="39" t="n">
        <v>30</v>
      </c>
      <c r="AU311" s="39" t="n">
        <v>385</v>
      </c>
      <c r="AV311" s="39" t="inlineStr">
        <is>
          <t>常规</t>
        </is>
      </c>
      <c r="AW311" s="39" t="inlineStr">
        <is>
          <t>累计至少385，不机械扩展到2401</t>
        </is>
      </c>
    </row>
  </sheetData>
  <conditionalFormatting sqref="AM2:AN311">
    <cfRule type="cellIs" priority="1" operator="notEqual" dxfId="1">
      <formula>0</formula>
    </cfRule>
  </conditionalFormatting>
  <conditionalFormatting sqref="Z2:Z311">
    <cfRule type="containsText" priority="2" operator="containsText" dxfId="0" text="待执行"/>
  </conditionalFormatting>
  <dataValidations count="1">
    <dataValidation sqref="Z2:Z311" showDropDown="0" showInputMessage="0" showErrorMessage="0" allowBlank="0" type="list">
      <formula1>"待执行,试跑中,正式运行,已完成,需复核,排除"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7F8C8D"/>
    <outlinePr summaryBelow="1" summaryRight="1"/>
    <pageSetUpPr/>
  </sheetPr>
  <dimension ref="A1:F1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5"/>
  <cols>
    <col width="14" customWidth="1" min="1" max="1"/>
    <col width="52" customWidth="1" min="2" max="2"/>
    <col width="26" customWidth="1" min="3" max="3"/>
    <col width="28" customWidth="1" min="4" max="4"/>
    <col width="60" customWidth="1" min="5" max="5"/>
    <col width="74" customWidth="1" min="6" max="6"/>
  </cols>
  <sheetData>
    <row r="1" ht="34.04999923706055" customHeight="1">
      <c r="A1" s="7" t="inlineStr">
        <is>
          <t>代码</t>
        </is>
      </c>
      <c r="B1" s="7" t="inlineStr">
        <is>
          <t>标题/资源</t>
        </is>
      </c>
      <c r="C1" s="7" t="inlineStr">
        <is>
          <t>类型/发表</t>
        </is>
      </c>
      <c r="D1" s="7" t="inlineStr">
        <is>
          <t>核对方式</t>
        </is>
      </c>
      <c r="E1" s="7" t="inlineStr">
        <is>
          <t>本工作簿用途</t>
        </is>
      </c>
      <c r="F1" s="7" t="inlineStr">
        <is>
          <t>定位</t>
        </is>
      </c>
    </row>
    <row r="2" ht="72" customHeight="1">
      <c r="A2" s="6" t="inlineStr">
        <is>
          <t>GEM5-O3</t>
        </is>
      </c>
      <c r="B2" s="6" t="inlineStr">
        <is>
          <t>gem5 stable: configs/common/cores/arm/O3_ARM_v7a.py</t>
        </is>
      </c>
      <c r="C2" s="6" t="inlineStr">
        <is>
          <t>官方源码</t>
        </is>
      </c>
      <c r="D2" s="6" t="inlineStr">
        <is>
          <t>2026-09-27在线核对</t>
        </is>
      </c>
      <c r="E2" s="6" t="inlineStr">
        <is>
          <t>B0宽度、ROB/IQ、PRF、FU和流水延迟</t>
        </is>
      </c>
      <c r="F2" s="6" t="inlineStr">
        <is>
          <t>https://raw.githubusercontent.com/gem5/gem5/stable/configs/common/cores/arm/O3_ARM_v7a.py</t>
        </is>
      </c>
    </row>
    <row r="3" ht="72" customHeight="1">
      <c r="A3" s="6" t="inlineStr">
        <is>
          <t>GEM5-BASE</t>
        </is>
      </c>
      <c r="B3" s="6" t="inlineStr">
        <is>
          <t>gem5 stable: src/cpu/o3/BaseO3CPU.py</t>
        </is>
      </c>
      <c r="C3" s="6" t="inlineStr">
        <is>
          <t>官方源码</t>
        </is>
      </c>
      <c r="D3" s="6" t="inlineStr">
        <is>
          <t>2026-09-27在线核对</t>
        </is>
      </c>
      <c r="E3" s="6" t="inlineStr">
        <is>
          <t>默认宽核敏感性、ROB/PRF/SMT与时序参数</t>
        </is>
      </c>
      <c r="F3" s="6" t="inlineStr">
        <is>
          <t>https://raw.githubusercontent.com/gem5/gem5/stable/src/cpu/o3/BaseO3CPU.py</t>
        </is>
      </c>
    </row>
    <row r="4" ht="72" customHeight="1">
      <c r="A4" s="6" t="inlineStr">
        <is>
          <t>TC23</t>
        </is>
      </c>
      <c r="B4" s="6" t="inlineStr">
        <is>
          <t>Silent Data Corruptions: Microarchitectural Perspectives</t>
        </is>
      </c>
      <c r="C4" s="6" t="inlineStr">
        <is>
          <t>IEEE TC 2023</t>
        </is>
      </c>
      <c r="D4" s="6" t="inlineStr">
        <is>
          <t>本地PDF全文核对</t>
        </is>
      </c>
      <c r="E4" s="6" t="inlineStr">
        <is>
          <t>ROB直接结果、MiBench、2000次、commit传播分类；FP未覆盖</t>
        </is>
      </c>
      <c r="F4" s="6" t="inlineStr">
        <is>
          <t>Silent_Data_Corruptions_Microarchitectural_Perspectives.pdf</t>
        </is>
      </c>
    </row>
    <row r="5" ht="72" customHeight="1">
      <c r="A5" s="6" t="inlineStr">
        <is>
          <t>MICRO24</t>
        </is>
      </c>
      <c r="B5" s="6" t="inlineStr">
        <is>
          <t>DelayAVF: Calculating Architectural Vulnerability Factors for Delay Faults</t>
        </is>
      </c>
      <c r="C5" s="6" t="inlineStr">
        <is>
          <t>MICRO 2024</t>
        </is>
      </c>
      <c r="D5" s="6" t="inlineStr">
        <is>
          <t>本地PDF全文核对</t>
        </is>
      </c>
      <c r="E5" s="6" t="inlineStr">
        <is>
          <t>Decoder小时延、1007线、BEEBS、ACE干扰/复合；非SDC指标</t>
        </is>
      </c>
      <c r="F5" s="6" t="inlineStr">
        <is>
          <t>MICRO2024 DelayAVF_Calculating_Architectural_Vulnerability_Factors_for_Delay_Faults.pdf</t>
        </is>
      </c>
    </row>
    <row r="6" ht="72" customHeight="1">
      <c r="A6" s="6" t="inlineStr">
        <is>
          <t>IISWC15</t>
        </is>
      </c>
      <c r="B6" s="6" t="inlineStr">
        <is>
          <t>Differential Fault Injection on Microarchitectural Simulators</t>
        </is>
      </c>
      <c r="C6" s="6" t="inlineStr">
        <is>
          <t>IISWC 2015</t>
        </is>
      </c>
      <c r="D6" s="6" t="inlineStr">
        <is>
          <t>本地PDF全文核对</t>
        </is>
      </c>
      <c r="E6" s="6" t="inlineStr">
        <is>
          <t>组合逻辑限制、单bit方法、IQ支持但无结果</t>
        </is>
      </c>
      <c r="F6" s="6" t="inlineStr">
        <is>
          <t>Differential_Fault_Injection_on_Microarchitectural_Simulators.pdf</t>
        </is>
      </c>
    </row>
    <row r="7" ht="72" customHeight="1">
      <c r="A7" s="6" t="inlineStr">
        <is>
          <t>HPCA24</t>
        </is>
      </c>
      <c r="B7" s="6" t="inlineStr">
        <is>
          <t>gem5-MARVEL: Microarchitecture-Level Resilience Analysis of Heterogeneous SoC Architectures</t>
        </is>
      </c>
      <c r="C7" s="6" t="inlineStr">
        <is>
          <t>HPCA 2024</t>
        </is>
      </c>
      <c r="D7" s="6" t="inlineStr">
        <is>
          <t>本地PDF全文核对</t>
        </is>
      </c>
      <c r="E7" s="6" t="inlineStr">
        <is>
          <t>框架范围与未报告的rename/ROB边界</t>
        </is>
      </c>
      <c r="F7" s="6" t="inlineStr">
        <is>
          <t>Gem5-MARVEL_Microarchitecture-Level_Resilience_Analysis_of_Heterogeneous_SoC_Architectures.pdf</t>
        </is>
      </c>
    </row>
    <row r="8" ht="72" customHeight="1">
      <c r="A8" s="6" t="inlineStr">
        <is>
          <t>MICRO25</t>
        </is>
      </c>
      <c r="B8" s="6" t="inlineStr">
        <is>
          <t>Harpocrates++: Automated Functional Program Generation Against CPU Faults and Silent Data Corruptions</t>
        </is>
      </c>
      <c r="C8" s="6" t="inlineStr">
        <is>
          <t>IEEE Micro 2025</t>
        </is>
      </c>
      <c r="D8" s="6" t="inlineStr">
        <is>
          <t>本地PDF全文核对</t>
        </is>
      </c>
      <c r="E8" s="6" t="inlineStr">
        <is>
          <t>定向负载与激活/传播思想；未注入rename/ROB</t>
        </is>
      </c>
      <c r="F8" s="6" t="inlineStr">
        <is>
          <t>Harpocrates_Automated_Functional_Program_Generation_Against_CPU_Faults_and_Silent_Data_Corruptions.pdf</t>
        </is>
      </c>
    </row>
    <row r="9" ht="72" customHeight="1">
      <c r="A9" s="6" t="inlineStr">
        <is>
          <t>CHAOS26</t>
        </is>
      </c>
      <c r="B9" s="6" t="inlineStr">
        <is>
          <t>CHAOS: Controlled Hardware fAult injectOr System for gem5</t>
        </is>
      </c>
      <c r="C9" s="6" t="inlineStr">
        <is>
          <t>arXiv 2602.02119, 2026</t>
        </is>
      </c>
      <c r="D9" s="6" t="inlineStr">
        <is>
          <t>本地PDF全文核对</t>
        </is>
      </c>
      <c r="E9" s="6" t="inlineStr">
        <is>
          <t>事件概率、单/多bit、stuck-at和HPC早期偏离</t>
        </is>
      </c>
      <c r="F9" s="6" t="inlineStr">
        <is>
          <t>Chaos Controlled Hardware Fault Injector System for Gem5.pdf</t>
        </is>
      </c>
    </row>
    <row r="10" ht="72" customHeight="1">
      <c r="A10" s="6" t="inlineStr">
        <is>
          <t>DATE25</t>
        </is>
      </c>
      <c r="B10" s="6" t="inlineStr">
        <is>
          <t>From Gates to SDCs: Understanding Fault Propagation Through the Compute Stack</t>
        </is>
      </c>
      <c r="C10" s="6" t="inlineStr">
        <is>
          <t>DATE 2025</t>
        </is>
      </c>
      <c r="D10" s="6" t="inlineStr">
        <is>
          <t>本地PDF全文核对</t>
        </is>
      </c>
      <c r="E10" s="6" t="inlineStr">
        <is>
          <t>门级永久故障到gem5的建模边界；功能单元结果不外推为OOO结构结果</t>
        </is>
      </c>
      <c r="F10" s="6" t="inlineStr">
        <is>
          <t>From_Gates_to_SDCs_Understanding_Fault_Propagation_Through_the_Compute_Stack.pdf</t>
        </is>
      </c>
    </row>
    <row r="11" ht="72" customHeight="1">
      <c r="A11" s="6" t="inlineStr">
        <is>
          <t>CASE</t>
        </is>
      </c>
      <c r="B11" s="6" t="inlineStr">
        <is>
          <t>各单元结构化注入故障模型真实案例作证</t>
        </is>
      </c>
      <c r="C11" s="6" t="inlineStr">
        <is>
          <t>本地研究笔记</t>
        </is>
      </c>
      <c r="D11" s="6" t="inlineStr">
        <is>
          <t>2026-09-27核对</t>
        </is>
      </c>
      <c r="E11" s="6" t="inlineStr">
        <is>
          <t>仅用于生成结构化模型候选和真实案例背景，不作为定量结果</t>
        </is>
      </c>
      <c r="F11" s="6" t="inlineStr">
        <is>
          <t>各单元结构化注入故障模型真实案例作证.docx</t>
        </is>
      </c>
    </row>
    <row r="12" ht="72" customHeight="1">
      <c r="A12" s="6" t="inlineStr">
        <is>
          <t>ARM-TABLE</t>
        </is>
      </c>
      <c r="B12" s="6" t="inlineStr">
        <is>
          <t>ARM64_微架构SDC敏感性_故障注入填充表</t>
        </is>
      </c>
      <c r="C12" s="6" t="inlineStr">
        <is>
          <t>本地汇总工作簿</t>
        </is>
      </c>
      <c r="D12" s="6" t="inlineStr">
        <is>
          <t>2026-09-27核对</t>
        </is>
      </c>
      <c r="E12" s="6" t="inlineStr">
        <is>
          <t>六个OoO单元的现有文章/结果初始汇总</t>
        </is>
      </c>
      <c r="F12" s="6" t="inlineStr">
        <is>
          <t>ARM64_微架构SDC敏感性_故障注入填充表.xlsx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2026-10-12T05:31:47Z</dcterms:created>
  <dcterms:modified xmlns:dcterms="http://purl.org/dc/terms/" xmlns:xsi="http://www.w3.org/2001/XMLSchema-instance" xsi:type="dcterms:W3CDTF">2026-10-12T05:31:47Z</dcterms:modified>
</cp:coreProperties>
</file>
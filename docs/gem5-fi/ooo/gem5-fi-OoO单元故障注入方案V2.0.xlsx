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869e0de5a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说明与总览" sheetId="1" r:id="R227e7e6484c54472"/>
    <x:sheet xmlns:r="http://schemas.openxmlformats.org/officeDocument/2006/relationships" name="1.单元与现有研究" sheetId="2" r:id="R58a1a3823f7842b6"/>
    <x:sheet xmlns:r="http://schemas.openxmlformats.org/officeDocument/2006/relationships" name="2.OOO参数基线" sheetId="3" r:id="Ra34aeeed96e643fe"/>
    <x:sheet xmlns:r="http://schemas.openxmlformats.org/officeDocument/2006/relationships" name="3.位置x模型矩阵" sheetId="4" r:id="R2d47e384d3c34e3b"/>
    <x:sheet xmlns:r="http://schemas.openxmlformats.org/officeDocument/2006/relationships" name="4.观测点定义" sheetId="5" r:id="Rc39122307ec1474f"/>
    <x:sheet xmlns:r="http://schemas.openxmlformats.org/officeDocument/2006/relationships" name="5.频率与统计" sheetId="6" r:id="R3abb541b71734f98"/>
    <x:sheet xmlns:r="http://schemas.openxmlformats.org/officeDocument/2006/relationships" name="6.负载清单" sheetId="7" r:id="Rc2be01f87453461f"/>
    <x:sheet xmlns:r="http://schemas.openxmlformats.org/officeDocument/2006/relationships" name="7.展开执行矩阵" sheetId="8" r:id="Rec299c711e404c09"/>
    <x:sheet xmlns:r="http://schemas.openxmlformats.org/officeDocument/2006/relationships" name="8.文献与来源" sheetId="9" r:id="R8679d969455f47a9"/>
  </x:sheets>
</x:workbook>
</file>

<file path=xl/sharedStrings.xml><?xml version="1.0" encoding="utf-8"?>
<x:sst xmlns:x="http://schemas.openxmlformats.org/spreadsheetml/2006/main">
  <x:si>
    <x:t xml:space="preserve">OOO 单元故障注入方案 - 总览</x:t>
  </x:si>
  <x:si>
    <x:t xml:space="preserve">范围：Int Decode、Int Rename、Int Dispatch/ROB、FP/SIMD Decode、FP/SIMD Rename、FP/SIMD Dispatch/ROB。</x:t>
  </x:si>
  <x:si>
    <x:t xml:space="preserve">统一基线：gem5 stable O3_ARM_v7a_3。主基线是可复现实验模型，不是鲲鹏 920、Neoverse 或其他商业核的复刻。</x:t>
  </x:si>
  <x:si>
    <x:t xml:space="preserve">关键参数：fetch/decode/rename=3，dispatch=6，issue/writeback/commit=8，ROB=40，IQ=32，Int PRF=128，Float PRF=192，Vec PRF=48，单线程。</x:t>
  </x:si>
  <x:si>
    <x:t xml:space="preserve">保护机制核验：六个 OOO 单元均无 gem5 stable 或 ARM 通用架构定义的 ECC/parity/端到端硬件校验保护；不加入这类未来对照模型。实际纳入的完整性路径只有 ARM 译码合法性/Undefined Instruction 异常，以及 ROB 按序提交、精确异常、squash/回滚和 FP 异常提交门控；它们由现有 D/FD/B/FB 模型覆盖。影子状态、golden trace、软件 checksum/assert、gem5 assert/panic 均为观测或仿真器故障，不是 Hardware RAS。</x:t>
  </x:si>
  <x:si>
    <x:t xml:space="preserve">工作簿结构</x:t>
  </x:si>
  <x:si>
    <x:t xml:space="preserve">1.单元与现有研究：填入论文已经覆盖的结构、模型、负载和结果，并区分直接证据、机制类比与研究空白。</x:t>
  </x:si>
  <x:si>
    <x:t xml:space="preserve">2.OOO参数基线：给出 gem5 可直接设置的 B0 参数，以及不改变主结论口径的单因素敏感性配置。</x:t>
  </x:si>
  <x:si>
    <x:t xml:space="preserve">3.位置x模型矩阵：每行一个单元×注入位置×故障模型，并新增故障表现形式/子模型字段，明确频率、负载、触发、传播监控、预期结果和设计理由。</x:t>
  </x:si>
  <x:si>
    <x:t xml:space="preserve">4.观测点定义：L0-L5 传播链。SDC 率分母使用可分析 activated，不使用 attempted。</x:t>
  </x:si>
  <x:si>
    <x:t xml:space="preserve">5.频率与统计：按 eligible event 归一化，F0 单次、F1-F3 重复、F4 突发、F5 永久、F6 确定性事件。</x:t>
  </x:si>
  <x:si>
    <x:t xml:space="preserve">6.负载清单：论文复现、公开通用、真实应用和针对 OOO 机制的自设探针。</x:t>
  </x:si>
  <x:si>
    <x:t xml:space="preserve">7.展开执行矩阵：模型×故障表现形式/子模型×频率×负载全展开。黄色列执行后人工录入，蓝色列自动计算。</x:t>
  </x:si>
  <x:si>
    <x:t xml:space="preserve">8.文献与来源：本地论文与 gem5 官方源码。</x:t>
  </x:si>
  <x:si>
    <x:t xml:space="preserve">统计与判定边界</x:t>
  </x:si>
  <x:si>
    <x:t xml:space="preserve">1) attempted、eligible、activated 分开记录。目标字段未被读取、选择或用于状态转移时记 Injected-not-activated，不进入结果率分母。</x:t>
  </x:si>
  <x:si>
    <x:t xml:space="preserve">2) F0/F6 是单故障实验；F1-F4 是同一运行内多事件压力实验；F5 是永久故障。三类结果分别报告，不合并为一个故障率。</x:t>
  </x:si>
  <x:si>
    <x:t xml:space="preserve">3) 每个模型×频率×负载先取得 30 个 activated 试跑；筛查至少 385 个；主结果使用 Wilson 95% 区间半宽&lt;=2 个百分点或 5000 个 activated 停止。</x:t>
  </x:si>
  <x:si>
    <x:t xml:space="preserve">4) 合法换值必须从当前有效候选集合选择，保存 source/target；不能把随机非法位串称为换值。</x:t>
  </x:si>
  <x:si>
    <x:t xml:space="preserve">5) 首检层级与最终结局独立记录：首检四类且互斥（Hardware RAS / OS / Application / None）；Hardware RAS检测（任意时点）只在实际收到硬件错误报告时记 1，不按注入位置推定。最终结局分 Masked、Detected-contained、Data Corruption、Crash、Timeout，另列 Simulator failure。golden output 对比只作为离线 oracle，不算运行时检测。</x:t>
  </x:si>
  <x:si>
    <x:t xml:space="preserve">6) 最终结局分为 Masked、Detected-contained、Data Corruption、Crash、Timeout；SDC = 运行时三层均未检测且正常完成，但离线 oracle 发现 Data Corruption。Simulator failure 单列。</x:t>
  </x:si>
  <x:si>
    <x:t xml:space="preserve">7) 对共享 ROB，Int 与 FP/SIMD 行使用相同物理 ROB，但通过动态指令类型过滤形成互斥 campaign，不能把同一注入重复计入两组。</x:t>
  </x:si>
  <x:si>
    <x:t xml:space="preserve">单元</x:t>
  </x:si>
  <x:si>
    <x:t xml:space="preserve">作用</x:t>
  </x:si>
  <x:si>
    <x:t xml:space="preserve">现有文章</x:t>
  </x:si>
  <x:si>
    <x:t xml:space="preserve">现有文章结果</x:t>
  </x:si>
  <x:si>
    <x:t xml:space="preserve">指标口径</x:t>
  </x:si>
  <x:si>
    <x:t xml:space="preserve">证据直接性</x:t>
  </x:si>
  <x:si>
    <x:t xml:space="preserve">研究空白/本方案增量</x:t>
  </x:si>
  <x:si>
    <x:t xml:space="preserve">Int Decode</x:t>
  </x:si>
  <x:si>
    <x:t xml:space="preserve">把 AArch64 指令字译成内部操作，识别 opcode、源/目的寄存器、立即数、位宽、移位、标志位和异常属性。</x:t>
  </x:si>
  <x:si>
    <x:t xml:space="preserve">MICRO'24 DelayAVF：Ibex in-order RISC-V，RTL+NanGate 45nm+Verilator；对译码器 1007 根线逐线加入 10%-90% 周期的小延迟故障，并把同一周期产生的状态位错误集合注入后续执行。IISWC'15 与 TC'23 明确不直接注入组合逻辑。</x:t>
  </x:si>
  <x:si>
    <x:t xml:space="preserve">DelayAVF 排序为 ALU &gt; Decoder &gt; Regfile。d=90% 时 Decoder 的 ACE interference 最大/平均为 13.03%/6.73%，ACE compounding 为 2.47%/1.14%，ORACE 估算偏差最大/平均 21.80%/10.45%。论文只给程序可见失败，不分 SDC/Crash。</x:t>
  </x:si>
  <x:si>
    <x:t xml:space="preserve">DelayAVF，不是 SDC 率</x:t>
  </x:si>
  <x:si>
    <x:t xml:space="preserve">直接机制证据，但核心/ISA/流水线类型不同</x:t>
  </x:si>
  <x:si>
    <x:t xml:space="preserve">空白：AArch64 合法 opcode 换值、寄存器字段错配、立即数拼接、uop 序列和 ready/valid 时序。</x:t>
  </x:si>
  <x:si>
    <x:t xml:space="preserve">Int Rename</x:t>
  </x:si>
  <x:si>
    <x:t xml:space="preserve">用 speculative RAT 把 x0-x30 映射到 Int PRF，分配新物理寄存器，维护 free list、ready/busy 和分支 checkpoint。</x:t>
  </x:si>
  <x:si>
    <x:t xml:space="preserve">本地论文无直接注入结果。TC'23 能追踪架构/物理寄存器号但未注入 RAT。HPCA'24 gem5-MARVEL 声称框架可扩展到 register renaming unit，正文结果只覆盖 PRF/L1I/L1D/LQ/SQ。CHAOS 修改架构寄存器值，不修改映射。</x:t>
  </x:si>
  <x:si>
    <x:t xml:space="preserve">无直接实测结果。</x:t>
  </x:si>
  <x:si>
    <x:t xml:space="preserve">不适用</x:t>
  </x:si>
  <x:si>
    <x:t xml:space="preserve">同机制线索</x:t>
  </x:si>
  <x:si>
    <x:t xml:space="preserve">空白：RAT 合法标签替换、free-list 泄漏/重复分配、checkpoint 回滚、ready 状态、旧映射读出。</x:t>
  </x:si>
  <x:si>
    <x:t xml:space="preserve">Int Dispatch / ROB</x:t>
  </x:si>
  <x:si>
    <x:t xml:space="preserve">把重命名后的 uop 分派到 IQ/FU，并在 ROB 中按程序序记录 PC、寄存器标识符、完成/异常/回滚状态，保证精确提交。</x:t>
  </x:si>
  <x:si>
    <x:t xml:space="preserve">TC'23：Armv8 类 A72/Armv7 类 A15，ROB 128/40 项；MiBench 10 个；单比特瞬态，2000 次/结构/负载；commit 比较 PC、opcode、操作数/立即数和寄存器内容。IISWC'15 只列 ROB 配置，未报告 ROB 结果。</x:t>
  </x:si>
  <x:si>
    <x:t xml:space="preserve">TC'23 中 ROB 的 SDC 概率为 0.0%（口径：到达软件层的 non-Benign 故障中产生 SDC 的比例）。作者认为 PC/物理寄存器号损坏通常在 commit 前触发依赖检查失败并 Crash；Masked 占多数。</x:t>
  </x:si>
  <x:si>
    <x:t xml:space="preserve">non-Benign 条件 SDC 占比，不等于总 AVF</x:t>
  </x:si>
  <x:si>
    <x:t xml:space="preserve">直接</x:t>
  </x:si>
  <x:si>
    <x:t xml:space="preserve">空白：ROB 状态位、head/tail、合法标签换值、dispatch steering、commit/squash 时序和 FP 激活子集。</x:t>
  </x:si>
  <x:si>
    <x:t xml:space="preserve">FP/SIMD Decode</x:t>
  </x:si>
  <x:si>
    <x:t xml:space="preserve">译码 AArch64 标量 FP 和 AdvSIMD/NEON 指令，确定标量/向量模式、元素宽度、lane、舍入/异常行为与 uop 序列。</x:t>
  </x:si>
  <x:si>
    <x:t xml:space="preserve">无直接研究。DelayAVF 的 Decoder 是仅整数的 Ibex 译码器；TC'23 的负载无 FP 操作。</x:t>
  </x:si>
  <x:si>
    <x:t xml:space="preserve">机制类比</x:t>
  </x:si>
  <x:si>
    <x:t xml:space="preserve">空白：合法 FP/SIMD opcode 换值、lane/元素宽度、标量/向量模式、FPCR 相关控制和 uop 拆分。</x:t>
  </x:si>
  <x:si>
    <x:t xml:space="preserve">FP/SIMD Rename</x:t>
  </x:si>
  <x:si>
    <x:t xml:space="preserve">把 V 寄存器的标量 FP/128-bit SIMD 目的和源映射到 Float/Vec PRF，维护对应 free list、ready 状态和 checkpoint。</x:t>
  </x:si>
  <x:si>
    <x:t xml:space="preserve">无直接研究。TC'23 明确因 MiBench 无 FP 操作而不注入 FP PRF，更未注入 FP/SIMD RAT。Harpocrates 注入 FP 功能单元，不注入重命名。</x:t>
  </x:si>
  <x:si>
    <x:t xml:space="preserve">空白</x:t>
  </x:si>
  <x:si>
    <x:t xml:space="preserve">空白：FP/Vec RAT、跨类别选择、partial-write/zeroing 语义、free list、checkpoint 和 ready 时序。</x:t>
  </x:si>
  <x:si>
    <x:t xml:space="preserve">FP/SIMD Dispatch/ROB</x:t>
  </x:si>
  <x:si>
    <x:t xml:space="preserve">将 FP/SIMD uop 分派到可执行对应 opClass 的 FU，并在共享 ROB 中维护完成、FP 异常、目的标签和按序提交。</x:t>
  </x:si>
  <x:si>
    <x:t xml:space="preserve">TC'23 的统一 ROB 是直接结构证据，但其负载无 FP/SIMD 指令，不能作为 FP 激活结果。Veritas/Harpocrates 对 FP 功能单元的结果不等同于 FP dispatch/ROB。</x:t>
  </x:si>
  <x:si>
    <x:t xml:space="preserve">无 FP/SIMD 激活子集的直接结果；只能保留 TC'23 的 ROB 机制结论作为先验。</x:t>
  </x:si>
  <x:si>
    <x:t xml:space="preserve">结构直接、激活域不直接</x:t>
  </x:si>
  <x:si>
    <x:t xml:space="preserve">部分直接</x:t>
  </x:si>
  <x:si>
    <x:t xml:space="preserve">空白：FP FU steering、lane writeback mask、完成事件配对、FP exception/done、squash 和 commit 时序。</x:t>
  </x:si>
  <x:si>
    <x:t xml:space="preserve">结构/参数</x:t>
  </x:si>
  <x:si>
    <x:t xml:space="preserve">B0最终值</x:t>
  </x:si>
  <x:si>
    <x:t xml:space="preserve">处理</x:t>
  </x:si>
  <x:si>
    <x:t xml:space="preserve">依据/合理性判断</x:t>
  </x:si>
  <x:si>
    <x:t xml:space="preserve">敏感性配置</x:t>
  </x:si>
  <x:si>
    <x:t xml:space="preserve">CPU模型</x:t>
  </x:si>
  <x:si>
    <x:t xml:space="preserve">gem5 stable O3_ARM_v7a_3 / ArmO3CPU</x:t>
  </x:si>
  <x:si>
    <x:t xml:space="preserve">主基线</x:t>
  </x:si>
  <x:si>
    <x:t xml:space="preserve">官方 Arm O3 示例，可直接复现；不是商业核复刻</x:t>
  </x:si>
  <x:si>
    <x:t xml:space="preserve">S0=BaseO3CPU 默认宽核，仅做敏感性</x:t>
  </x:si>
  <x:si>
    <x:t xml:space="preserve">线程</x:t>
  </x:si>
  <x:si>
    <x:t xml:space="preserve">1</x:t>
  </x:si>
  <x:si>
    <x:t xml:space="preserve">保留</x:t>
  </x:si>
  <x:si>
    <x:t xml:space="preserve">避免 SMT 共享策略把结构容量和故障传播混在一起</x:t>
  </x:si>
  <x:si>
    <x:t xml:space="preserve">不在主 campaign 开 SMT</x:t>
  </x:si>
  <x:si>
    <x:t xml:space="preserve">fetchWidth / fetchBufferSize</x:t>
  </x:si>
  <x:si>
    <x:t xml:space="preserve">3 / 16B</x:t>
  </x:si>
  <x:si>
    <x:t xml:space="preserve">O3_ARM_v7a_3 明确覆盖</x:t>
  </x:si>
  <x:si>
    <x:t xml:space="preserve">B0</x:t>
  </x:si>
  <x:si>
    <x:t xml:space="preserve">decodeWidth / fetchToDecodeDelay</x:t>
  </x:si>
  <x:si>
    <x:t xml:space="preserve">3 / 3 cycles</x:t>
  </x:si>
  <x:si>
    <x:t xml:space="preserve">S1=4-wide decode，其他参数不变</x:t>
  </x:si>
  <x:si>
    <x:t xml:space="preserve">decodeToRenameDelay / renameWidth</x:t>
  </x:si>
  <x:si>
    <x:t xml:space="preserve">2 cycles / 3</x:t>
  </x:si>
  <x:si>
    <x:t xml:space="preserve">S1=4-wide rename</x:t>
  </x:si>
  <x:si>
    <x:t xml:space="preserve">renameToIEWDelay / renameToROBDelay</x:t>
  </x:si>
  <x:si>
    <x:t xml:space="preserve">1 / 1 cycle</x:t>
  </x:si>
  <x:si>
    <x:t xml:space="preserve">dispatchWidth</x:t>
  </x:si>
  <x:si>
    <x:t xml:space="preserve">6</x:t>
  </x:si>
  <x:si>
    <x:t xml:space="preserve">S2=8</x:t>
  </x:si>
  <x:si>
    <x:t xml:space="preserve">issueWidth / wbWidth / commitWidth</x:t>
  </x:si>
  <x:si>
    <x:t xml:space="preserve">8 / 8 / 8</x:t>
  </x:si>
  <x:si>
    <x:t xml:space="preserve">squashWidth</x:t>
  </x:si>
  <x:si>
    <x:t xml:space="preserve">8</x:t>
  </x:si>
  <x:si>
    <x:t xml:space="preserve">S3=无限制即时 squash（Base 默认未指定）</x:t>
  </x:si>
  <x:si>
    <x:t xml:space="preserve">IQ entries</x:t>
  </x:si>
  <x:si>
    <x:t xml:space="preserve">32</x:t>
  </x:si>
  <x:si>
    <x:t xml:space="preserve">O3_ARM_v7a_IQ.numEntries</x:t>
  </x:si>
  <x:si>
    <x:t xml:space="preserve">S4=64</x:t>
  </x:si>
  <x:si>
    <x:t xml:space="preserve">ROB entries / ROBs</x:t>
  </x:si>
  <x:si>
    <x:t xml:space="preserve">40 / 1</x:t>
  </x:si>
  <x:si>
    <x:t xml:space="preserve">O3_ARM_v7a_3 覆盖 numROBEntries；BaseO3CPU numRobs=1</x:t>
  </x:si>
  <x:si>
    <x:t xml:space="preserve">S4=128；S5=192</x:t>
  </x:si>
  <x:si>
    <x:t xml:space="preserve">Int physical registers</x:t>
  </x:si>
  <x:si>
    <x:t xml:space="preserve">128</x:t>
  </x:si>
  <x:si>
    <x:t xml:space="preserve">S4=192；S5=256</x:t>
  </x:si>
  <x:si>
    <x:t xml:space="preserve">Float physical registers</x:t>
  </x:si>
  <x:si>
    <x:t xml:space="preserve">192</x:t>
  </x:si>
  <x:si>
    <x:t xml:space="preserve">S4=256</x:t>
  </x:si>
  <x:si>
    <x:t xml:space="preserve">Vector physical registers</x:t>
  </x:si>
  <x:si>
    <x:t xml:space="preserve">48</x:t>
  </x:si>
  <x:si>
    <x:t xml:space="preserve">S4=64；不把它解释为商业核 PRF 容量</x:t>
  </x:si>
  <x:si>
    <x:t xml:space="preserve">Vector predicate registers</x:t>
  </x:si>
  <x:si>
    <x:t xml:space="preserve">继承默认但主负载不用</x:t>
  </x:si>
  <x:si>
    <x:t xml:space="preserve">BaseO3CPU 默认；B0 聚焦 AArch64 FP/AdvSIMD，不宣称 SVE 微架构复刻</x:t>
  </x:si>
  <x:si>
    <x:t xml:space="preserve">仅在显式 SVE 扩展 campaign 中启用</x:t>
  </x:si>
  <x:si>
    <x:t xml:space="preserve">整数 FU</x:t>
  </x:si>
  <x:si>
    <x:t xml:space="preserve">2×IntAlu(opLat=1) + 1×IntMult/IntDiv/System</x:t>
  </x:si>
  <x:si>
    <x:t xml:space="preserve">O3_ARM_v7a 官方 FU pool</x:t>
  </x:si>
  <x:si>
    <x:t xml:space="preserve">不在 OOO 主实验改变</x:t>
  </x:si>
  <x:si>
    <x:t xml:space="preserve">FP/SIMD FU</x:t>
  </x:si>
  <x:si>
    <x:t xml:space="preserve">2 个；按 opClass 使用 3-33 cycle 延迟</x:t>
  </x:si>
  <x:si>
    <x:t xml:space="preserve">O3_ARM_v7a_FP 官方定义</x:t>
  </x:si>
  <x:si>
    <x:t xml:space="preserve">S6=1 个 FP/SIMD FU，研究资源竞争</x:t>
  </x:si>
  <x:si>
    <x:t xml:space="preserve">trapLatency</x:t>
  </x:si>
  <x:si>
    <x:t xml:space="preserve">13 cycles</x:t>
  </x:si>
  <x:si>
    <x:t xml:space="preserve">O3_ARM_v7a_3 与 BaseO3CPU 一致</x:t>
  </x:si>
  <x:si>
    <x:t xml:space="preserve">backComSize / forwardComSize</x:t>
  </x:si>
  <x:si>
    <x:t xml:space="preserve">5 / 5</x:t>
  </x:si>
  <x:si>
    <x:t xml:space="preserve">ISA/向量范围</x:t>
  </x:si>
  <x:si>
    <x:t xml:space="preserve">AArch64 + scalar FP + AdvSIMD/NEON 128-bit</x:t>
  </x:si>
  <x:si>
    <x:t xml:space="preserve">限定</x:t>
  </x:si>
  <x:si>
    <x:t xml:space="preserve">与 Arm O3 示例可执行能力和公开负载相容；不把 N2/N3 的 SVE2 特性硬套到 B0</x:t>
  </x:si>
  <x:si>
    <x:t xml:space="preserve">SVE 单独扩展，不与 B0 合并</x:t>
  </x:si>
  <x:si>
    <x:t xml:space="preserve">OOO结构保护</x:t>
  </x:si>
  <x:si>
    <x:t xml:space="preserve">无 ECC/parity</x:t>
  </x:si>
  <x:si>
    <x:t xml:space="preserve">按要求不实现</x:t>
  </x:si>
  <x:si>
    <x:t xml:space="preserve">官方 gem5 参数与核对论文没有明确配置这些保护；影子 trace 只作 oracle</x:t>
  </x:si>
  <x:si>
    <x:t xml:space="preserve">不建立“有保护”主组</x:t>
  </x:si>
  <x:si>
    <x:t xml:space="preserve">时钟</x:t>
  </x:si>
  <x:si>
    <x:t xml:space="preserve">2.6GHz 仅用于辅助换算</x:t>
  </x:si>
  <x:si>
    <x:t xml:space="preserve">沿用 LSU 口径</x:t>
  </x:si>
  <x:si>
    <x:t xml:space="preserve">注入频率以 eligible event 为主，避免 IPC 和宽度差异造成偏置</x:t>
  </x:si>
  <x:si>
    <x:t xml:space="preserve">1ms=2,600,000 cycles</x:t>
  </x:si>
  <x:si>
    <x:t xml:space="preserve">检查点与运行模式</x:t>
  </x:si>
  <x:si>
    <x:t xml:space="preserve">SE 主跑；FS 复现 TC'23/OS 传播</x:t>
  </x:si>
  <x:si>
    <x:t xml:space="preserve">新增</x:t>
  </x:si>
  <x:si>
    <x:t xml:space="preserve">OOO 内部定位用 SE 成本低；异常、内核和完整传播必须用 FS 复核</x:t>
  </x:si>
  <x:si>
    <x:t xml:space="preserve">每个主结论至少一个 FS 负载</x:t>
  </x:si>
  <x:si>
    <x:t xml:space="preserve">逐单元保护机制核验（只列实际存在且纳入实现的机制）</x:t>
  </x:si>
  <x:si>
    <x:t xml:space="preserve">有：AArch64 非法/未定义编码的合法性判定与 Undefined Instruction 异常路径</x:t>
  </x:si>
  <x:si>
    <x:t xml:space="preserve">实现</x:t>
  </x:si>
  <x:si>
    <x:t xml:space="preserve">D01/D02 的原始指令扰动 + L5 OS首检/最终结局；合法换值仍按 Application/None 统计</x:t>
  </x:si>
  <x:si>
    <x:t xml:space="preserve">不是ECC/parity；不是Hardware RAS</x:t>
  </x:si>
  <x:si>
    <x:t xml:space="preserve">有：FP/SIMD 指令合法性与异常属性元数据进入精确异常/FP状态路径</x:t>
  </x:si>
  <x:si>
    <x:t xml:space="preserve">FD01/FD02/FD05/FD06/FD08/FD09，观察异常提交与OS/Application首检</x:t>
  </x:si>
  <x:si>
    <x:t xml:space="preserve">不是ECC/parity；FPSR/FPCR是架构状态，不是RAS</x:t>
  </x:si>
  <x:si>
    <x:t xml:space="preserve">无 ARM 架构可见的重命名校验保护；gem5 stable无该单元ECC/parity配置</x:t>
  </x:si>
  <x:si>
    <x:t xml:space="preserve">不实现保护对照</x:t>
  </x:si>
  <x:si>
    <x:t xml:space="preserve">仅注入RAT/free-list/ready/checkpoint本身（R01-R09）并记录局部不变量偏差</x:t>
  </x:si>
  <x:si>
    <x:t xml:space="preserve">影子RAT/free+allocated守恒是观测器</x:t>
  </x:si>
  <x:si>
    <x:t xml:space="preserve">有功能性完整性约束：按序提交、精确异常、squash/回滚和生命周期门控；无ECC/parity</x:t>
  </x:si>
  <x:si>
    <x:t xml:space="preserve">B04/B05/B08/B09覆盖状态与事务故障；gem5依赖检查/断言只记Simulator failure</x:t>
  </x:si>
  <x:si>
    <x:t xml:space="preserve">不能记Hardware RAS</x:t>
  </x:si>
  <x:si>
    <x:t xml:space="preserve">仅注入FP/Vec RAT/free-list/ready/checkpoint/partial-write（FR01-FR10）</x:t>
  </x:si>
  <x:si>
    <x:t xml:space="preserve">影子状态只用于传播观测</x:t>
  </x:si>
  <x:si>
    <x:t xml:space="preserve">FP/SIMD Dispatch / ROB</x:t>
  </x:si>
  <x:si>
    <x:t xml:space="preserve">有功能性完整性约束：FP异常/完成门控、按序提交、squash/回滚；无ECC/parity</x:t>
  </x:si>
  <x:si>
    <x:t xml:space="preserve">FB04/FB05/FB08/FB09覆盖；FPSR/异常标志仅在实际产生时记录</x:t>
  </x:si>
  <x:si>
    <x:t xml:space="preserve">不能按位置推定Hardware RAS</x:t>
  </x:si>
  <x:si>
    <x:t xml:space="preserve">模型ID</x:t>
  </x:si>
  <x:si>
    <x:t xml:space="preserve">注入位置（结构与正常作用）</x:t>
  </x:si>
  <x:si>
    <x:t xml:space="preserve">故障类型</x:t>
  </x:si>
  <x:si>
    <x:t xml:space="preserve">故障模型（实施步骤与激活口径）</x:t>
  </x:si>
  <x:si>
    <x:t xml:space="preserve">故障表现形式/子模型</x:t>
  </x:si>
  <x:si>
    <x:t xml:space="preserve">适用频率</x:t>
  </x:si>
  <x:si>
    <x:t xml:space="preserve">适用负载（真实名称）</x:t>
  </x:si>
  <x:si>
    <x:t xml:space="preserve">事件触发条件</x:t>
  </x:si>
  <x:si>
    <x:t xml:space="preserve">传播链重点观测</x:t>
  </x:si>
  <x:si>
    <x:t xml:space="preserve">预期结果（待验证假设）</x:t>
  </x:si>
  <x:si>
    <x:t xml:space="preserve">设计理由</x:t>
  </x:si>
  <x:si>
    <x:t xml:space="preserve">文献依据/直接性</x:t>
  </x:si>
  <x:si>
    <x:t xml:space="preserve">保护机制归属</x:t>
  </x:si>
  <x:si>
    <x:t xml:space="preserve">D01</x:t>
  </x:si>
  <x:si>
    <x:t xml:space="preserve">fetch/decode边界的32-bit A64指令字锁存器；保存本周期将被译码的原始指令。</x:t>
  </x:si>
  <x:si>
    <x:t xml:space="preserve">单比特翻转</x:t>
  </x:si>
  <x:si>
    <x:t xml:space="preserve">在译码读取前翻转指令字1 bit。每次运行只选一个当前有效字段，在字段内均匀抽1 bit做XOR；保存动态指令ID、原值、故障值和bit编号。仅当故障字段被下游读取/选择/用于状态转移时计activated。触发：有效A64整数指令进入decode。</x:t>
  </x:si>
  <x:si>
    <x:t xml:space="preserve">D01-a opcode/主操作码字段；D01-b 源/目的寄存器字段；D01-c 立即数/移位字段；D01-d 标志与控制字段；每次只翻1 bit</x:t>
  </x:si>
  <x:si>
    <x:t xml:space="preserve">F0 / F1 / F2</x:t>
  </x:si>
  <x:si>
    <x:t xml:space="preserve">W3 A64-DecodeProbe
W6 CoreMark+Embench</x:t>
  </x:si>
  <x:si>
    <x:t xml:space="preserve">有效A64整数指令进入decode</x:t>
  </x:si>
  <x:si>
    <x:t xml:space="preserve">L0 eligible/activated；L1 指令字与decode tuple(opClass/src/dst/imm/width/flags/uop数)；L2 rename输入与合法性；L3执行FU/结果；L4首个错误commit PC/opcode/寄存器；L5检测层级与最终结局；另记illegal decode、uop增删和控制流偏离</x:t>
  </x:si>
  <x:si>
    <x:t xml:space="preserve">高位/major opcode翻转更易illegal或Crash；寄存器/立即数字段翻转更易产生合法但错误执行和SDC</x:t>
  </x:si>
  <x:si>
    <x:t xml:space="preserve">最基本瞬态基线；按字段分层统计，避免只得到整体平均</x:t>
  </x:si>
  <x:si>
    <x:t xml:space="preserve">IISWC15/TC23使用单bit基线；译码直接证据为MICRO24</x:t>
  </x:si>
  <x:si>
    <x:t xml:space="preserve">架构合法性/异常路径（非ECC/parity）</x:t>
  </x:si>
  <x:si>
    <x:t xml:space="preserve">D02</x:t>
  </x:si>
  <x:si>
    <x:t xml:space="preserve">同一32-bit指令字锁存器；模拟一次多位扰动而不改其他流水状态。</x:t>
  </x:si>
  <x:si>
    <x:t xml:space="preserve">双比特翻转</x:t>
  </x:si>
  <x:si>
    <x:t xml:space="preserve">在同一指令字内翻转2 bit，并按opcode/operand跨字段与同字段分层。同一字段同时翻转2个不同bit，50%相邻、50%非相邻；两bit在同一事件生效，不与其他字段叠加。保存bit距离和原/故障值。仅当字段被消费时计activated。触发：有效A64整数指令进入decode。</x:t>
  </x:si>
  <x:si>
    <x:t xml:space="preserve">D02-a 同字段相邻双bit；D02-b 同字段非相邻双bit；D02-c opcode/operand跨字段双bit</x:t>
  </x:si>
  <x:si>
    <x:t xml:space="preserve">F0 / F2</x:t>
  </x:si>
  <x:si>
    <x:t xml:space="preserve">合法指令替换与illegal两极化增强；跨字段双翻转可能绕开单字段规律</x:t>
  </x:si>
  <x:si>
    <x:t xml:space="preserve">覆盖MBU和DelayAVF观察到的多状态位错误</x:t>
  </x:si>
  <x:si>
    <x:t xml:space="preserve">MICRO24；CHAOS26多bit规律类比</x:t>
  </x:si>
  <x:si>
    <x:t xml:space="preserve">D03</x:t>
  </x:si>
  <x:si>
    <x:t xml:space="preserve">major opcode/opClass译码输出；决定ALU、branch、load/store、system等内部类别。</x:t>
  </x:si>
  <x:si>
    <x:t xml:space="preserve">换值</x:t>
  </x:si>
  <x:si>
    <x:t xml:space="preserve">把opClass替换为同格式、操作数字段兼容的另一合法整数opClass，如ADD↔SUB、AND↔ORR。从当前有效且生命周期合法的候选集合中选择另一个合法值；禁止空闲、越界或编码非法候选。保存source/target和候选集大小。仅当替换值被消费时计activated。触发：候选opClass非空且目标FU可用。</x:t>
  </x:si>
  <x:si>
    <x:t xml:space="preserve">D03-a 算术opClass合法换值（ADD↔SUB）；D03-b 逻辑opClass合法换值（AND↔ORR）；D03-c 跨FU合法类别换值</x:t>
  </x:si>
  <x:si>
    <x:t xml:space="preserve">F0 / F2 / F6</x:t>
  </x:si>
  <x:si>
    <x:t xml:space="preserve">候选opClass非空且目标FU可用</x:t>
  </x:si>
  <x:si>
    <x:t xml:space="preserve">比随机翻转更易静默通过合法性检查，预期SDC比例上升；跨FU替换更易Crash/Timeout</x:t>
  </x:si>
  <x:si>
    <x:t xml:space="preserve">直接研究合法控制替换而非非法编码</x:t>
  </x:si>
  <x:si>
    <x:t xml:space="preserve">本方案结构化模型；MICRO24提供译码时延机制证据</x:t>
  </x:si>
  <x:si>
    <x:t xml:space="preserve">D04</x:t>
  </x:si>
  <x:si>
    <x:t xml:space="preserve">译码输出的src0/src1/dst架构寄存器号。</x:t>
  </x:si>
  <x:si>
    <x:t xml:space="preserve">把一个源或目的寄存器替换为另一当前合法架构寄存器；源互换、dst替换、x0注入分开统计。从当前有效且生命周期合法的候选集合中选择另一个合法值；禁止空闲、越界或编码非法候选。保存source/target和候选集大小。仅当替换值被消费时计activated。触发：至少两个可选架构寄存器。</x:t>
  </x:si>
  <x:si>
    <x:t xml:space="preserve">D04-a src0替换；D04-b src1替换；D04-c src0/src1互换；D04-d dst替换；D04-e x0注入；子模型分开统计</x:t>
  </x:si>
  <x:si>
    <x:t xml:space="preserve">W3 A64-DecodeProbe
W4 Rename-Dependency</x:t>
  </x:si>
  <x:si>
    <x:t xml:space="preserve">至少两个可选架构寄存器</x:t>
  </x:si>
  <x:si>
    <x:t xml:space="preserve">源/目的仍合法，易进入rename并产生静默数据路径；dst=x0可能掩蔽，src=x0可能稳定偏差</x:t>
  </x:si>
  <x:si>
    <x:t xml:space="preserve">覆盖译码字段到rename映射的关键静默路径</x:t>
  </x:si>
  <x:si>
    <x:t xml:space="preserve">本方案结构化模型</x:t>
  </x:si>
  <x:si>
    <x:t xml:space="preserve">D05</x:t>
  </x:si>
  <x:si>
    <x:t xml:space="preserve">立即数抽取、符号扩展与分段拼接输出。</x:t>
  </x:si>
  <x:si>
    <x:t xml:space="preserve">错位拼接</x:t>
  </x:si>
  <x:si>
    <x:t xml:space="preserve">将imm片段互换、循环移位、符号扩展改零扩展或读取上一条imm；每种规则独立，保留完整位宽。仅命中含对应立即数字段的指令且错误imm被执行时计activated。</x:t>
  </x:si>
  <x:si>
    <x:t xml:space="preserve">D05-a 立即数字段互换；D05-b 立即数循环移位；D05-c 符号扩展↔零扩展；D05-d 读取上一条立即数</x:t>
  </x:si>
  <x:si>
    <x:t xml:space="preserve">命中立即数/shift/extend指令</x:t>
  </x:si>
  <x:si>
    <x:t xml:space="preserve">地址/算术立即数仍合法时易SDC；分支偏移错误更易控制流异常</x:t>
  </x:si>
  <x:si>
    <x:t xml:space="preserve">适配A64分散立即数字段和扩展逻辑</x:t>
  </x:si>
  <x:si>
    <x:t xml:space="preserve">D06</x:t>
  </x:si>
  <x:si>
    <x:t xml:space="preserve">位宽、shift/extend、setflags、signed/unsigned等控制位输出。</x:t>
  </x:si>
  <x:si>
    <x:t xml:space="preserve">状态</x:t>
  </x:si>
  <x:si>
    <x:t xml:space="preserve">把sf、S、shift type、extend type或条件码控制替换为另一合法组合，数据字段保持不变。清零、伪造、提前置位和延后清除分成独立子模型，每次运行只改变一种状态转移；记录前后状态机轨迹和关联动态指令。仅当错误状态参与仲裁/转移时计activated。触发：目标控制位被指令实际使用。</x:t>
  </x:si>
  <x:si>
    <x:t xml:space="preserve">D06-a sf位换值；D06-b setflags/S位换值；D06-c shift类型换值；D06-d extend类型换值；D06-e signed/unsigned控制换值</x:t>
  </x:si>
  <x:si>
    <x:t xml:space="preserve">目标控制位被指令实际使用</x:t>
  </x:si>
  <x:si>
    <x:t xml:space="preserve">32/64位和符号语义错误通常仍可提交，预期是高价值SDC路径；setflags错误可能延迟到后续分支才显现</x:t>
  </x:si>
  <x:si>
    <x:t xml:space="preserve">控制位对数据/控制传播作用不同，必须独立监控</x:t>
  </x:si>
  <x:si>
    <x:t xml:space="preserve">D07</x:t>
  </x:si>
  <x:si>
    <x:t xml:space="preserve">decode valid/ready握手与输出流水锁存器。</x:t>
  </x:si>
  <x:si>
    <x:t xml:space="preserve">时序</x:t>
  </x:si>
  <x:si>
    <x:t xml:space="preserve">让一条decode结果提前1拍读取旧tuple、延后1拍、丢失或重复一次。绑定一个动态指令/事件ID，提前、延后、丢失、重复分开执行；数据载荷保持正确。仅当下游因此读取旧值、漏发、重复或改变顺序时计activated。触发：连续两条有效整数指令且tuple不同。</x:t>
  </x:si>
  <x:si>
    <x:t xml:space="preserve">D07-a 提前1拍；D07-b 延后1拍；D07-c 丢失一次；D07-d 重复一次；按事件ID分开统计</x:t>
  </x:si>
  <x:si>
    <x:t xml:space="preserve">F0 / F4 / F6</x:t>
  </x:si>
  <x:si>
    <x:t xml:space="preserve">W3 A64-DecodeProbe
W5 ROB-Recovery</x:t>
  </x:si>
  <x:si>
    <x:t xml:space="preserve">连续两条有效整数指令且tuple不同</x:t>
  </x:si>
  <x:si>
    <x:t xml:space="preserve">提前/重复可能造成旧指令或重复uop进入rename；延后多为性能损失，丢失可能错误提交或死锁</x:t>
  </x:si>
  <x:si>
    <x:t xml:space="preserve">覆盖小时延故障在周期级模拟器中的可实现映射</x:t>
  </x:si>
  <x:si>
    <x:t xml:space="preserve">MICRO24方法论类比</x:t>
  </x:si>
  <x:si>
    <x:t xml:space="preserve">D08</x:t>
  </x:si>
  <x:si>
    <x:t xml:space="preserve">复杂指令拆分后的uop序列、uop index和last-uop标记。</x:t>
  </x:si>
  <x:si>
    <x:t xml:space="preserve">状态/时序</x:t>
  </x:si>
  <x:si>
    <x:t xml:space="preserve">对多uop指令丢失、重复、互换一个uop，或提前伪造last-uop。绑定一个动态指令/事件ID，提前、延后、丢失、重复分开执行；数据载荷保持正确。仅当下游因此读取旧值、漏发、重复或改变顺序时计activated。触发：decode产生至少2个uop。</x:t>
  </x:si>
  <x:si>
    <x:t xml:space="preserve">D08-a 丢失一个uop；D08-b 重复一个uop；D08-c 互换uop顺序；D08-d 提前伪造last-uop</x:t>
  </x:si>
  <x:si>
    <x:t xml:space="preserve">decode产生至少2个uop</x:t>
  </x:si>
  <x:si>
    <x:t xml:space="preserve">漏/重复微操作可能绕过单条opcode比较并造成部分副作用；ROB计数不一致时易Crash</x:t>
  </x:si>
  <x:si>
    <x:t xml:space="preserve">适配decode真正的序列生成功能</x:t>
  </x:si>
  <x:si>
    <x:t xml:space="preserve">D09</x:t>
  </x:si>
  <x:si>
    <x:t xml:space="preserve">固定一根opcode/寄存器/控制输出位，影响后续所有命中该位的译码事件。</x:t>
  </x:si>
  <x:si>
    <x:t xml:space="preserve">卡死</x:t>
  </x:si>
  <x:si>
    <x:t xml:space="preserve">选择一个decode输出bit实施stuck-at-0/1，按字段分层。warm-up后固定一个bit/控制位，分别做stuck-at-0和stuck-at-1，每次经过均施加到结束；正确值本来等于卡死值时不增加activated。触发：warm-up后每条整数decode。</x:t>
  </x:si>
  <x:si>
    <x:t xml:space="preserve">D09-a opcode输出bit stuck-at-0；D09-b opcode输出bit stuck-at-1；D09-c 寄存器字段bit卡死；D09-d 控制字段bit卡死</x:t>
  </x:si>
  <x:si>
    <x:t xml:space="preserve">F5</x:t>
  </x:si>
  <x:si>
    <x:t xml:space="preserve">warm-up后每条整数decode</x:t>
  </x:si>
  <x:si>
    <x:t xml:space="preserve">高使用率控制位卡死多为快速Crash；低使用率字段可能形成输入相关、重复出现的SDC</x:t>
  </x:si>
  <x:si>
    <x:t xml:space="preserve">覆盖永久边际缺陷和数据相关激活</x:t>
  </x:si>
  <x:si>
    <x:t xml:space="preserve">CHAOS26 stuck-at方法；无直接decode结果</x:t>
  </x:si>
  <x:si>
    <x:t xml:space="preserve">R01</x:t>
  </x:si>
  <x:si>
    <x:t xml:space="preserve">speculative RAT中的架构寄存器→物理寄存器映射项。</x:t>
  </x:si>
  <x:si>
    <x:t xml:space="preserve">在源查表或目的重命名前翻转一个当前映射tag bit。每次运行只选一个当前有效字段，在字段内均匀抽1 bit做XOR；保存动态指令ID、原值、故障值和bit编号。仅当故障字段被下游读取/选择/用于状态转移时计activated。触发：目标架构寄存器当前有有效映射。</x:t>
  </x:si>
  <x:si>
    <x:t xml:space="preserve">R01-a RAT源映射tag bit；R01-b RAT目的映射tag bit；按tag字段和bit分层</x:t>
  </x:si>
  <x:si>
    <x:t xml:space="preserve">W4 Rename-Dependency
W6 CoreMark+Embench</x:t>
  </x:si>
  <x:si>
    <x:t xml:space="preserve">目标架构寄存器当前有有效映射</x:t>
  </x:si>
  <x:si>
    <x:t xml:space="preserve">L0 eligible/activated；L1 speculative/committed RAT、free-list、ready/busy、checkpoint差异与映射唯一性；L2 dispatch源/目的物理tag与依赖边；L3 PRF读写/FU结果；L4首个错误commit和错误值扇出；L5检测与结局；另记泄漏、重复分配、use-after-free、停顿/死锁</x:t>
  </x:si>
  <x:si>
    <x:t xml:space="preserve">翻到空闲/越界tag多为依赖失败或Crash；翻到活跃合法tag可读取错误旧值并SDC</x:t>
  </x:si>
  <x:si>
    <x:t xml:space="preserve">RAT最基本瞬态基线，需按候选tag状态分层</x:t>
  </x:si>
  <x:si>
    <x:t xml:space="preserve">无直接结果；TC23的ROB物理tag案例提供机制类比</x:t>
  </x:si>
  <x:si>
    <x:t xml:space="preserve">无已核实硬件校验保护；仅观测内部不变量</x:t>
  </x:si>
  <x:si>
    <x:t xml:space="preserve">R02</x:t>
  </x:si>
  <x:si>
    <x:t xml:space="preserve">同一speculative RAT映射项。</x:t>
  </x:si>
  <x:si>
    <x:t xml:space="preserve">同时翻转同一物理tag的2 bit。同一字段同时翻转2个不同bit，50%相邻、50%非相邻；两bit在同一事件生效，不与其他字段叠加。保存bit距离和原/故障值。仅当字段被消费时计activated。触发：目标映射将被当前指令读取。</x:t>
  </x:si>
  <x:si>
    <x:t xml:space="preserve">R02-a 同tag相邻双bit；R02-b 同tag非相邻双bit</x:t>
  </x:si>
  <x:si>
    <x:t xml:space="preserve">W4 Rename-Dependency
W7 GAP-Selected</x:t>
  </x:si>
  <x:si>
    <x:t xml:space="preserve">目标映射将被当前指令读取</x:t>
  </x:si>
  <x:si>
    <x:t xml:space="preserve">落入另一个合法活跃tag的概率变化决定SDC/Crash极化</x:t>
  </x:si>
  <x:si>
    <x:t xml:space="preserve">覆盖多bit和tag编码距离</x:t>
  </x:si>
  <x:si>
    <x:t xml:space="preserve">CHAOS26多bit规律类比</x:t>
  </x:si>
  <x:si>
    <x:t xml:space="preserve">R03</x:t>
  </x:si>
  <x:si>
    <x:t xml:space="preserve">speculative RAT读出的源物理tag。</x:t>
  </x:si>
  <x:si>
    <x:t xml:space="preserve">把源tag替换为另一活跃且ready的物理寄存器tag；src0/src1互换单列。从当前有效且生命周期合法的候选集合中选择另一个合法值；禁止空闲、越界或编码非法候选。保存source/target和候选集大小。仅当替换值被消费时计activated。触发：至少两个活跃ready候选tag。</x:t>
  </x:si>
  <x:si>
    <x:t xml:space="preserve">R03-a src0替换为另一活跃ready tag；R03-b src1替换为另一活跃ready tag；R03-c src0/src1互换；子模型分开统计</x:t>
  </x:si>
  <x:si>
    <x:t xml:space="preserve">至少两个活跃ready候选tag</x:t>
  </x:si>
  <x:si>
    <x:t xml:space="preserve">合法tag替换绕开空闲检查，预期比随机翻转更易SDC</x:t>
  </x:si>
  <x:si>
    <x:t xml:space="preserve">直接检验合法但错误依赖边</x:t>
  </x:si>
  <x:si>
    <x:t xml:space="preserve">本方案结构化模型；Zenbleed类use-after-free机制仅作案例背景</x:t>
  </x:si>
  <x:si>
    <x:t xml:space="preserve">R04</x:t>
  </x:si>
  <x:si>
    <x:t xml:space="preserve">目的寄存器新物理tag分配结果与old-dest tag。</x:t>
  </x:si>
  <x:si>
    <x:t xml:space="preserve">把new-dest替换为另一空闲tag，或把old-dest替换为另一活跃tag；两个子模型分开。从当前有效且生命周期合法的候选集合中选择另一个合法值；禁止空闲、越界或编码非法候选。保存source/target和候选集大小。仅当替换值被消费时计activated。触发：目的寄存器需要分配且候选集合非空。</x:t>
  </x:si>
  <x:si>
    <x:t xml:space="preserve">R04-a new-dest替换为空闲tag；R04-b old-dest替换为另一活跃tag；子模型分开统计</x:t>
  </x:si>
  <x:si>
    <x:t xml:space="preserve">目的寄存器需要分配且候选集合非空</x:t>
  </x:si>
  <x:si>
    <x:t xml:space="preserve">错误new-dest可能与后续写回/ROB仍自洽而潜伏；错误old-dest会导致错误释放和延迟use-after-free</x:t>
  </x:si>
  <x:si>
    <x:t xml:space="preserve">区分即时映射错误与延迟资源生命周期错误</x:t>
  </x:si>
  <x:si>
    <x:t xml:space="preserve">R05</x:t>
  </x:si>
  <x:si>
    <x:t xml:space="preserve">free list bitmap/队列项和head指针，保证每个空闲物理寄存器只分配一次。</x:t>
  </x:si>
  <x:si>
    <x:t xml:space="preserve">清除一个真实空闲位造成泄漏，伪造一个占用tag为空闲造成重复分配，或使head跳到另一合法槽。清零、伪造、提前置位和延后清除分成独立子模型，每次运行只改变一种状态转移；记录前后状态机轨迹和关联动态指令。仅当错误状态参与仲裁/转移时计activated。触发：发生目的物理寄存器分配。</x:t>
  </x:si>
  <x:si>
    <x:t xml:space="preserve">R05-a 清除真实空闲位造成泄漏；R05-b 伪造占用tag为空闲造成重复分配；R05-c head跳到另一合法槽；子模型分开统计</x:t>
  </x:si>
  <x:si>
    <x:t xml:space="preserve">发生目的物理寄存器分配</x:t>
  </x:si>
  <x:si>
    <x:t xml:space="preserve">泄漏多表现为长期停顿/Timeout；重复分配可在两条指令间形成静默覆盖，SDC风险高</x:t>
  </x:si>
  <x:si>
    <x:t xml:space="preserve">free-list错误的两种后果相反，必须分开</x:t>
  </x:si>
  <x:si>
    <x:t xml:space="preserve">本方案结构化模型；IDLD/Zenbleed机制背景</x:t>
  </x:si>
  <x:si>
    <x:t xml:space="preserve">R06</x:t>
  </x:si>
  <x:si>
    <x:t xml:space="preserve">branch checkpoint保存的RAT快照/增量和checkpoint索引。</x:t>
  </x:si>
  <x:si>
    <x:t xml:space="preserve">在mispredict恢复时用另一仍有效checkpoint，或把一个映射恢复成旧checkpoint中的合法tag。从当前有效且生命周期合法的候选集合中选择另一个合法值；禁止空闲、越界或编码非法候选。保存source/target和候选集大小。仅当替换值被消费时计activated。触发：存在至少两个嵌套未决分支并发生squash。</x:t>
  </x:si>
  <x:si>
    <x:t xml:space="preserve">R06-a 选择错误branch checkpoint；R06-b 恢复为旧checkpoint合法tag；子模型分开统计</x:t>
  </x:si>
  <x:si>
    <x:t xml:space="preserve">W4 Rename-Dependency
W5 ROB-Recovery</x:t>
  </x:si>
  <x:si>
    <x:t xml:space="preserve">存在至少两个嵌套未决分支并发生squash</x:t>
  </x:si>
  <x:si>
    <x:t xml:space="preserve">错误恢复可能只污染错误路径之后的指令，首分歧延迟；合法旧tag最易形成SDC</x:t>
  </x:si>
  <x:si>
    <x:t xml:space="preserve">覆盖OoO特有的投机恢复职责</x:t>
  </x:si>
  <x:si>
    <x:t xml:space="preserve">R07</x:t>
  </x:si>
  <x:si>
    <x:t xml:space="preserve">物理寄存器ready/busy scoreboard，决定消费者能否被唤醒。</x:t>
  </x:si>
  <x:si>
    <x:t xml:space="preserve">提前伪造ready、丢失ready或错误清除busy；不修改PRF数据。清零、伪造、提前置位和延后清除分成独立子模型，每次运行只改变一种状态转移；记录前后状态机轨迹和关联动态指令。仅当错误状态参与仲裁/转移时计activated。触发：消费者等待尚未完成的生产者。</x:t>
  </x:si>
  <x:si>
    <x:t xml:space="preserve">R07-a 提前伪造ready；R07-b 丢失ready；R07-c 错误清除busy；子模型分开统计</x:t>
  </x:si>
  <x:si>
    <x:t xml:space="preserve">消费者等待尚未完成的生产者</x:t>
  </x:si>
  <x:si>
    <x:t xml:space="preserve">提前ready可能读取旧PRF值并SDC；丢失ready通常停顿/Timeout</x:t>
  </x:si>
  <x:si>
    <x:t xml:space="preserve">把数据错误与就绪控制错误解耦</x:t>
  </x:si>
  <x:si>
    <x:t xml:space="preserve">R08</x:t>
  </x:si>
  <x:si>
    <x:t xml:space="preserve">rename流水valid/ready、RAT写入、ROB/IQ分配与free-list弹出的原子更新事件。</x:t>
  </x:si>
  <x:si>
    <x:t xml:space="preserve">让RAT更新、free-list弹出或ROB分配中的一个提前/延后/丢失一次。绑定一个动态指令/事件ID，提前、延后、丢失、重复分开执行；数据载荷保持正确。仅当下游因此读取旧值、漏发、重复或改变顺序时计activated。触发：同周期至少2条可重命名指令。</x:t>
  </x:si>
  <x:si>
    <x:t xml:space="preserve">R08-a RAT更新提前/延后；R08-b free-list弹出提前/延后；R08-c ROB/IQ分配丢失/重复；子更新分开统计</x:t>
  </x:si>
  <x:si>
    <x:t xml:space="preserve">同周期至少2条可重命名指令</x:t>
  </x:si>
  <x:si>
    <x:t xml:space="preserve">部分更新会破坏资源守恒，多为Crash/Timeout；若错误tag在三处一致更新则可能静默</x:t>
  </x:si>
  <x:si>
    <x:t xml:space="preserve">覆盖跨结构事务一致性而非单字段</x:t>
  </x:si>
  <x:si>
    <x:t xml:space="preserve">MICRO24时延方法论类比</x:t>
  </x:si>
  <x:si>
    <x:t xml:space="preserve">R09</x:t>
  </x:si>
  <x:si>
    <x:t xml:space="preserve">RAT/free-list固定bit或固定掩码，跨多个重命名事件持续。</x:t>
  </x:si>
  <x:si>
    <x:t xml:space="preserve">在RAT tag bit或free-list bit上实施stuck-at-0/1。warm-up后固定一个bit/控制位，分别做stuck-at-0和stuck-at-1，每次经过均施加到结束；正确值本来等于卡死值时不增加activated。触发：warm-up后每次相关查表/分配。</x:t>
  </x:si>
  <x:si>
    <x:t xml:space="preserve">R09-a RAT tag bit stuck-at-0；R09-b RAT tag bit stuck-at-1；R09-c free-list bit stuck-at-0；R09-d free-list bit stuck-at-1</x:t>
  </x:si>
  <x:si>
    <x:t xml:space="preserve">warm-up后每次相关查表/分配</x:t>
  </x:si>
  <x:si>
    <x:t xml:space="preserve">free-list卡死更易资源耗尽；RAT低位卡死可能形成可重复别名和输入相关SDC</x:t>
  </x:si>
  <x:si>
    <x:t xml:space="preserve">覆盖永久故障与累积资源破坏</x:t>
  </x:si>
  <x:si>
    <x:t xml:space="preserve">CHAOS26 stuck-at方法；无直接rename结果</x:t>
  </x:si>
  <x:si>
    <x:t xml:space="preserve">B01</x:t>
  </x:si>
  <x:si>
    <x:t xml:space="preserve">整数动态指令对应的ROB entry字段：PC、arch/phys src/dst标识符和序号。</x:t>
  </x:si>
  <x:si>
    <x:t xml:space="preserve">在已分配且未提交的整数ROB entry中翻转一个字段bit，按PC/tag/seq分层。每次运行只选一个当前有效字段，在字段内均匀抽1 bit做XOR；保存动态指令ID、原值、故障值和bit编号。仅当故障字段被下游读取/选择/用于状态转移时计activated。触发：ROB中存在有效整数entry。</x:t>
  </x:si>
  <x:si>
    <x:t xml:space="preserve">B01-a PC字段单bit；B01-b arch/phys src/dst字段单bit；B01-c seq字段单bit</x:t>
  </x:si>
  <x:si>
    <x:t xml:space="preserve">W1 MiBench-TC23
W5 ROB-Recovery</x:t>
  </x:si>
  <x:si>
    <x:t xml:space="preserve">ROB中存在有效整数entry</x:t>
  </x:si>
  <x:si>
    <x:t xml:space="preserve">L0 eligible/activated；L1 ROB entry、head/tail/count、valid/complete/exception/squash状态；L2 IQ/FU steering与依赖；L3执行/写回完成事件及配对；L4逐提交PC/opcode/src/dst/value/memory side effect；L5检测与结局；另记错误提交、漏提交、重复提交、精确异常和恢复长度</x:t>
  </x:si>
  <x:si>
    <x:t xml:space="preserve">复现TC'23时SDC应接近0且Masked/Crash主导；字段扩展后可能发现结构化静默路径</x:t>
  </x:si>
  <x:si>
    <x:t xml:space="preserve">直接论文复现基线</x:t>
  </x:si>
  <x:si>
    <x:t xml:space="preserve">TC23直接结果：ROB条件SDC=0</x:t>
  </x:si>
  <x:si>
    <x:t xml:space="preserve">按序提交/精确异常/squash门控（功能约束，非ECC/parity）</x:t>
  </x:si>
  <x:si>
    <x:t xml:space="preserve">B02</x:t>
  </x:si>
  <x:si>
    <x:t xml:space="preserve">同一整数ROB entry的PC/tag/seq字段。</x:t>
  </x:si>
  <x:si>
    <x:t xml:space="preserve">同一字段双bit翻转，并区分相邻/非相邻。同一字段同时翻转2个不同bit，50%相邻、50%非相邻；两bit在同一事件生效，不与其他字段叠加。保存bit距离和原/故障值。仅当字段被消费时计activated。触发：ROB中存在有效整数entry。</x:t>
  </x:si>
  <x:si>
    <x:t xml:space="preserve">B02-a 同字段相邻双bit；B02-b 同字段非相邻双bit；按PC/tag/seq字段分层</x:t>
  </x:si>
  <x:si>
    <x:t xml:space="preserve">比单bit更易触发依赖/范围失败；落入合法tag时仍可能静默</x:t>
  </x:si>
  <x:si>
    <x:t xml:space="preserve">覆盖MBU并检验TC'23结论对多bit是否稳健</x:t>
  </x:si>
  <x:si>
    <x:t xml:space="preserve">TC23单bit基线；CHAOS26多bit类比</x:t>
  </x:si>
  <x:si>
    <x:t xml:space="preserve">B03</x:t>
  </x:si>
  <x:si>
    <x:t xml:space="preserve">ROB entry中的arch/phys目的tag、PC或opcode摘要。</x:t>
  </x:si>
  <x:si>
    <x:t xml:space="preserve">把一个字段替换为另一在飞整数entry的同类合法值；PC、tag、opcode摘要独立执行。从当前有效且生命周期合法的候选集合中选择另一个合法值；禁止空闲、越界或编码非法候选。保存source/target和候选集大小。仅当替换值被消费时计activated。触发：ROB中至少两个兼容有效entry。</x:t>
  </x:si>
  <x:si>
    <x:t xml:space="preserve">B03-a arch/phys目的tag合法换值；B03-b PC合法换值；B03-c opcode摘要合法换值；子模型分开统计</x:t>
  </x:si>
  <x:si>
    <x:t xml:space="preserve">W5 ROB-Recovery
W7 GAP-Selected</x:t>
  </x:si>
  <x:si>
    <x:t xml:space="preserve">ROB中至少两个兼容有效entry</x:t>
  </x:si>
  <x:si>
    <x:t xml:space="preserve">合法字段替换可能绕开越界检查；tag错配可能错误释放/提交，预期比随机bit更容易SDC</x:t>
  </x:si>
  <x:si>
    <x:t xml:space="preserve">直接挑战随机翻转主要导致Crash的选择偏差</x:t>
  </x:si>
  <x:si>
    <x:t xml:space="preserve">本方案结构化模型；TC23机制对照</x:t>
  </x:si>
  <x:si>
    <x:t xml:space="preserve">B04</x:t>
  </x:si>
  <x:si>
    <x:t xml:space="preserve">ROB valid、issued、executed/complete、canCommit等生命周期状态。</x:t>
  </x:si>
  <x:si>
    <x:t xml:space="preserve">伪造complete/canCommit、清除valid、丢失executed或提前释放entry。清零、伪造、提前置位和延后清除分成独立子模型，每次运行只改变一种状态转移；记录前后状态机轨迹和关联动态指令。仅当错误状态参与仲裁/转移时计activated。触发：目标entry处于相邻生命周期状态。</x:t>
  </x:si>
  <x:si>
    <x:t xml:space="preserve">B04-a 伪造complete/canCommit；B04-b 清除valid；B04-c 丢失executed；B04-d 提前释放entry</x:t>
  </x:si>
  <x:si>
    <x:t xml:space="preserve">目标entry处于相邻生命周期状态</x:t>
  </x:si>
  <x:si>
    <x:t xml:space="preserve">提前complete可能提交旧/未写回值并SDC；清除/丢失多为漏提交或Timeout</x:t>
  </x:si>
  <x:si>
    <x:t xml:space="preserve">状态位比数据字段更贴合ROB职责</x:t>
  </x:si>
  <x:si>
    <x:t xml:space="preserve">B05</x:t>
  </x:si>
  <x:si>
    <x:t xml:space="preserve">ROB exception、mispredict、squashed、serialize等控制状态。</x:t>
  </x:si>
  <x:si>
    <x:t xml:space="preserve">丢失真实exception/mispredict，或给正常entry伪造标记；每类单独执行。清零、伪造、提前置位和延后清除分成独立子模型，每次运行只改变一种状态转移；记录前后状态机轨迹和关联动态指令。仅当错误状态参与仲裁/转移时计activated。触发：即将处理异常、分支恢复或序列化事件。</x:t>
  </x:si>
  <x:si>
    <x:t xml:space="preserve">B05-a 丢失真实exception；B05-b 丢失mispredict；B05-c 给正常entry伪造exception/mispredict；B05-d serialize标记误置</x:t>
  </x:si>
  <x:si>
    <x:t xml:space="preserve">W5 ROB-Recovery
W1 MiBench-TC23</x:t>
  </x:si>
  <x:si>
    <x:t xml:space="preserve">即将处理异常、分支恢复或序列化事件</x:t>
  </x:si>
  <x:si>
    <x:t xml:space="preserve">丢失exception/错误路径squash可能静默提交；伪造标记多为额外冲刷或Crash</x:t>
  </x:si>
  <x:si>
    <x:t xml:space="preserve">覆盖精确异常和恢复，是ROB核心职责</x:t>
  </x:si>
  <x:si>
    <x:t xml:space="preserve">B06</x:t>
  </x:si>
  <x:si>
    <x:t xml:space="preserve">ROB head/tail指针、占用计数和wrap bit。</x:t>
  </x:si>
  <x:si>
    <x:t xml:space="preserve">状态/换值</x:t>
  </x:si>
  <x:si>
    <x:t xml:space="preserve">将head/tail换成另一当前合法索引，或翻转wrap/计数1 bit；子模型分开。从当前有效且生命周期合法的候选集合中选择另一个合法值；禁止空闲、越界或编码非法候选。保存source/target和候选集大小。仅当替换值被消费时计activated。触发：ROB占用非0且非满，最好跨wrap边界。</x:t>
  </x:si>
  <x:si>
    <x:t xml:space="preserve">B06-a head索引换值；B06-b tail索引换值；B06-c wrap bit翻转；B06-d occupancy count翻转</x:t>
  </x:si>
  <x:si>
    <x:t xml:space="preserve">ROB占用非0且非满，最好跨wrap边界</x:t>
  </x:si>
  <x:si>
    <x:t xml:space="preserve">head跳转可能漏/乱序提交；tail错误可能覆盖在飞entry；多数破坏守恒并Crash，但小距离错位可能SDC</x:t>
  </x:si>
  <x:si>
    <x:t xml:space="preserve">覆盖环形队列索引与边界</x:t>
  </x:si>
  <x:si>
    <x:t xml:space="preserve">B07</x:t>
  </x:si>
  <x:si>
    <x:t xml:space="preserve">dispatch steering：uop到整数IQ/FU类别、ROB slot和端口选择。</x:t>
  </x:si>
  <x:si>
    <x:t xml:space="preserve">把目标IQ/FU类别或dispatch lane换成另一支持该opClass的合法目的；不修改uop数据。从当前有效且生命周期合法的候选集合中选择另一个合法值；禁止空闲、越界或编码非法候选。保存source/target和候选集大小。仅当替换值被消费时计activated。触发：存在两个兼容dispatch目的或lane。</x:t>
  </x:si>
  <x:si>
    <x:t xml:space="preserve">B07-a IQ类别合法换值；B07-b FU类别合法换值；B07-c dispatch lane合法换值；B07-d ROB slot合法换值</x:t>
  </x:si>
  <x:si>
    <x:t xml:space="preserve">W5 ROB-Recovery
W6 CoreMark+Embench</x:t>
  </x:si>
  <x:si>
    <x:t xml:space="preserve">存在两个兼容dispatch目的或lane</x:t>
  </x:si>
  <x:si>
    <x:t xml:space="preserve">兼容lane替换多为性能影响；不兼容但仍接受时可能错误执行或死锁</x:t>
  </x:si>
  <x:si>
    <x:t xml:space="preserve">区分资源选择错误与ROB存储错误</x:t>
  </x:si>
  <x:si>
    <x:t xml:space="preserve">IISWC15称支持IQ但无结果；本方案结构化模型</x:t>
  </x:si>
  <x:si>
    <x:t xml:space="preserve">B08</x:t>
  </x:si>
  <x:si>
    <x:t xml:space="preserve">squash广播、ROB清除和恢复事件。</x:t>
  </x:si>
  <x:si>
    <x:t xml:space="preserve">squash提前/延后1拍、丢失一次或重复一次；绑定具体mispredict/exception。绑定一个动态指令/事件ID，提前、延后、丢失、重复分开执行；数据载荷保持正确。仅当下游因此读取旧值、漏发、重复或改变顺序时计activated。触发：发生mispredict或精确异常。</x:t>
  </x:si>
  <x:si>
    <x:t xml:space="preserve">B08-a squash提前1拍；B08-b squash延后1拍；B08-c squash丢失；B08-d squash重复</x:t>
  </x:si>
  <x:si>
    <x:t xml:space="preserve">发生mispredict或精确异常</x:t>
  </x:si>
  <x:si>
    <x:t xml:space="preserve">延后/丢失可能让错误路径结果进入完成/提交窗口；重复多为性能损失或资源状态破坏</x:t>
  </x:si>
  <x:si>
    <x:t xml:space="preserve">适配OoO投机恢复传播链</x:t>
  </x:si>
  <x:si>
    <x:t xml:space="preserve">MICRO24时延方法论；本方案结构化模型</x:t>
  </x:si>
  <x:si>
    <x:t xml:space="preserve">B09</x:t>
  </x:si>
  <x:si>
    <x:t xml:space="preserve">commit grant、ROB pop、old-dest释放和架构状态更新的同一提交事件。</x:t>
  </x:si>
  <x:si>
    <x:t xml:space="preserve">让其中一个子事件提前、延后、丢失或重复，其他载荷保持正确。绑定一个动态指令/事件ID，提前、延后、丢失、重复分开执行；数据载荷保持正确。仅当下游因此读取旧值、漏发、重复或改变顺序时计activated。触发：ROB head已complete并可提交。</x:t>
  </x:si>
  <x:si>
    <x:t xml:space="preserve">B09-a commit grant提前/延后；B09-b ROB pop丢失/重复；B09-c old-dest释放提前/延后；B09-d 架构状态更新丢失/重复</x:t>
  </x:si>
  <x:si>
    <x:t xml:space="preserve">ROB head已complete并可提交</x:t>
  </x:si>
  <x:si>
    <x:t xml:space="preserve">重复/漏提交副作用是高风险SDC；只延后通常性能下降；错误释放会延迟传播</x:t>
  </x:si>
  <x:si>
    <x:t xml:space="preserve">直接监控提交事务原子性</x:t>
  </x:si>
  <x:si>
    <x:t xml:space="preserve">B10</x:t>
  </x:si>
  <x:si>
    <x:t xml:space="preserve">ROB entry固定bit或状态掩码，持续影响复用该物理entry的多条指令。</x:t>
  </x:si>
  <x:si>
    <x:t xml:space="preserve">选择PC/tag/complete/valid bit实施stuck-at-0/1。warm-up后固定一个bit/控制位，分别做stuck-at-0和stuck-at-1，每次经过均施加到结束；正确值本来等于卡死值时不增加activated。触发：warm-up后该物理ROB slot每次被分配。</x:t>
  </x:si>
  <x:si>
    <x:t xml:space="preserve">B10-a PC bit stuck-at-0/1；B10-b tag bit stuck-at-0/1；B10-c complete bit stuck-at-0/1；B10-d valid bit stuck-at-0/1</x:t>
  </x:si>
  <x:si>
    <x:t xml:space="preserve">warm-up后该物理ROB slot每次被分配</x:t>
  </x:si>
  <x:si>
    <x:t xml:space="preserve">状态位卡死多为周期性Crash/Timeout；tag低位卡死可能形成重复、输入相关SDC</x:t>
  </x:si>
  <x:si>
    <x:t xml:space="preserve">覆盖永久缺陷和entry复用效应</x:t>
  </x:si>
  <x:si>
    <x:t xml:space="preserve">CHAOS26 stuck-at方法；TC23仅瞬态</x:t>
  </x:si>
  <x:si>
    <x:t xml:space="preserve">FD01</x:t>
  </x:si>
  <x:si>
    <x:t xml:space="preserve">FP/SIMD指令字锁存器，在译码前保存32-bit A64编码。</x:t>
  </x:si>
  <x:si>
    <x:t xml:space="preserve">在FP/SIMD译码读取前翻转指令字1 bit，按opcode/register/lane/immediate分层。每次运行只选一个当前有效字段，在字段内均匀抽1 bit做XOR；保存动态指令ID、原值、故障值和bit编号。仅当故障字段被下游读取/选择/用于状态转移时计activated。触发：有效FP或AdvSIMD指令进入decode。</x:t>
  </x:si>
  <x:si>
    <x:t xml:space="preserve">FD01-a opcode字段单bit；FD01-b V寄存器字段单bit；FD01-c lane字段单bit；FD01-d immediate字段单bit</x:t>
  </x:si>
  <x:si>
    <x:t xml:space="preserve">W8 FP-ScalarProbe
W9 NEON-LaneProbe</x:t>
  </x:si>
  <x:si>
    <x:t xml:space="preserve">有效FP或AdvSIMD指令进入decode</x:t>
  </x:si>
  <x:si>
    <x:t xml:space="preserve">L0 eligible/activated；L1 指令字与FP/SIMD decode tuple(opClass、scalar/vector、element width、lane、rounding、uop数)；L2 FP/Vec rename输入；L3 FU/lane结果与FPSR；L4逐提交V寄存器/FPSR；L5检测与结局</x:t>
  </x:si>
  <x:si>
    <x:t xml:space="preserve">opcode位多导致类别/illegal；lane和寄存器位更可能产生逐lane静默错误</x:t>
  </x:si>
  <x:si>
    <x:t xml:space="preserve">建立FP/SIMD译码瞬态基线</x:t>
  </x:si>
  <x:si>
    <x:t xml:space="preserve">MICRO24整数decoder机制类比；无直接FP结果</x:t>
  </x:si>
  <x:si>
    <x:t xml:space="preserve">FD02</x:t>
  </x:si>
  <x:si>
    <x:t xml:space="preserve">同一FP/SIMD指令字锁存器。</x:t>
  </x:si>
  <x:si>
    <x:t xml:space="preserve">同一指令字双bit翻转，区分同字段与跨字段。同一字段同时翻转2个不同bit，50%相邻、50%非相邻；两bit在同一事件生效，不与其他字段叠加。保存bit距离和原/故障值。仅当字段被消费时计activated。触发：有效FP或AdvSIMD指令进入decode。</x:t>
  </x:si>
  <x:si>
    <x:t xml:space="preserve">FD02-a 同字段相邻双bit；FD02-b 同字段非相邻双bit；FD02-c opcode/lane跨字段双bit</x:t>
  </x:si>
  <x:si>
    <x:t xml:space="preserve">跨字段错误可能同时改变操作和lane布局，结果更极化</x:t>
  </x:si>
  <x:si>
    <x:t xml:space="preserve">覆盖MBU和多状态位错误</x:t>
  </x:si>
  <x:si>
    <x:t xml:space="preserve">MICRO24/CHAOS26类比</x:t>
  </x:si>
  <x:si>
    <x:t xml:space="preserve">FD03</x:t>
  </x:si>
  <x:si>
    <x:t xml:space="preserve">FP/SIMD opClass与具体操作选择输出。</x:t>
  </x:si>
  <x:si>
    <x:t xml:space="preserve">在操作数布局兼容的集合内做合法替换，如FADD↔FSUB、ADD↔SUB、MIN↔MAX。从当前有效且生命周期合法的候选集合中选择另一个合法值；禁止空闲、越界或编码非法候选。保存source/target和候选集大小。仅当替换值被消费时计activated。触发：存在同布局合法候选opClass。</x:t>
  </x:si>
  <x:si>
    <x:t xml:space="preserve">FD03-a FADD↔FSUB；FD03-b ADD↔SUB；FD03-c MIN↔MAX；FD03-d 跨延迟opClass合法换值</x:t>
  </x:si>
  <x:si>
    <x:t xml:space="preserve">W8 FP-ScalarProbe
W10 PolyBench</x:t>
  </x:si>
  <x:si>
    <x:t xml:space="preserve">存在同布局合法候选opClass</x:t>
  </x:si>
  <x:si>
    <x:t xml:space="preserve">合法算子替换通常无异常且易SDC；除零/sqrt等跨延迟替换还会改变完成时序</x:t>
  </x:si>
  <x:si>
    <x:t xml:space="preserve">研究合法但错误语义</x:t>
  </x:si>
  <x:si>
    <x:t xml:space="preserve">FD04</x:t>
  </x:si>
  <x:si>
    <x:t xml:space="preserve">Vn/Vm/Vd寄存器字段和lane index字段。</x:t>
  </x:si>
  <x:si>
    <x:t xml:space="preserve">源/目的V寄存器换成另一活跃寄存器，或lane index换成另一合法lane；分别统计。从当前有效且生命周期合法的候选集合中选择另一个合法值；禁止空闲、越界或编码非法候选。保存source/target和候选集大小。仅当替换值被消费时计activated。触发：候选寄存器/lane集合非空。</x:t>
  </x:si>
  <x:si>
    <x:t xml:space="preserve">FD04-a 源V寄存器替换；FD04-b 目的V寄存器替换；FD04-c lane index替换；子模型分开统计</x:t>
  </x:si>
  <x:si>
    <x:t xml:space="preserve">W9 NEON-LaneProbe
W11 libjpeg-turbo-NEON</x:t>
  </x:si>
  <x:si>
    <x:t xml:space="preserve">候选寄存器/lane集合非空</x:t>
  </x:si>
  <x:si>
    <x:t xml:space="preserve">合法寄存器/lane错选预期高SDC，且错误可能只影响一个lane而逃过粗粒度校验</x:t>
  </x:si>
  <x:si>
    <x:t xml:space="preserve">适配SIMD寄存器和lane选择</x:t>
  </x:si>
  <x:si>
    <x:t xml:space="preserve">FD05</x:t>
  </x:si>
  <x:si>
    <x:t xml:space="preserve">scalar/vector模式、element width(8/16/32/64)和lane count控制。</x:t>
  </x:si>
  <x:si>
    <x:t xml:space="preserve">把模式或元素宽度替换为另一合法组合，保持原始128-bit操作数。清零、伪造、提前置位和延后清除分成独立子模型，每次运行只改变一种状态转移；记录前后状态机轨迹和关联动态指令。仅当错误状态参与仲裁/转移时计activated。触发：指令存在至少两种合法布局解释。</x:t>
  </x:si>
  <x:si>
    <x:t xml:space="preserve">FD05-a scalar↔vector模式；FD05-b element width 8/16/32/64换值；FD05-c lane count换值</x:t>
  </x:si>
  <x:si>
    <x:t xml:space="preserve">W9 NEON-LaneProbe
W10 PolyBench</x:t>
  </x:si>
  <x:si>
    <x:t xml:space="preserve">指令存在至少两种合法布局解释</x:t>
  </x:si>
  <x:si>
    <x:t xml:space="preserve">会把相同bit向量按不同lane解释，预期产生结构化多lane SDC；不兼容组合易illegal</x:t>
  </x:si>
  <x:si>
    <x:t xml:space="preserve">SIMD专属高价值结构化故障</x:t>
  </x:si>
  <x:si>
    <x:t xml:space="preserve">FD06</x:t>
  </x:si>
  <x:si>
    <x:t xml:space="preserve">rounding mode、FPCR选择、flush-to-zero和exception enable相关控制。</x:t>
  </x:si>
  <x:si>
    <x:t xml:space="preserve">替换舍入模式、丢失FTZ/DN控制或错误选择FPCR快照；数据操作不变。清零、伪造、提前置位和延后清除分成独立子模型，每次运行只改变一种状态转移；记录前后状态机轨迹和关联动态指令。仅当错误状态参与仲裁/转移时计activated。触发：结果对FP控制敏感。</x:t>
  </x:si>
  <x:si>
    <x:t xml:space="preserve">FD06-a rounding mode换值；FD06-b FPCR快照选择错误；FD06-c FTZ/DN控制丢失；FD06-d exception enable换值</x:t>
  </x:si>
  <x:si>
    <x:t xml:space="preserve">W8 FP-ScalarProbe
W13 FP-ExceptionRecovery</x:t>
  </x:si>
  <x:si>
    <x:t xml:space="preserve">结果对FP控制敏感</x:t>
  </x:si>
  <x:si>
    <x:t xml:space="preserve">普通输入可能掩蔽；边界值会产生1 ulp、NaN传播或异常标志差异，易成为小幅SDC</x:t>
  </x:si>
  <x:si>
    <x:t xml:space="preserve">FP语义特有，通用整数负载无法激活</x:t>
  </x:si>
  <x:si>
    <x:t xml:space="preserve">FD07</x:t>
  </x:si>
  <x:si>
    <x:t xml:space="preserve">向量立即数、shuffle/permute控制和lane掩码拼接。</x:t>
  </x:si>
  <x:si>
    <x:t xml:space="preserve">交换立即数片段、循环移位lane选择、互换两个shuffle selector或读取上一条掩码；各子模型独立。仅当生成的控制被执行时计activated。</x:t>
  </x:si>
  <x:si>
    <x:t xml:space="preserve">FD07-a 向量立即数片段交换；FD07-b lane选择循环移位；FD07-c shuffle selector互换；FD07-d 读取上一条lane mask</x:t>
  </x:si>
  <x:si>
    <x:t xml:space="preserve">命中immediate/permute/lane-select指令</x:t>
  </x:si>
  <x:si>
    <x:t xml:space="preserve">结果往往仍是完整合法向量但lane次序错误，预期SDC高且可呈稳定模式</x:t>
  </x:si>
  <x:si>
    <x:t xml:space="preserve">适配SIMD重排数据通路</x:t>
  </x:si>
  <x:si>
    <x:t xml:space="preserve">FD08</x:t>
  </x:si>
  <x:si>
    <x:t xml:space="preserve">复杂FP/SIMD指令的uop拆分、uop index和last-uop标志。</x:t>
  </x:si>
  <x:si>
    <x:t xml:space="preserve">丢失、重复或互换一个uop，或提前last-uop。绑定一个动态指令/事件ID，提前、延后、丢失、重复分开执行；数据载荷保持正确。仅当下游因此读取旧值、漏发、重复或改变顺序时计activated。触发：FP/SIMD指令拆成至少2个uop。</x:t>
  </x:si>
  <x:si>
    <x:t xml:space="preserve">FD08-a 丢失一个FP/SIMD uop；FD08-b 重复一个uop；FD08-c 互换uop顺序；FD08-d 提前last-uop</x:t>
  </x:si>
  <x:si>
    <x:t xml:space="preserve">FP/SIMD指令拆成至少2个uop</x:t>
  </x:si>
  <x:si>
    <x:t xml:space="preserve">可能只更新部分lane/累加阶段，静默产生半新半旧向量；计数不一致时Crash</x:t>
  </x:si>
  <x:si>
    <x:t xml:space="preserve">覆盖复杂向量指令序列</x:t>
  </x:si>
  <x:si>
    <x:t xml:space="preserve">FD09</x:t>
  </x:si>
  <x:si>
    <x:t xml:space="preserve">decode valid/ready与输出锁存器，仅筛选FP/SIMD动态指令。</x:t>
  </x:si>
  <x:si>
    <x:t xml:space="preserve">提前读取旧FP tuple、延后、丢失或重复一次decode结果。绑定一个动态指令/事件ID，提前、延后、丢失、重复分开执行；数据载荷保持正确。仅当下游因此读取旧值、漏发、重复或改变顺序时计activated。触发：连续两条FP/SIMD指令且tuple不同。</x:t>
  </x:si>
  <x:si>
    <x:t xml:space="preserve">FD09-a 提前读取旧FP tuple；FD09-b 延后decode结果；FD09-c 丢失decode结果；FD09-d 重复decode结果</x:t>
  </x:si>
  <x:si>
    <x:t xml:space="preserve">连续两条FP/SIMD指令且tuple不同</x:t>
  </x:si>
  <x:si>
    <x:t xml:space="preserve">旧tuple复用可能导致合法错误执行；延后多为性能损失，丢失/重复可能破坏ROB计数</x:t>
  </x:si>
  <x:si>
    <x:t xml:space="preserve">将DelayAVF思想映射到周期级事件</x:t>
  </x:si>
  <x:si>
    <x:t xml:space="preserve">FR01</x:t>
  </x:si>
  <x:si>
    <x:t xml:space="preserve">FP或Vec speculative RAT的V寄存器→物理寄存器映射项。</x:t>
  </x:si>
  <x:si>
    <x:t xml:space="preserve">在源查表或目的重命名前翻转一个当前FP/Vec物理tag bit。每次运行只选一个当前有效字段，在字段内均匀抽1 bit做XOR；保存动态指令ID、原值、故障值和bit编号。仅当故障字段被下游读取/选择/用于状态转移时计activated。触发：目标V寄存器有有效映射。</x:t>
  </x:si>
  <x:si>
    <x:t xml:space="preserve">FR01-a FP RAT源映射tag bit；FR01-b Vec RAT源映射tag bit；FR01-c 目的映射tag bit</x:t>
  </x:si>
  <x:si>
    <x:t xml:space="preserve">目标V寄存器有有效映射</x:t>
  </x:si>
  <x:si>
    <x:t xml:space="preserve">L0 eligible/activated；L1 FP/Vec RAT、free-list、ready、checkpoint、映射类别和唯一性；L2 FP IQ标签/依赖；L3 PRF lane读写、FU结果/FPSR；L4逐提交V寄存器和lane diff；L5检测与结局</x:t>
  </x:si>
  <x:si>
    <x:t xml:space="preserve">翻到活跃合法tag时产生错误整向量/标量并SDC；空闲tag多为依赖失败</x:t>
  </x:si>
  <x:si>
    <x:t xml:space="preserve">FP/Vec RAT瞬态基线</x:t>
  </x:si>
  <x:si>
    <x:t xml:space="preserve">无直接研究；Int RAT机制类比</x:t>
  </x:si>
  <x:si>
    <x:t xml:space="preserve">FR02</x:t>
  </x:si>
  <x:si>
    <x:t xml:space="preserve">同一FP/Vec RAT tag。</x:t>
  </x:si>
  <x:si>
    <x:t xml:space="preserve">同一tag双bit翻转，并按相邻/非相邻分层。同一字段同时翻转2个不同bit，50%相邻、50%非相邻；两bit在同一事件生效，不与其他字段叠加。保存bit距离和原/故障值。仅当字段被消费时计activated。触发：目标映射将被当前FP/SIMD指令读取。</x:t>
  </x:si>
  <x:si>
    <x:t xml:space="preserve">FR02-a 同tag相邻双bit；FR02-b 同tag非相邻双bit；按FP/Vec tag分层</x:t>
  </x:si>
  <x:si>
    <x:t xml:space="preserve">目标映射将被当前FP/SIMD指令读取</x:t>
  </x:si>
  <x:si>
    <x:t xml:space="preserve">合法tag命中率决定SDC；向量错误扇出可能高于标量</x:t>
  </x:si>
  <x:si>
    <x:t xml:space="preserve">覆盖MBU与类别容量差异</x:t>
  </x:si>
  <x:si>
    <x:t xml:space="preserve">CHAOS26多bit类比</x:t>
  </x:si>
  <x:si>
    <x:t xml:space="preserve">FR03</x:t>
  </x:si>
  <x:si>
    <x:t xml:space="preserve">FP/Vec源物理tag和寄存器类别选择。</x:t>
  </x:si>
  <x:si>
    <x:t xml:space="preserve">把源tag换成另一活跃ready tag；FP↔Vec跨类别仅在宽度兼容时作为独立子模型。从当前有效且生命周期合法的候选集合中选择另一个合法值；禁止空闲、越界或编码非法候选。保存source/target和候选集大小。仅当替换值被消费时计activated。触发：兼容活跃候选tag非空。</x:t>
  </x:si>
  <x:si>
    <x:t xml:space="preserve">FR03-a FP源tag合法换值；FR03-b Vec源tag合法换值；FR03-c FP↔Vec跨类别换值（宽度兼容）</x:t>
  </x:si>
  <x:si>
    <x:t xml:space="preserve">兼容活跃候选tag非空</x:t>
  </x:si>
  <x:si>
    <x:t xml:space="preserve">合法旧值读取预期高SDC；跨类别错误可能表现为lane重解释</x:t>
  </x:si>
  <x:si>
    <x:t xml:space="preserve">覆盖合法错误依赖与类别选择</x:t>
  </x:si>
  <x:si>
    <x:t xml:space="preserve">FR04</x:t>
  </x:si>
  <x:si>
    <x:t xml:space="preserve">FP/Vec目的new-dest和old-dest tag。</x:t>
  </x:si>
  <x:si>
    <x:t xml:space="preserve">分别替换new-dest为空闲合法tag、old-dest为另一活跃tag。从当前有效且生命周期合法的候选集合中选择另一个合法值；禁止空闲、越界或编码非法候选。保存source/target和候选集大小。仅当替换值被消费时计activated。触发：FP/SIMD目的需要分配。</x:t>
  </x:si>
  <x:si>
    <x:t xml:space="preserve">FR04-a FP/Vec new-dest替换；FR04-b FP/Vec old-dest替换；子模型分开统计</x:t>
  </x:si>
  <x:si>
    <x:t xml:space="preserve">FP/SIMD目的需要分配</x:t>
  </x:si>
  <x:si>
    <x:t xml:space="preserve">错误new-dest可造成writeback/consumer错配；错误old-dest导致延迟释放错误</x:t>
  </x:si>
  <x:si>
    <x:t xml:space="preserve">区分即时数据路径和生命周期传播</x:t>
  </x:si>
  <x:si>
    <x:t xml:space="preserve">FR05</x:t>
  </x:si>
  <x:si>
    <x:t xml:space="preserve">FP/Vec free list bitmap/队列与head。</x:t>
  </x:si>
  <x:si>
    <x:t xml:space="preserve">制造一个tag泄漏、重复分配或head合法跳转；FP和Vec池分开。清零、伪造、提前置位和延后清除分成独立子模型，每次运行只改变一种状态转移；记录前后状态机轨迹和关联动态指令。仅当错误状态参与仲裁/转移时计activated。触发：发生FP/Vec目的分配。</x:t>
  </x:si>
  <x:si>
    <x:t xml:space="preserve">FR05-a FP free-list泄漏；FR05-b Vec free-list泄漏；FR05-c 重复分配；FR05-d head合法跳转</x:t>
  </x:si>
  <x:si>
    <x:t xml:space="preserve">发生FP/Vec目的分配</x:t>
  </x:si>
  <x:si>
    <x:t xml:space="preserve">泄漏导致资源耗尽；重复分配可能让两个向量目的相互覆盖并SDC</x:t>
  </x:si>
  <x:si>
    <x:t xml:space="preserve">适配独立物理寄存器池</x:t>
  </x:si>
  <x:si>
    <x:t xml:space="preserve">FR06</x:t>
  </x:si>
  <x:si>
    <x:t xml:space="preserve">分支checkpoint中的FP/Vec RAT状态。</x:t>
  </x:si>
  <x:si>
    <x:t xml:space="preserve">mispredict恢复时选错checkpoint或恢复一个V寄存器的旧合法tag。从当前有效且生命周期合法的候选集合中选择另一个合法值；禁止空闲、越界或编码非法候选。保存source/target和候选集大小。仅当替换值被消费时计activated。触发：FP/SIMD活跃区间内发生嵌套分支squash。</x:t>
  </x:si>
  <x:si>
    <x:t xml:space="preserve">FR06-a 选择错误FP/Vec checkpoint；FR06-b 恢复旧V寄存器合法tag</x:t>
  </x:si>
  <x:si>
    <x:t xml:space="preserve">W10 PolyBench
W13 FP-ExceptionRecovery</x:t>
  </x:si>
  <x:si>
    <x:t xml:space="preserve">FP/SIMD活跃区间内发生嵌套分支squash</x:t>
  </x:si>
  <x:si>
    <x:t xml:space="preserve">错误只在恢复后出现，潜伏距离长；旧向量值仍合法，SDC风险高</x:t>
  </x:si>
  <x:si>
    <x:t xml:space="preserve">覆盖投机恢复对FP状态的影响</x:t>
  </x:si>
  <x:si>
    <x:t xml:space="preserve">FR07</x:t>
  </x:si>
  <x:si>
    <x:t xml:space="preserve">FP/Vec ready/busy scoreboard。</x:t>
  </x:si>
  <x:si>
    <x:t xml:space="preserve">提前ready、丢失ready或错误清除busy，不改变PRF内容。清零、伪造、提前置位和延后清除分成独立子模型，每次运行只改变一种状态转移；记录前后状态机轨迹和关联动态指令。仅当错误状态参与仲裁/转移时计activated。触发：消费者等待长延迟FP生产者。</x:t>
  </x:si>
  <x:si>
    <x:t xml:space="preserve">FR07-a 提前ready；FR07-b 丢失ready；FR07-c 错误清除busy</x:t>
  </x:si>
  <x:si>
    <x:t xml:space="preserve">消费者等待长延迟FP生产者</x:t>
  </x:si>
  <x:si>
    <x:t xml:space="preserve">提前ready可读取旧向量，特别是div/sqrt长延迟；丢失ready多为Timeout</x:t>
  </x:si>
  <x:si>
    <x:t xml:space="preserve">长延迟FP使ready时序窗口更大</x:t>
  </x:si>
  <x:si>
    <x:t xml:space="preserve">FR08</x:t>
  </x:si>
  <x:si>
    <x:t xml:space="preserve">标量写、窄lane写与全128-bit向量写的保留/清零/合并语义元数据。</x:t>
  </x:si>
  <x:si>
    <x:t xml:space="preserve">把preserve/zero/merge选择换成另一合法模式，或把新lane与上一版本的错误lane拼接；每种规则独立。仅当后续读取受影响lane时activated。</x:t>
  </x:si>
  <x:si>
    <x:t xml:space="preserve">FR08-a preserve模式换值；FR08-b zero模式换值；FR08-c merge模式换值；FR08-d 新旧lane错误拼接</x:t>
  </x:si>
  <x:si>
    <x:t xml:space="preserve">发生partial-width或lane写入并随后读取</x:t>
  </x:si>
  <x:si>
    <x:t xml:space="preserve">产生半新半旧向量，易逃过标量结果检查；逐lane oracle可定位</x:t>
  </x:si>
  <x:si>
    <x:t xml:space="preserve">FP/SIMD重命名和物理值合并的专属结构化模型</x:t>
  </x:si>
  <x:si>
    <x:t xml:space="preserve">FR09</x:t>
  </x:si>
  <x:si>
    <x:t xml:space="preserve">FP/Vec rename事务：RAT更新、free-list弹出、ROB/IQ分配。</x:t>
  </x:si>
  <x:si>
    <x:t xml:space="preserve">让一个子更新提前/延后/丢失或重复。绑定一个动态指令/事件ID，提前、延后、丢失、重复分开执行；数据载荷保持正确。仅当下游因此读取旧值、漏发、重复或改变顺序时计activated。触发：同周期多条FP/SIMD指令被重命名。</x:t>
  </x:si>
  <x:si>
    <x:t xml:space="preserve">FR09-a RAT更新提前/延后；FR09-b free-list弹出提前/延后；FR09-c ROB/IQ分配丢失/重复</x:t>
  </x:si>
  <x:si>
    <x:t xml:space="preserve">同周期多条FP/SIMD指令被重命名</x:t>
  </x:si>
  <x:si>
    <x:t xml:space="preserve">跨结构不一致多为Crash/Timeout；一致但错误的合法tag可能SDC</x:t>
  </x:si>
  <x:si>
    <x:t xml:space="preserve">覆盖事务原子性和宽重命名</x:t>
  </x:si>
  <x:si>
    <x:t xml:space="preserve">FR10</x:t>
  </x:si>
  <x:si>
    <x:t xml:space="preserve">FP/Vec RAT或free-list固定bit，持续跨多次事件。</x:t>
  </x:si>
  <x:si>
    <x:t xml:space="preserve">选择FP/Vec tag bit或free-list bit实施stuck-at-0/1。warm-up后固定一个bit/控制位，分别做stuck-at-0和stuck-at-1，每次经过均施加到结束；正确值本来等于卡死值时不增加activated。触发：warm-up后每次相关FP/SIMD重命名。</x:t>
  </x:si>
  <x:si>
    <x:t xml:space="preserve">FR10-a FP/Vec RAT bit stuck-at-0；FR10-b FP/Vec RAT bit stuck-at-1；FR10-c free-list bit stuck-at-0；FR10-d free-list bit stuck-at-1</x:t>
  </x:si>
  <x:si>
    <x:t xml:space="preserve">warm-up后每次相关FP/SIMD重命名</x:t>
  </x:si>
  <x:si>
    <x:t xml:space="preserve">资源耗尽、周期性别名或稳定lane错误；负载数据分布决定激活</x:t>
  </x:si>
  <x:si>
    <x:t xml:space="preserve">覆盖永久缺陷</x:t>
  </x:si>
  <x:si>
    <x:t xml:space="preserve">CHAOS26 stuck-at方法；无直接FP rename结果</x:t>
  </x:si>
  <x:si>
    <x:t xml:space="preserve">FB01</x:t>
  </x:si>
  <x:si>
    <x:t xml:space="preserve">共享ROB中由FP/SIMD动态指令占用的entry字段。</x:t>
  </x:si>
  <x:si>
    <x:t xml:space="preserve">只在FP/SIMD entry中翻转PC/tag/seq字段1 bit。每次运行只选一个当前有效字段，在字段内均匀抽1 bit做XOR；保存动态指令ID、原值、故障值和bit编号。仅当故障字段被下游读取/选择/用于状态转移时计activated。触发：ROB中存在有效FP/SIMD entry。</x:t>
  </x:si>
  <x:si>
    <x:t xml:space="preserve">FB01-a PC字段单bit；FB01-b tag字段单bit；FB01-c seq字段单bit；仅统计FP/SIMD动态entry</x:t>
  </x:si>
  <x:si>
    <x:t xml:space="preserve">ROB中存在有效FP/SIMD entry</x:t>
  </x:si>
  <x:si>
    <x:t xml:space="preserve">L0 eligible/activated；L1 FP激活ROB entry与状态；L2 FP/SIMD IQ/FU steering、operand ready；L3完成事件、writeback tag/lane mask/FPSR；L4按序提交V寄存器/FPSR/异常；L5检测与结局；记录错误完成配对、漏/重复提交和squash恢复</x:t>
  </x:si>
  <x:si>
    <x:t xml:space="preserve">TC'23整数ROB先验是SDC接近0；FP长延迟和异常状态可能改变传播比例，需实测</x:t>
  </x:si>
  <x:si>
    <x:t xml:space="preserve">把共享物理结构按激活指令类型分层</x:t>
  </x:si>
  <x:si>
    <x:t xml:space="preserve">TC23结构直接但FP激活域未覆盖</x:t>
  </x:si>
  <x:si>
    <x:t xml:space="preserve">FB02</x:t>
  </x:si>
  <x:si>
    <x:t xml:space="preserve">同一FP/SIMD ROB entry字段。</x:t>
  </x:si>
  <x:si>
    <x:t xml:space="preserve">同一字段双bit翻转。同一字段同时翻转2个不同bit，50%相邻、50%非相邻；两bit在同一事件生效，不与其他字段叠加。保存bit距离和原/故障值。仅当字段被消费时计activated。触发：ROB中存在有效FP/SIMD entry。</x:t>
  </x:si>
  <x:si>
    <x:t xml:space="preserve">FB02-a 同字段相邻双bit；FB02-b 同字段非相邻双bit；仅统计FP/SIMD动态entry</x:t>
  </x:si>
  <x:si>
    <x:t xml:space="preserve">依赖失败/Crash增加；合法tag替代仍可能静默</x:t>
  </x:si>
  <x:si>
    <x:t xml:space="preserve">检验ROB结论对MBU和FP域的稳健性</x:t>
  </x:si>
  <x:si>
    <x:t xml:space="preserve">TC23+CHAOS26类比</x:t>
  </x:si>
  <x:si>
    <x:t xml:space="preserve">FB03</x:t>
  </x:si>
  <x:si>
    <x:t xml:space="preserve">dispatch到FP/SIMD FU/opClass队列的steering和lane选择。</x:t>
  </x:si>
  <x:si>
    <x:t xml:space="preserve">把FU实例、兼容opClass端口或dispatch lane换为另一合法目的。从当前有效且生命周期合法的候选集合中选择另一个合法值；禁止空闲、越界或编码非法候选。保存source/target和候选集大小。仅当替换值被消费时计activated。触发：存在至少两个兼容FP/SIMD执行目的。</x:t>
  </x:si>
  <x:si>
    <x:t xml:space="preserve">FB03-a FU实例合法换值；FB03-b opClass端口合法换值；FB03-c dispatch lane合法换值</x:t>
  </x:si>
  <x:si>
    <x:t xml:space="preserve">存在至少两个兼容FP/SIMD执行目的</x:t>
  </x:si>
  <x:si>
    <x:t xml:space="preserve">兼容FU替换主要改变时序；错误opClass接受时可产生错误结果或完成延迟</x:t>
  </x:si>
  <x:si>
    <x:t xml:space="preserve">适配FP/SIMD资源选择</x:t>
  </x:si>
  <x:si>
    <x:t xml:space="preserve">FB04</x:t>
  </x:si>
  <x:si>
    <x:t xml:space="preserve">FP/SIMD operand-ready、issued和replay状态。</x:t>
  </x:si>
  <x:si>
    <x:t xml:space="preserve">提前ready/issued、丢失ready或伪造replay，不改操作数tag。清零、伪造、提前置位和延后清除分成独立子模型，每次运行只改变一种状态转移；记录前后状态机轨迹和关联动态指令。仅当错误状态参与仲裁/转移时计activated。触发：长延迟或依赖FP/SIMD uop等待。</x:t>
  </x:si>
  <x:si>
    <x:t xml:space="preserve">FB04-a 提前ready/issued；FB04-b 丢失ready；FB04-c 伪造replay；子模型分开统计</x:t>
  </x:si>
  <x:si>
    <x:t xml:space="preserve">长延迟或依赖FP/SIMD uop等待</x:t>
  </x:si>
  <x:si>
    <x:t xml:space="preserve">提前发射读取旧值可SDC；丢失多为Timeout；伪造replay多为性能下降</x:t>
  </x:si>
  <x:si>
    <x:t xml:space="preserve">长延迟FP使就绪状态尤其敏感</x:t>
  </x:si>
  <x:si>
    <x:t xml:space="preserve">FB05</x:t>
  </x:si>
  <x:si>
    <x:t xml:space="preserve">ROB complete/done、FP exception pending和canCommit状态。</x:t>
  </x:si>
  <x:si>
    <x:t xml:space="preserve">提前complete、丢失done、丢失真实FP exception或伪造exception。清零、伪造、提前置位和延后清除分成独立子模型，每次运行只改变一种状态转移；记录前后状态机轨迹和关联动态指令。仅当错误状态参与仲裁/转移时计activated。触发：FP/SIMD uop即将完成或产生异常。</x:t>
  </x:si>
  <x:si>
    <x:t xml:space="preserve">FB05-a 提前complete；FB05-b 丢失done；FB05-c 丢失真实FP exception；FB05-d 伪造exception</x:t>
  </x:si>
  <x:si>
    <x:t xml:space="preserve">FP/SIMD uop即将完成或产生异常</x:t>
  </x:si>
  <x:si>
    <x:t xml:space="preserve">提前complete可能提交旧值；丢失exception可形成静默数值/FPSR错误；伪造exception多为Crash</x:t>
  </x:si>
  <x:si>
    <x:t xml:space="preserve">覆盖FP特有异常与ROB提交门控</x:t>
  </x:si>
  <x:si>
    <x:t xml:space="preserve">FB06</x:t>
  </x:si>
  <x:si>
    <x:t xml:space="preserve">FU完成事件携带的ROB index、物理目的tag和动态指令ID。</x:t>
  </x:si>
  <x:si>
    <x:t xml:space="preserve">把完成事件配到另一在飞且类型兼容的FP/SIMD entry/tag。从当前有效且生命周期合法的候选集合中选择另一个合法值；禁止空闲、越界或编码非法候选。保存source/target和候选集大小。仅当替换值被消费时计activated。触发：至少两个FP/SIMD操作同时在飞。</x:t>
  </x:si>
  <x:si>
    <x:t xml:space="preserve">FB06-a ROB index配对换值；FB06-b 目的tag配对换值；FB06-c 动态指令ID配对换值</x:t>
  </x:si>
  <x:si>
    <x:t xml:space="preserve">W10 PolyBench
W11 libjpeg-turbo-NEON</x:t>
  </x:si>
  <x:si>
    <x:t xml:space="preserve">至少两个FP/SIMD操作同时在飞</x:t>
  </x:si>
  <x:si>
    <x:t xml:space="preserve">错误配对可让一条指令早完成、另一条永不完成；若值/tag仍自洽可能静默交换结果</x:t>
  </x:si>
  <x:si>
    <x:t xml:space="preserve">覆盖长延迟FU返回与ROB配对</x:t>
  </x:si>
  <x:si>
    <x:t xml:space="preserve">FB07</x:t>
  </x:si>
  <x:si>
    <x:t xml:space="preserve">writeback lane mask、element-enable和目的物理tag。</x:t>
  </x:si>
  <x:si>
    <x:t xml:space="preserve">lane mask循环移位/互换，或把新结果的一部分lane与旧PRF值拼接；保持128-bit完整。仅当受影响lane随后被读或提交时activated。</x:t>
  </x:si>
  <x:si>
    <x:t xml:space="preserve">FB07-a lane mask循环移位；FB07-b lane mask互换；FB07-c element-enable错位；FB07-d 新旧lane错误拼接</x:t>
  </x:si>
  <x:si>
    <x:t xml:space="preserve">向量writeback且lane mask非平凡</x:t>
  </x:si>
  <x:si>
    <x:t xml:space="preserve">产生半新半旧或lane错位向量，应用可能正常完成但结果错误，预期SDC高</x:t>
  </x:si>
  <x:si>
    <x:t xml:space="preserve">SIMD写回路径的专属结构化模型</x:t>
  </x:si>
  <x:si>
    <x:t xml:space="preserve">FB08</x:t>
  </x:si>
  <x:si>
    <x:t xml:space="preserve">FP/SIMD指令相关的squash与FU取消/结果抑制事件。</x:t>
  </x:si>
  <x:si>
    <x:t xml:space="preserve">squash/取消提前、延后、丢失或重复；绑定错误路径FP操作。绑定一个动态指令/事件ID，提前、延后、丢失、重复分开执行；数据载荷保持正确。仅当下游因此读取旧值、漏发、重复或改变顺序时计activated。触发：mispredict时存在未完成FP/SIMD操作。</x:t>
  </x:si>
  <x:si>
    <x:t xml:space="preserve">FB08-a squash提前/延后；FB08-b FU取消丢失；FB08-c 结果抑制丢失；FB08-d 取消重复</x:t>
  </x:si>
  <x:si>
    <x:t xml:space="preserve">mispredict时存在未完成FP/SIMD操作</x:t>
  </x:si>
  <x:si>
    <x:t xml:space="preserve">丢失取消可能让错误路径结果写回或错误唤醒；重复取消多为性能/Timeout</x:t>
  </x:si>
  <x:si>
    <x:t xml:space="preserve">覆盖长延迟FP跨squash返回</x:t>
  </x:si>
  <x:si>
    <x:t xml:space="preserve">本方案结构化模型；MICRO24时延方法论</x:t>
  </x:si>
  <x:si>
    <x:t xml:space="preserve">FB09</x:t>
  </x:si>
  <x:si>
    <x:t xml:space="preserve">FP/SIMD commit、V寄存器架构映射更新、FPSR更新与old-dest释放事件。</x:t>
  </x:si>
  <x:si>
    <x:t xml:space="preserve">让其中一个子事件提前/延后/丢失/重复，分别执行。绑定一个动态指令/事件ID，提前、延后、丢失、重复分开执行；数据载荷保持正确。仅当下游因此读取旧值、漏发、重复或改变顺序时计activated。触发：FP/SIMD ROB head已完成可提交。</x:t>
  </x:si>
  <x:si>
    <x:t xml:space="preserve">FB09-a commit提前/延后；FB09-b V寄存器映射更新丢失/重复；FB09-c FPSR更新丢失/重复；FB09-d old-dest释放错误</x:t>
  </x:si>
  <x:si>
    <x:t xml:space="preserve">FP/SIMD ROB head已完成可提交</x:t>
  </x:si>
  <x:si>
    <x:t xml:space="preserve">V值与FPSR不同步、重复释放或漏提交可形成SDC/延迟use-after-free</x:t>
  </x:si>
  <x:si>
    <x:t xml:space="preserve">提交事务必须同时监控数据、状态和资源回收</x:t>
  </x:si>
  <x:si>
    <x:t xml:space="preserve">FB10</x:t>
  </x:si>
  <x:si>
    <x:t xml:space="preserve">FP激活ROB slot或完成状态固定bit，跨entry复用持续。</x:t>
  </x:si>
  <x:si>
    <x:t xml:space="preserve">选择tag/complete/exception/lane-mask bit实施stuck-at-0/1。warm-up后固定一个bit/控制位，分别做stuck-at-0和stuck-at-1，每次经过均施加到结束；正确值本来等于卡死值时不增加activated。触发：warm-up后每次该slot被FP/SIMD指令占用。</x:t>
  </x:si>
  <x:si>
    <x:t xml:space="preserve">FB10-a tag bit stuck-at-0/1；FB10-b complete bit stuck-at-0/1；FB10-c exception bit stuck-at-0/1；FB10-d lane-mask bit stuck-at-0/1</x:t>
  </x:si>
  <x:si>
    <x:t xml:space="preserve">warm-up后每次该slot被FP/SIMD指令占用</x:t>
  </x:si>
  <x:si>
    <x:t xml:space="preserve">周期性Crash/Timeout或稳定lane污染；FP异常状态卡死可能只对特殊值激活</x:t>
  </x:si>
  <x:si>
    <x:t xml:space="preserve">覆盖永久缺陷和数据相关激活</x:t>
  </x:si>
  <x:si>
    <x:t xml:space="preserve">CHAOS26 stuck-at方法；无直接FP ROB结果</x:t>
  </x:si>
  <x:si>
    <x:t xml:space="preserve">层级</x:t>
  </x:si>
  <x:si>
    <x:t xml:space="preserve">名称</x:t>
  </x:si>
  <x:si>
    <x:t xml:space="preserve">定义</x:t>
  </x:si>
  <x:si>
    <x:t xml:space="preserve">必须采集量</x:t>
  </x:si>
  <x:si>
    <x:t xml:space="preserve">适用范围</x:t>
  </x:si>
  <x:si>
    <x:t xml:space="preserve">判定规则</x:t>
  </x:si>
  <x:si>
    <x:t xml:space="preserve">L0</x:t>
  </x:si>
  <x:si>
    <x:t xml:space="preserve">注入与激活</x:t>
  </x:si>
  <x:si>
    <x:t xml:space="preserve">记录attempt、eligible、目标动态指令/entry/bit、注入时结构状态，以及故障字段是否被后续读取、选择或用于状态转移。</x:t>
  </x:si>
  <x:si>
    <x:t xml:space="preserve">attempted、eligible、activated、目标寿命、动态指令ID、ROB序号、commit序号、source/target</x:t>
  </x:si>
  <x:si>
    <x:t xml:space="preserve">全部</x:t>
  </x:si>
  <x:si>
    <x:t xml:space="preserve">未activated不进入SDC率分母；合法换值必须保存候选集</x:t>
  </x:si>
  <x:si>
    <x:t xml:space="preserve">L1</x:t>
  </x:si>
  <x:si>
    <x:t xml:space="preserve">单元内部状态</x:t>
  </x:si>
  <x:si>
    <x:t xml:space="preserve">与同checkpoint的无故障影子状态逐事件比较：decode tuple；RAT/free-list/ready/checkpoint；ROB entry/head/tail/state。</x:t>
  </x:si>
  <x:si>
    <x:t xml:space="preserve">首个局部偏差周期；字段diff；映射唯一性；free+allocated守恒；ROB occupancy守恒；valid/complete合法转移</x:t>
  </x:si>
  <x:si>
    <x:t xml:space="preserve">全部，按单元定制</x:t>
  </x:si>
  <x:si>
    <x:t xml:space="preserve">局部偏差不等于架构错误；保留首次差异和是否恢复</x:t>
  </x:si>
  <x:si>
    <x:t xml:space="preserve">L2</x:t>
  </x:si>
  <x:si>
    <x:t xml:space="preserve">跨单元依赖与分派</x:t>
  </x:si>
  <x:si>
    <x:t xml:space="preserve">观察decode→rename→dispatch/IQ的src/dst tag、依赖边、FU/opClass steering、ready/issue/replay。</x:t>
  </x:si>
  <x:si>
    <x:t xml:space="preserve">arch/phys tag、producer-consumer边、IQ slot、FU实例、issue cycle、stall/replay、重复/漏发</x:t>
  </x:si>
  <x:si>
    <x:t xml:space="preserve">Rename、Dispatch重点</x:t>
  </x:si>
  <x:si>
    <x:t xml:space="preserve">与golden逐动态指令匹配；区分值正确但时序不同</x:t>
  </x:si>
  <x:si>
    <x:t xml:space="preserve">L3</x:t>
  </x:si>
  <x:si>
    <x:t xml:space="preserve">执行与写回传播</x:t>
  </x:si>
  <x:si>
    <x:t xml:space="preserve">观察FU输入/输出、完成事件、writeback tag、lane mask、PRF写入和FPSR/exception。</x:t>
  </x:si>
  <x:si>
    <x:t xml:space="preserve">FU/opClass、输入/结果、完成周期、ROB index、物理tag、lane diff、异常标志、错误值扇出</x:t>
  </x:si>
  <x:si>
    <x:t xml:space="preserve">Dispatch/ROB与FP/SIMD重点</x:t>
  </x:si>
  <x:si>
    <x:t xml:space="preserve">记录首次错误执行、错误完成配对及是否被后续覆盖</x:t>
  </x:si>
  <x:si>
    <x:t xml:space="preserve">L4</x:t>
  </x:si>
  <x:si>
    <x:t xml:space="preserve">架构可见与提交</x:t>
  </x:si>
  <x:si>
    <x:t xml:space="preserve">commit处逐条比较PC、opcode、架构src/dst、寄存器值、FPSR和内存副作用，检查按序和精确异常。</x:t>
  </x:si>
  <x:si>
    <x:t xml:space="preserve">首个分歧commit序号、错误寄存器/lane、异常、错误路径提交、漏/重复提交、错误store</x:t>
  </x:si>
  <x:si>
    <x:t xml:space="preserve">commit trace与golden对齐；时序差异单列，不自动算数据错误</x:t>
  </x:si>
  <x:si>
    <x:t xml:space="preserve">L5</x:t>
  </x:si>
  <x:si>
    <x:t xml:space="preserve">检测与最终结局</x:t>
  </x:si>
  <x:si>
    <x:t xml:space="preserve">首个运行时检测层级分Hardware RAS、OS、Application、None；最终结局分Masked、Detected-contained、Data Corruption、Crash、Timeout。离线oracle不算运行时检测。</x:t>
  </x:si>
  <x:si>
    <x:t xml:space="preserve">首检层级、任意时点Hardware RAS、OS/应用证据、contained、输出diff、超时原因、Simulator failure</x:t>
  </x:si>
  <x:si>
    <x:t xml:space="preserve">SDC=None且Data Corruption；五类结局+Simulator failure=Activated；首检四类=可分析Activated</x:t>
  </x:si>
  <x:si>
    <x:t xml:space="preserve">档位</x:t>
  </x:si>
  <x:si>
    <x:t xml:space="preserve">适用故障</x:t>
  </x:si>
  <x:si>
    <x:t xml:space="preserve">设计意图</x:t>
  </x:si>
  <x:si>
    <x:t xml:space="preserve">统计单位</x:t>
  </x:si>
  <x:si>
    <x:t xml:space="preserve">F0</x:t>
  </x:si>
  <x:si>
    <x:t xml:space="preserve">单次瞬态</x:t>
  </x:si>
  <x:si>
    <x:t xml:space="preserve">每次运行只注入1次；warm-up后在 eligible event 中均匀抽样</x:t>
  </x:si>
  <x:si>
    <x:t xml:space="preserve">瞬态/结构化</x:t>
  </x:si>
  <x:si>
    <x:t xml:space="preserve">论文对照与AVF主基线</x:t>
  </x:si>
  <x:si>
    <x:t xml:space="preserve">run-level独立样本</x:t>
  </x:si>
  <x:si>
    <x:t xml:space="preserve">F1</x:t>
  </x:si>
  <x:si>
    <x:t xml:space="preserve">低频事件归一化</x:t>
  </x:si>
  <x:si>
    <x:t xml:space="preserve">平均每1,000,000个 eligible events 注入1次，间隔加入±50%抖动</x:t>
  </x:si>
  <x:si>
    <x:t xml:space="preserve">低频跨负载比较</x:t>
  </x:si>
  <x:si>
    <x:t xml:space="preserve">run-level cluster；事件级仅作传播记录</x:t>
  </x:si>
  <x:si>
    <x:t xml:space="preserve">F2</x:t>
  </x:si>
  <x:si>
    <x:t xml:space="preserve">中频事件归一化</x:t>
  </x:si>
  <x:si>
    <x:t xml:space="preserve">平均每100,000个 eligible events 注入1次，间隔加入±50%抖动</x:t>
  </x:si>
  <x:si>
    <x:t xml:space="preserve">观察SDC/Crash转折</x:t>
  </x:si>
  <x:si>
    <x:t xml:space="preserve">F3</x:t>
  </x:si>
  <x:si>
    <x:t xml:space="preserve">高频压力</x:t>
  </x:si>
  <x:si>
    <x:t xml:space="preserve">平均每10,000个 eligible events 注入1次，间隔加入±50%抖动</x:t>
  </x:si>
  <x:si>
    <x:t xml:space="preserve">仅作压力上界</x:t>
  </x:si>
  <x:si>
    <x:t xml:space="preserve">F4</x:t>
  </x:si>
  <x:si>
    <x:t xml:space="preserve">短突发</x:t>
  </x:si>
  <x:si>
    <x:t xml:space="preserve">每100,000个 eligible events 触发一次，连续污染2-4个 eligible events</x:t>
  </x:si>
  <x:si>
    <x:t xml:space="preserve">时序/多周期突发</x:t>
  </x:si>
  <x:si>
    <x:t xml:space="preserve">共享控制线或短时延持续</x:t>
  </x:si>
  <x:si>
    <x:t xml:space="preserve">永久卡死</x:t>
  </x:si>
  <x:si>
    <x:t xml:space="preserve">warm-up后第一个 eligible event 起持续至运行结束；每次运行只选1 bit/字段</x:t>
  </x:si>
  <x:si>
    <x:t xml:space="preserve">永久stuck-at/固定掩码</x:t>
  </x:si>
  <x:si>
    <x:t xml:space="preserve">永久缺陷</x:t>
  </x:si>
  <x:si>
    <x:t xml:space="preserve">F6</x:t>
  </x:si>
  <x:si>
    <x:t xml:space="preserve">确定性事件触发</x:t>
  </x:si>
  <x:si>
    <x:t xml:space="preserve">首次出现指定稀有事件时注入1次，保证结构化模型被激活</x:t>
  </x:si>
  <x:si>
    <x:t xml:space="preserve">稀有结构化事件</x:t>
  </x:si>
  <x:si>
    <x:t xml:space="preserve">保证激活与传播调试</x:t>
  </x:si>
  <x:si>
    <x:t xml:space="preserve">统计项</x:t>
  </x:si>
  <x:si>
    <x:t xml:space="preserve">规则/公式</x:t>
  </x:si>
  <x:si>
    <x:t xml:space="preserve">筛查目标</x:t>
  </x:si>
  <x:si>
    <x:t xml:space="preserve">主结果目标</x:t>
  </x:si>
  <x:si>
    <x:t xml:space="preserve">原因</x:t>
  </x:si>
  <x:si>
    <x:t xml:space="preserve">备注</x:t>
  </x:si>
  <x:si>
    <x:t xml:space="preserve">分母与二维分类</x:t>
  </x:si>
  <x:si>
    <x:t xml:space="preserve">可分析activated=activated-Simulator failure；SDC率=SDC/可分析activated；激活率=activated/attempted</x:t>
  </x:si>
  <x:si>
    <x:t xml:space="preserve">报告激活、结局、首检层级</x:t>
  </x:si>
  <x:si>
    <x:t xml:space="preserve">同左并给Wilson区间</x:t>
  </x:si>
  <x:si>
    <x:t xml:space="preserve">避免空项和模拟器失败稀释结果</x:t>
  </x:si>
  <x:si>
    <x:t xml:space="preserve">检测维度与结局维度分开</x:t>
  </x:si>
  <x:si>
    <x:t xml:space="preserve">试跑</x:t>
  </x:si>
  <x:si>
    <x:t xml:space="preserve">每模型×频率×负载先取得30个activated</x:t>
  </x:si>
  <x:si>
    <x:t xml:space="preserve">发现注入器错误、零激活或全Crash组合</x:t>
  </x:si>
  <x:si>
    <x:t xml:space="preserve">不用于窄置信区间</x:t>
  </x:si>
  <x:si>
    <x:t xml:space="preserve">筛查样本量</x:t>
  </x:si>
  <x:si>
    <x:t xml:space="preserve">最坏p=0.5，95%正态近似，半宽5pp约385</x:t>
  </x:si>
  <x:si>
    <x:t xml:space="preserve">-</x:t>
  </x:si>
  <x:si>
    <x:t xml:space="preserve">淘汰低价值组合</x:t>
  </x:si>
  <x:si>
    <x:t xml:space="preserve">正式报告仍用Wilson</x:t>
  </x:si>
  <x:si>
    <x:t xml:space="preserve">主结果停止</x:t>
  </x:si>
  <x:si>
    <x:t xml:space="preserve">顺序增加样本，Wilson 95%半宽&lt;=2pp或activated=5000</x:t>
  </x:si>
  <x:si>
    <x:t xml:space="preserve">&lt;=2pp或5000</x:t>
  </x:si>
  <x:si>
    <x:t xml:space="preserve">统一精度和成本</x:t>
  </x:si>
  <x:si>
    <x:t xml:space="preserve">报告实际样本量</x:t>
  </x:si>
  <x:si>
    <x:t xml:space="preserve">随机化</x:t>
  </x:si>
  <x:si>
    <x:t xml:space="preserve">seed、entry、bit、eligible event分层随机；合法换值保存source/target</x:t>
  </x:si>
  <x:si>
    <x:t xml:space="preserve">固定seed清单</x:t>
  </x:si>
  <x:si>
    <x:t xml:space="preserve">每cell独立&gt;=5个seed批次</x:t>
  </x:si>
  <x:si>
    <x:t xml:space="preserve">避免程序相位、固定ROB slot和寄存器热点</x:t>
  </x:si>
  <x:si>
    <x:t xml:space="preserve">跨模型用common random numbers</x:t>
  </x:si>
  <x:si>
    <x:t xml:space="preserve">超时</x:t>
  </x:si>
  <x:si>
    <x:t xml:space="preserve">golden sim time或committed inst的10倍，并设置绝对上限</x:t>
  </x:si>
  <x:si>
    <x:t xml:space="preserve">统一</x:t>
  </x:si>
  <x:si>
    <x:t xml:space="preserve">区分慢化和死锁</x:t>
  </x:si>
  <x:si>
    <x:t xml:space="preserve">F5可预注册更高上限</x:t>
  </x:si>
  <x:si>
    <x:t xml:space="preserve">重复注入</x:t>
  </x:si>
  <x:si>
    <x:t xml:space="preserve">F1-F4最终结局归因于整次运行故障序列</x:t>
  </x:si>
  <x:si>
    <x:t xml:space="preserve">保存cluster ID</x:t>
  </x:si>
  <x:si>
    <x:t xml:space="preserve">cluster bootstrap区间</x:t>
  </x:si>
  <x:si>
    <x:t xml:space="preserve">同一运行内事件不独立</x:t>
  </x:si>
  <x:si>
    <x:t xml:space="preserve">不得把事件直接当Bernoulli样本</x:t>
  </x:si>
  <x:si>
    <x:t xml:space="preserve">跨结构比较</x:t>
  </x:si>
  <x:si>
    <x:t xml:space="preserve">只比较同一频率口径、负载、activated定义和保护基线</x:t>
  </x:si>
  <x:si>
    <x:t xml:space="preserve">必须</x:t>
  </x:si>
  <x:si>
    <x:t xml:space="preserve">不同论文指标不可直接横比</x:t>
  </x:si>
  <x:si>
    <x:t xml:space="preserve">DelayAVF/AVF/条件SDC分开</x:t>
  </x:si>
  <x:si>
    <x:t xml:space="preserve">负载ID</x:t>
  </x:si>
  <x:si>
    <x:t xml:space="preserve">类型</x:t>
  </x:si>
  <x:si>
    <x:t xml:space="preserve">定义/输入与oracle</x:t>
  </x:si>
  <x:si>
    <x:t xml:space="preserve">主要覆盖单元</x:t>
  </x:si>
  <x:si>
    <x:t xml:space="preserve">模式</x:t>
  </x:si>
  <x:si>
    <x:t xml:space="preserve">W0</x:t>
  </x:si>
  <x:si>
    <x:t xml:space="preserve">MiniCheck-OOO</x:t>
  </x:si>
  <x:si>
    <x:t xml:space="preserve">自设最小正确性探针</x:t>
  </x:si>
  <x:si>
    <x:t xml:space="preserve">短整数/FP/NEON 算术、依赖链、分支、异常恢复；逐提交 trace 和最终 hash 双 oracle</x:t>
  </x:si>
  <x:si>
    <x:t xml:space="preserve">全部；注入器冒烟与传播调试</x:t>
  </x:si>
  <x:si>
    <x:t xml:space="preserve">SE</x:t>
  </x:si>
  <x:si>
    <x:t xml:space="preserve">W1</x:t>
  </x:si>
  <x:si>
    <x:t xml:space="preserve">MiBench-TC23</x:t>
  </x:si>
  <x:si>
    <x:t xml:space="preserve">公开/论文复现</x:t>
  </x:si>
  <x:si>
    <x:t xml:space="preserve">blowfish、patricia、fft、gsm、dijkstra、rijndael、sha、bitcount、edge、smooth；最大输入集；输出与 golden 比对</x:t>
  </x:si>
  <x:si>
    <x:t xml:space="preserve">Int Dispatch/ROB；与 TC'23 定性/定量对照</x:t>
  </x:si>
  <x:si>
    <x:t xml:space="preserve">FS优先</x:t>
  </x:si>
  <x:si>
    <x:t xml:space="preserve">W2</x:t>
  </x:si>
  <x:si>
    <x:t xml:space="preserve">BEEBS-DelayAVF</x:t>
  </x:si>
  <x:si>
    <x:t xml:space="preserve">md5、libbubblesort、libstrstr、matmult、libfibcall；固定输入和输出</x:t>
  </x:si>
  <x:si>
    <x:t xml:space="preserve">Int Decode；只对照时延故障排序，不比较绝对 SDC 率</x:t>
  </x:si>
  <x:si>
    <x:t xml:space="preserve">W3</x:t>
  </x:si>
  <x:si>
    <x:t xml:space="preserve">A64-DecodeProbe</x:t>
  </x:si>
  <x:si>
    <x:t xml:space="preserve">自设定向负载</x:t>
  </x:si>
  <x:si>
    <x:t xml:space="preserve">系统覆盖 data-processing immediate/register、shift/extend、conditional select、branch、load/store 解码边界；每条指令有软件参考值和 expected decode tuple</x:t>
  </x:si>
  <x:si>
    <x:t xml:space="preserve">W4</x:t>
  </x:si>
  <x:si>
    <x:t xml:space="preserve">Rename-Dependency</x:t>
  </x:si>
  <x:si>
    <x:t xml:space="preserve">RAW/WAR/WAW 链、x0、同周期多目的、长活跃区间、寄存器压力、分支嵌套；检查映射唯一性和最终寄存器 hash</x:t>
  </x:si>
  <x:si>
    <x:t xml:space="preserve">W5</x:t>
  </x:si>
  <x:si>
    <x:t xml:space="preserve">ROB-Recovery</x:t>
  </x:si>
  <x:si>
    <x:t xml:space="preserve">深 ROB、长/短延迟混合、连续 mispredict、精确异常、squash 后重分派；逐提交 PC/opcode/目的和值比较</x:t>
  </x:si>
  <x:si>
    <x:t xml:space="preserve">Int Dispatch/ROB</x:t>
  </x:si>
  <x:si>
    <x:t xml:space="preserve">SE+FS子集</x:t>
  </x:si>
  <x:si>
    <x:t xml:space="preserve">W6</x:t>
  </x:si>
  <x:si>
    <x:t xml:space="preserve">CoreMark+Embench</x:t>
  </x:si>
  <x:si>
    <x:t xml:space="preserve">公开通用</x:t>
  </x:si>
  <x:si>
    <x:t xml:space="preserve">CoreMark 与 Embench 全集；固定编译器/优化/输入；使用内置校验及输出 hash</x:t>
  </x:si>
  <x:si>
    <x:t xml:space="preserve">整数 OOO 全链</x:t>
  </x:si>
  <x:si>
    <x:t xml:space="preserve">SE/FS</x:t>
  </x:si>
  <x:si>
    <x:t xml:space="preserve">W7</x:t>
  </x:si>
  <x:si>
    <x:t xml:space="preserve">GAP-Selected</x:t>
  </x:si>
  <x:si>
    <x:t xml:space="preserve">BFS、SSSP、PageRank；固定图和结果 hash；制造不规则依赖、长延迟和 ROB 压力</x:t>
  </x:si>
  <x:si>
    <x:t xml:space="preserve">Int Rename、Dispatch/ROB</x:t>
  </x:si>
  <x:si>
    <x:t xml:space="preserve">W8</x:t>
  </x:si>
  <x:si>
    <x:t xml:space="preserve">FP-ScalarProbe</x:t>
  </x:si>
  <x:si>
    <x:t xml:space="preserve">FP32/FP64 add/mul/div/sqrt/FMA、NaN/Inf/±0/subnormal、四种舍入、FP exception；位级结果与 FPSR/FPCR oracle</x:t>
  </x:si>
  <x:si>
    <x:t xml:space="preserve">FP/SIMD Decode、Rename、Dispatch/ROB</x:t>
  </x:si>
  <x:si>
    <x:t xml:space="preserve">W9</x:t>
  </x:si>
  <x:si>
    <x:t xml:space="preserve">NEON-LaneProbe</x:t>
  </x:si>
  <x:si>
    <x:t xml:space="preserve">8/16/32/64-bit lane、整数/浮点 AdvSIMD、lane extract/insert、widen/narrow、permute、reduce；逐 lane 比对</x:t>
  </x:si>
  <x:si>
    <x:t xml:space="preserve">FP/SIMD 三单元</x:t>
  </x:si>
  <x:si>
    <x:t xml:space="preserve">W10</x:t>
  </x:si>
  <x:si>
    <x:t xml:space="preserve">PolyBench</x:t>
  </x:si>
  <x:si>
    <x:t xml:space="preserve">gemm、2mm、lu、cholesky、jacobi-2d；固定规模；输出数组逐元素/容差双校验</x:t>
  </x:si>
  <x:si>
    <x:t xml:space="preserve">FP/SIMD 三单元与长依赖链</x:t>
  </x:si>
  <x:si>
    <x:t xml:space="preserve">W11</x:t>
  </x:si>
  <x:si>
    <x:t xml:space="preserve">libjpeg-turbo-NEON</x:t>
  </x:si>
  <x:si>
    <x:t xml:space="preserve">真实应用</x:t>
  </x:si>
  <x:si>
    <x:t xml:space="preserve">固定图像做压缩/解压，启用 AArch64 NEON；逐像素、文件 hash 和格式合法性检查</x:t>
  </x:si>
  <x:si>
    <x:t xml:space="preserve">W12</x:t>
  </x:si>
  <x:si>
    <x:t xml:space="preserve">SPEC CPU2017 SimPoint</x:t>
  </x:si>
  <x:si>
    <x:t xml:space="preserve">公开通用（需许可证）</x:t>
  </x:si>
  <x:si>
    <x:t xml:space="preserve">整数选 mcf/xalancbmk，浮点选 lbm/cam4；固定 SimPoint/checkpoint，主结论后复核</x:t>
  </x:si>
  <x:si>
    <x:t xml:space="preserve">外部有效性</x:t>
  </x:si>
  <x:si>
    <x:t xml:space="preserve">W13</x:t>
  </x:si>
  <x:si>
    <x:t xml:space="preserve">FP-ExceptionRecovery</x:t>
  </x:si>
  <x:si>
    <x:t xml:space="preserve">FP invalid/div0/overflow/underflow/inexact 与分支误预测/精确异常交叉；检查 FPSR、目的寄存器和提交边界</x:t>
  </x:si>
  <x:si>
    <x:t xml:space="preserve">FS</x:t>
  </x:si>
  <x:si>
    <x:t xml:space="preserve">RunID</x:t>
  </x:si>
  <x:si>
    <x:t xml:space="preserve">频率</x:t>
  </x:si>
  <x:si>
    <x:t xml:space="preserve">频率定义</x:t>
  </x:si>
  <x:si>
    <x:t xml:space="preserve">负载（真实名称）</x:t>
  </x:si>
  <x:si>
    <x:t xml:space="preserve">负载定义/oracle</x:t>
  </x:si>
  <x:si>
    <x:t xml:space="preserve">触发条件</x:t>
  </x:si>
  <x:si>
    <x:t xml:space="preserve">传播监控</x:t>
  </x:si>
  <x:si>
    <x:t xml:space="preserve">预期结果</x:t>
  </x:si>
  <x:si>
    <x:t xml:space="preserve">文献依据</x:t>
  </x:si>
  <x:si>
    <x:t xml:space="preserve">Seed/注入索引</x:t>
  </x:si>
  <x:si>
    <x:t xml:space="preserve">Attempted</x:t>
  </x:si>
  <x:si>
    <x:t xml:space="preserve">Activated</x:t>
  </x:si>
  <x:si>
    <x:t xml:space="preserve">Masked</x:t>
  </x:si>
  <x:si>
    <x:t xml:space="preserve">Detected-contained</x:t>
  </x:si>
  <x:si>
    <x:t xml:space="preserve">Data Corruption</x:t>
  </x:si>
  <x:si>
    <x:t xml:space="preserve">Crash</x:t>
  </x:si>
  <x:si>
    <x:t xml:space="preserve">Timeout</x:t>
  </x:si>
  <x:si>
    <x:t xml:space="preserve">SDC率(可分析activated)</x:t>
  </x:si>
  <x:si>
    <x:t xml:space="preserve">激活率</x:t>
  </x:si>
  <x:si>
    <x:t xml:space="preserve">记录状态</x:t>
  </x:si>
  <x:si>
    <x:t xml:space="preserve">实测备注</x:t>
  </x:si>
  <x:si>
    <x:t xml:space="preserve">SDC</x:t>
  </x:si>
  <x:si>
    <x:t xml:space="preserve">D01-F0-W3</x:t>
  </x:si>
  <x:si>
    <x:t xml:space="preserve">W3 A64-DecodeProbe</x:t>
  </x:si>
  <x:si>
    <x:t xml:space="preserve">A64-DecodeProbe（自设定向负载）
执行定义与oracle：系统覆盖 data-processing immediate/register、shift/extend、conditional select、branch、load/store 解码边界；每条指令有软件参考值和 expected decode tuple</x:t>
  </x:si>
  <x:si>
    <x:t xml:space="preserve">待执行</x:t>
  </x:si>
  <x:si>
    <x:t xml:space="preserve">D01-F0-W6</x:t>
  </x:si>
  <x:si>
    <x:t xml:space="preserve">W6 CoreMark+Embench</x:t>
  </x:si>
  <x:si>
    <x:t xml:space="preserve">CoreMark+Embench（公开通用）
执行定义与oracle：CoreMark 与 Embench 全集；固定编译器/优化/输入；使用内置校验及输出 hash</x:t>
  </x:si>
  <x:si>
    <x:t xml:space="preserve">D01-F1-W3</x:t>
  </x:si>
  <x:si>
    <x:t xml:space="preserve">D01-F1-W6</x:t>
  </x:si>
  <x:si>
    <x:t xml:space="preserve">D01-F2-W3</x:t>
  </x:si>
  <x:si>
    <x:t xml:space="preserve">D01-F2-W6</x:t>
  </x:si>
  <x:si>
    <x:t xml:space="preserve">D02-F0-W3</x:t>
  </x:si>
  <x:si>
    <x:t xml:space="preserve">D02-F0-W6</x:t>
  </x:si>
  <x:si>
    <x:t xml:space="preserve">D02-F2-W3</x:t>
  </x:si>
  <x:si>
    <x:t xml:space="preserve">D02-F2-W6</x:t>
  </x:si>
  <x:si>
    <x:t xml:space="preserve">D03-F0-W3</x:t>
  </x:si>
  <x:si>
    <x:t xml:space="preserve">D03-F0-W6</x:t>
  </x:si>
  <x:si>
    <x:t xml:space="preserve">D03-F2-W3</x:t>
  </x:si>
  <x:si>
    <x:t xml:space="preserve">D03-F2-W6</x:t>
  </x:si>
  <x:si>
    <x:t xml:space="preserve">D03-F6-W3</x:t>
  </x:si>
  <x:si>
    <x:t xml:space="preserve">D03-F6-W6</x:t>
  </x:si>
  <x:si>
    <x:t xml:space="preserve">D04-F0-W3</x:t>
  </x:si>
  <x:si>
    <x:t xml:space="preserve">D04-F0-W4</x:t>
  </x:si>
  <x:si>
    <x:t xml:space="preserve">W4 Rename-Dependency</x:t>
  </x:si>
  <x:si>
    <x:t xml:space="preserve">Rename-Dependency（自设定向负载）
执行定义与oracle：RAW/WAR/WAW 链、x0、同周期多目的、长活跃区间、寄存器压力、分支嵌套；检查映射唯一性和最终寄存器 hash</x:t>
  </x:si>
  <x:si>
    <x:t xml:space="preserve">D04-F2-W3</x:t>
  </x:si>
  <x:si>
    <x:t xml:space="preserve">D04-F2-W4</x:t>
  </x:si>
  <x:si>
    <x:t xml:space="preserve">D04-F6-W3</x:t>
  </x:si>
  <x:si>
    <x:t xml:space="preserve">D04-F6-W4</x:t>
  </x:si>
  <x:si>
    <x:t xml:space="preserve">D05-F0-W3</x:t>
  </x:si>
  <x:si>
    <x:t xml:space="preserve">D05-F0-W6</x:t>
  </x:si>
  <x:si>
    <x:t xml:space="preserve">D05-F2-W3</x:t>
  </x:si>
  <x:si>
    <x:t xml:space="preserve">D05-F2-W6</x:t>
  </x:si>
  <x:si>
    <x:t xml:space="preserve">D05-F6-W3</x:t>
  </x:si>
  <x:si>
    <x:t xml:space="preserve">D05-F6-W6</x:t>
  </x:si>
  <x:si>
    <x:t xml:space="preserve">D06-F0-W3</x:t>
  </x:si>
  <x:si>
    <x:t xml:space="preserve">D06-F0-W6</x:t>
  </x:si>
  <x:si>
    <x:t xml:space="preserve">D06-F2-W3</x:t>
  </x:si>
  <x:si>
    <x:t xml:space="preserve">D06-F2-W6</x:t>
  </x:si>
  <x:si>
    <x:t xml:space="preserve">D06-F6-W3</x:t>
  </x:si>
  <x:si>
    <x:t xml:space="preserve">D06-F6-W6</x:t>
  </x:si>
  <x:si>
    <x:t xml:space="preserve">D07-F0-W3</x:t>
  </x:si>
  <x:si>
    <x:t xml:space="preserve">D07-F0-W5</x:t>
  </x:si>
  <x:si>
    <x:t xml:space="preserve">W5 ROB-Recovery</x:t>
  </x:si>
  <x:si>
    <x:t xml:space="preserve">ROB-Recovery（自设定向负载）
执行定义与oracle：深 ROB、长/短延迟混合、连续 mispredict、精确异常、squash 后重分派；逐提交 PC/opcode/目的和值比较</x:t>
  </x:si>
  <x:si>
    <x:t xml:space="preserve">D07-F4-W3</x:t>
  </x:si>
  <x:si>
    <x:t xml:space="preserve">D07-F4-W5</x:t>
  </x:si>
  <x:si>
    <x:t xml:space="preserve">D07-F6-W3</x:t>
  </x:si>
  <x:si>
    <x:t xml:space="preserve">D07-F6-W5</x:t>
  </x:si>
  <x:si>
    <x:t xml:space="preserve">D08-F0-W3</x:t>
  </x:si>
  <x:si>
    <x:t xml:space="preserve">D08-F0-W5</x:t>
  </x:si>
  <x:si>
    <x:t xml:space="preserve">D08-F4-W3</x:t>
  </x:si>
  <x:si>
    <x:t xml:space="preserve">D08-F4-W5</x:t>
  </x:si>
  <x:si>
    <x:t xml:space="preserve">D08-F6-W3</x:t>
  </x:si>
  <x:si>
    <x:t xml:space="preserve">D08-F6-W5</x:t>
  </x:si>
  <x:si>
    <x:t xml:space="preserve">D09-F5-W3</x:t>
  </x:si>
  <x:si>
    <x:t xml:space="preserve">D09-F5-W6</x:t>
  </x:si>
  <x:si>
    <x:t xml:space="preserve">R01-F0-W4</x:t>
  </x:si>
  <x:si>
    <x:t xml:space="preserve">R01-F0-W6</x:t>
  </x:si>
  <x:si>
    <x:t xml:space="preserve">R01-F1-W4</x:t>
  </x:si>
  <x:si>
    <x:t xml:space="preserve">R01-F1-W6</x:t>
  </x:si>
  <x:si>
    <x:t xml:space="preserve">R01-F2-W4</x:t>
  </x:si>
  <x:si>
    <x:t xml:space="preserve">R01-F2-W6</x:t>
  </x:si>
  <x:si>
    <x:t xml:space="preserve">R02-F0-W4</x:t>
  </x:si>
  <x:si>
    <x:t xml:space="preserve">R02-F0-W7</x:t>
  </x:si>
  <x:si>
    <x:t xml:space="preserve">W7 GAP-Selected</x:t>
  </x:si>
  <x:si>
    <x:t xml:space="preserve">GAP-Selected（公开通用）
执行定义与oracle：BFS、SSSP、PageRank；固定图和结果 hash；制造不规则依赖、长延迟和 ROB 压力</x:t>
  </x:si>
  <x:si>
    <x:t xml:space="preserve">R02-F2-W4</x:t>
  </x:si>
  <x:si>
    <x:t xml:space="preserve">R02-F2-W7</x:t>
  </x:si>
  <x:si>
    <x:t xml:space="preserve">R03-F0-W4</x:t>
  </x:si>
  <x:si>
    <x:t xml:space="preserve">R03-F0-W6</x:t>
  </x:si>
  <x:si>
    <x:t xml:space="preserve">R03-F2-W4</x:t>
  </x:si>
  <x:si>
    <x:t xml:space="preserve">R03-F2-W6</x:t>
  </x:si>
  <x:si>
    <x:t xml:space="preserve">R03-F6-W4</x:t>
  </x:si>
  <x:si>
    <x:t xml:space="preserve">R03-F6-W6</x:t>
  </x:si>
  <x:si>
    <x:t xml:space="preserve">R04-F0-W4</x:t>
  </x:si>
  <x:si>
    <x:t xml:space="preserve">R04-F0-W7</x:t>
  </x:si>
  <x:si>
    <x:t xml:space="preserve">R04-F2-W4</x:t>
  </x:si>
  <x:si>
    <x:t xml:space="preserve">R04-F2-W7</x:t>
  </x:si>
  <x:si>
    <x:t xml:space="preserve">R04-F6-W4</x:t>
  </x:si>
  <x:si>
    <x:t xml:space="preserve">R04-F6-W7</x:t>
  </x:si>
  <x:si>
    <x:t xml:space="preserve">R05-F0-W4</x:t>
  </x:si>
  <x:si>
    <x:t xml:space="preserve">R05-F0-W7</x:t>
  </x:si>
  <x:si>
    <x:t xml:space="preserve">R05-F2-W4</x:t>
  </x:si>
  <x:si>
    <x:t xml:space="preserve">R05-F2-W7</x:t>
  </x:si>
  <x:si>
    <x:t xml:space="preserve">R05-F6-W4</x:t>
  </x:si>
  <x:si>
    <x:t xml:space="preserve">R05-F6-W7</x:t>
  </x:si>
  <x:si>
    <x:t xml:space="preserve">R06-F0-W4</x:t>
  </x:si>
  <x:si>
    <x:t xml:space="preserve">R06-F0-W5</x:t>
  </x:si>
  <x:si>
    <x:t xml:space="preserve">R06-F2-W4</x:t>
  </x:si>
  <x:si>
    <x:t xml:space="preserve">R06-F2-W5</x:t>
  </x:si>
  <x:si>
    <x:t xml:space="preserve">R06-F6-W4</x:t>
  </x:si>
  <x:si>
    <x:t xml:space="preserve">R06-F6-W5</x:t>
  </x:si>
  <x:si>
    <x:t xml:space="preserve">R07-F0-W4</x:t>
  </x:si>
  <x:si>
    <x:t xml:space="preserve">R07-F0-W5</x:t>
  </x:si>
  <x:si>
    <x:t xml:space="preserve">R07-F4-W4</x:t>
  </x:si>
  <x:si>
    <x:t xml:space="preserve">R07-F4-W5</x:t>
  </x:si>
  <x:si>
    <x:t xml:space="preserve">R07-F6-W4</x:t>
  </x:si>
  <x:si>
    <x:t xml:space="preserve">R07-F6-W5</x:t>
  </x:si>
  <x:si>
    <x:t xml:space="preserve">R08-F0-W4</x:t>
  </x:si>
  <x:si>
    <x:t xml:space="preserve">R08-F0-W5</x:t>
  </x:si>
  <x:si>
    <x:t xml:space="preserve">R08-F4-W4</x:t>
  </x:si>
  <x:si>
    <x:t xml:space="preserve">R08-F4-W5</x:t>
  </x:si>
  <x:si>
    <x:t xml:space="preserve">R08-F6-W4</x:t>
  </x:si>
  <x:si>
    <x:t xml:space="preserve">R08-F6-W5</x:t>
  </x:si>
  <x:si>
    <x:t xml:space="preserve">R09-F5-W4</x:t>
  </x:si>
  <x:si>
    <x:t xml:space="preserve">R09-F5-W6</x:t>
  </x:si>
  <x:si>
    <x:t xml:space="preserve">B01-F0-W1</x:t>
  </x:si>
  <x:si>
    <x:t xml:space="preserve">W1 MiBench-TC23</x:t>
  </x:si>
  <x:si>
    <x:t xml:space="preserve">MiBench-TC23（公开/论文复现）
执行定义与oracle：blowfish、patricia、fft、gsm、dijkstra、rijndael、sha、bitcount、edge、smooth；最大输入集；输出与 golden 比对</x:t>
  </x:si>
  <x:si>
    <x:t xml:space="preserve">B01-F0-W5</x:t>
  </x:si>
  <x:si>
    <x:t xml:space="preserve">B01-F1-W1</x:t>
  </x:si>
  <x:si>
    <x:t xml:space="preserve">B01-F1-W5</x:t>
  </x:si>
  <x:si>
    <x:t xml:space="preserve">B01-F2-W1</x:t>
  </x:si>
  <x:si>
    <x:t xml:space="preserve">B01-F2-W5</x:t>
  </x:si>
  <x:si>
    <x:t xml:space="preserve">B02-F0-W1</x:t>
  </x:si>
  <x:si>
    <x:t xml:space="preserve">B02-F0-W5</x:t>
  </x:si>
  <x:si>
    <x:t xml:space="preserve">B02-F2-W1</x:t>
  </x:si>
  <x:si>
    <x:t xml:space="preserve">B02-F2-W5</x:t>
  </x:si>
  <x:si>
    <x:t xml:space="preserve">B03-F0-W5</x:t>
  </x:si>
  <x:si>
    <x:t xml:space="preserve">B03-F0-W7</x:t>
  </x:si>
  <x:si>
    <x:t xml:space="preserve">B03-F2-W5</x:t>
  </x:si>
  <x:si>
    <x:t xml:space="preserve">B03-F2-W7</x:t>
  </x:si>
  <x:si>
    <x:t xml:space="preserve">B03-F6-W5</x:t>
  </x:si>
  <x:si>
    <x:t xml:space="preserve">B03-F6-W7</x:t>
  </x:si>
  <x:si>
    <x:t xml:space="preserve">B04-F0-W5</x:t>
  </x:si>
  <x:si>
    <x:t xml:space="preserve">B04-F0-W7</x:t>
  </x:si>
  <x:si>
    <x:t xml:space="preserve">B04-F2-W5</x:t>
  </x:si>
  <x:si>
    <x:t xml:space="preserve">B04-F2-W7</x:t>
  </x:si>
  <x:si>
    <x:t xml:space="preserve">B04-F6-W5</x:t>
  </x:si>
  <x:si>
    <x:t xml:space="preserve">B04-F6-W7</x:t>
  </x:si>
  <x:si>
    <x:t xml:space="preserve">B05-F0-W5</x:t>
  </x:si>
  <x:si>
    <x:t xml:space="preserve">B05-F0-W1</x:t>
  </x:si>
  <x:si>
    <x:t xml:space="preserve">B05-F4-W5</x:t>
  </x:si>
  <x:si>
    <x:t xml:space="preserve">B05-F4-W1</x:t>
  </x:si>
  <x:si>
    <x:t xml:space="preserve">B05-F6-W5</x:t>
  </x:si>
  <x:si>
    <x:t xml:space="preserve">B05-F6-W1</x:t>
  </x:si>
  <x:si>
    <x:t xml:space="preserve">B06-F0-W5</x:t>
  </x:si>
  <x:si>
    <x:t xml:space="preserve">B06-F0-W7</x:t>
  </x:si>
  <x:si>
    <x:t xml:space="preserve">B06-F2-W5</x:t>
  </x:si>
  <x:si>
    <x:t xml:space="preserve">B06-F2-W7</x:t>
  </x:si>
  <x:si>
    <x:t xml:space="preserve">B06-F6-W5</x:t>
  </x:si>
  <x:si>
    <x:t xml:space="preserve">B06-F6-W7</x:t>
  </x:si>
  <x:si>
    <x:t xml:space="preserve">B07-F0-W5</x:t>
  </x:si>
  <x:si>
    <x:t xml:space="preserve">B07-F0-W6</x:t>
  </x:si>
  <x:si>
    <x:t xml:space="preserve">B07-F2-W5</x:t>
  </x:si>
  <x:si>
    <x:t xml:space="preserve">B07-F2-W6</x:t>
  </x:si>
  <x:si>
    <x:t xml:space="preserve">B07-F6-W5</x:t>
  </x:si>
  <x:si>
    <x:t xml:space="preserve">B07-F6-W6</x:t>
  </x:si>
  <x:si>
    <x:t xml:space="preserve">B08-F0-W5</x:t>
  </x:si>
  <x:si>
    <x:t xml:space="preserve">B08-F0-W7</x:t>
  </x:si>
  <x:si>
    <x:t xml:space="preserve">B08-F4-W5</x:t>
  </x:si>
  <x:si>
    <x:t xml:space="preserve">B08-F4-W7</x:t>
  </x:si>
  <x:si>
    <x:t xml:space="preserve">B08-F6-W5</x:t>
  </x:si>
  <x:si>
    <x:t xml:space="preserve">B08-F6-W7</x:t>
  </x:si>
  <x:si>
    <x:t xml:space="preserve">B09-F0-W5</x:t>
  </x:si>
  <x:si>
    <x:t xml:space="preserve">B09-F0-W1</x:t>
  </x:si>
  <x:si>
    <x:t xml:space="preserve">B09-F4-W5</x:t>
  </x:si>
  <x:si>
    <x:t xml:space="preserve">B09-F4-W1</x:t>
  </x:si>
  <x:si>
    <x:t xml:space="preserve">B09-F6-W5</x:t>
  </x:si>
  <x:si>
    <x:t xml:space="preserve">B09-F6-W1</x:t>
  </x:si>
  <x:si>
    <x:t xml:space="preserve">B10-F5-W5</x:t>
  </x:si>
  <x:si>
    <x:t xml:space="preserve">B10-F5-W7</x:t>
  </x:si>
  <x:si>
    <x:t xml:space="preserve">FD01-F0-W8</x:t>
  </x:si>
  <x:si>
    <x:t xml:space="preserve">W8 FP-ScalarProbe</x:t>
  </x:si>
  <x:si>
    <x:t xml:space="preserve">FP-ScalarProbe（自设定向负载）
执行定义与oracle：FP32/FP64 add/mul/div/sqrt/FMA、NaN/Inf/±0/subnormal、四种舍入、FP exception；位级结果与 FPSR/FPCR oracle</x:t>
  </x:si>
  <x:si>
    <x:t xml:space="preserve">FD01-F0-W9</x:t>
  </x:si>
  <x:si>
    <x:t xml:space="preserve">W9 NEON-LaneProbe</x:t>
  </x:si>
  <x:si>
    <x:t xml:space="preserve">NEON-LaneProbe（自设定向负载）
执行定义与oracle：8/16/32/64-bit lane、整数/浮点 AdvSIMD、lane extract/insert、widen/narrow、permute、reduce；逐 lane 比对</x:t>
  </x:si>
  <x:si>
    <x:t xml:space="preserve">FD01-F1-W8</x:t>
  </x:si>
  <x:si>
    <x:t xml:space="preserve">FD01-F1-W9</x:t>
  </x:si>
  <x:si>
    <x:t xml:space="preserve">FD01-F2-W8</x:t>
  </x:si>
  <x:si>
    <x:t xml:space="preserve">FD01-F2-W9</x:t>
  </x:si>
  <x:si>
    <x:t xml:space="preserve">FD02-F0-W8</x:t>
  </x:si>
  <x:si>
    <x:t xml:space="preserve">FD02-F0-W9</x:t>
  </x:si>
  <x:si>
    <x:t xml:space="preserve">FD02-F2-W8</x:t>
  </x:si>
  <x:si>
    <x:t xml:space="preserve">FD02-F2-W9</x:t>
  </x:si>
  <x:si>
    <x:t xml:space="preserve">FD03-F0-W8</x:t>
  </x:si>
  <x:si>
    <x:t xml:space="preserve">FD03-F0-W10</x:t>
  </x:si>
  <x:si>
    <x:t xml:space="preserve">W10 PolyBench</x:t>
  </x:si>
  <x:si>
    <x:t xml:space="preserve">PolyBench（公开通用）
执行定义与oracle：gemm、2mm、lu、cholesky、jacobi-2d；固定规模；输出数组逐元素/容差双校验</x:t>
  </x:si>
  <x:si>
    <x:t xml:space="preserve">FD03-F2-W8</x:t>
  </x:si>
  <x:si>
    <x:t xml:space="preserve">FD03-F2-W10</x:t>
  </x:si>
  <x:si>
    <x:t xml:space="preserve">FD03-F6-W8</x:t>
  </x:si>
  <x:si>
    <x:t xml:space="preserve">FD03-F6-W10</x:t>
  </x:si>
  <x:si>
    <x:t xml:space="preserve">FD04-F0-W9</x:t>
  </x:si>
  <x:si>
    <x:t xml:space="preserve">FD04-F0-W11</x:t>
  </x:si>
  <x:si>
    <x:t xml:space="preserve">W11 libjpeg-turbo-NEON</x:t>
  </x:si>
  <x:si>
    <x:t xml:space="preserve">libjpeg-turbo-NEON（真实应用）
执行定义与oracle：固定图像做压缩/解压，启用 AArch64 NEON；逐像素、文件 hash 和格式合法性检查</x:t>
  </x:si>
  <x:si>
    <x:t xml:space="preserve">FD04-F2-W9</x:t>
  </x:si>
  <x:si>
    <x:t xml:space="preserve">FD04-F2-W11</x:t>
  </x:si>
  <x:si>
    <x:t xml:space="preserve">FD04-F6-W9</x:t>
  </x:si>
  <x:si>
    <x:t xml:space="preserve">FD04-F6-W11</x:t>
  </x:si>
  <x:si>
    <x:t xml:space="preserve">FD05-F0-W9</x:t>
  </x:si>
  <x:si>
    <x:t xml:space="preserve">FD05-F0-W10</x:t>
  </x:si>
  <x:si>
    <x:t xml:space="preserve">FD05-F2-W9</x:t>
  </x:si>
  <x:si>
    <x:t xml:space="preserve">FD05-F2-W10</x:t>
  </x:si>
  <x:si>
    <x:t xml:space="preserve">FD05-F6-W9</x:t>
  </x:si>
  <x:si>
    <x:t xml:space="preserve">FD05-F6-W10</x:t>
  </x:si>
  <x:si>
    <x:t xml:space="preserve">FD06-F0-W8</x:t>
  </x:si>
  <x:si>
    <x:t xml:space="preserve">FD06-F0-W13</x:t>
  </x:si>
  <x:si>
    <x:t xml:space="preserve">W13 FP-ExceptionRecovery</x:t>
  </x:si>
  <x:si>
    <x:t xml:space="preserve">FP-ExceptionRecovery（自设定向负载）
执行定义与oracle：FP invalid/div0/overflow/underflow/inexact 与分支误预测/精确异常交叉；检查 FPSR、目的寄存器和提交边界</x:t>
  </x:si>
  <x:si>
    <x:t xml:space="preserve">FD06-F2-W8</x:t>
  </x:si>
  <x:si>
    <x:t xml:space="preserve">FD06-F2-W13</x:t>
  </x:si>
  <x:si>
    <x:t xml:space="preserve">FD06-F6-W8</x:t>
  </x:si>
  <x:si>
    <x:t xml:space="preserve">FD06-F6-W13</x:t>
  </x:si>
  <x:si>
    <x:t xml:space="preserve">FD07-F0-W9</x:t>
  </x:si>
  <x:si>
    <x:t xml:space="preserve">FD07-F0-W11</x:t>
  </x:si>
  <x:si>
    <x:t xml:space="preserve">FD07-F2-W9</x:t>
  </x:si>
  <x:si>
    <x:t xml:space="preserve">FD07-F2-W11</x:t>
  </x:si>
  <x:si>
    <x:t xml:space="preserve">FD07-F6-W9</x:t>
  </x:si>
  <x:si>
    <x:t xml:space="preserve">FD07-F6-W11</x:t>
  </x:si>
  <x:si>
    <x:t xml:space="preserve">FD08-F0-W9</x:t>
  </x:si>
  <x:si>
    <x:t xml:space="preserve">FD08-F0-W10</x:t>
  </x:si>
  <x:si>
    <x:t xml:space="preserve">FD08-F4-W9</x:t>
  </x:si>
  <x:si>
    <x:t xml:space="preserve">FD08-F4-W10</x:t>
  </x:si>
  <x:si>
    <x:t xml:space="preserve">FD08-F6-W9</x:t>
  </x:si>
  <x:si>
    <x:t xml:space="preserve">FD08-F6-W10</x:t>
  </x:si>
  <x:si>
    <x:t xml:space="preserve">FD09-F0-W8</x:t>
  </x:si>
  <x:si>
    <x:t xml:space="preserve">FD09-F0-W9</x:t>
  </x:si>
  <x:si>
    <x:t xml:space="preserve">FD09-F4-W8</x:t>
  </x:si>
  <x:si>
    <x:t xml:space="preserve">FD09-F4-W9</x:t>
  </x:si>
  <x:si>
    <x:t xml:space="preserve">FD09-F6-W8</x:t>
  </x:si>
  <x:si>
    <x:t xml:space="preserve">FD09-F6-W9</x:t>
  </x:si>
  <x:si>
    <x:t xml:space="preserve">FR01-F0-W8</x:t>
  </x:si>
  <x:si>
    <x:t xml:space="preserve">FR01-F0-W9</x:t>
  </x:si>
  <x:si>
    <x:t xml:space="preserve">FR01-F1-W8</x:t>
  </x:si>
  <x:si>
    <x:t xml:space="preserve">FR01-F1-W9</x:t>
  </x:si>
  <x:si>
    <x:t xml:space="preserve">FR01-F2-W8</x:t>
  </x:si>
  <x:si>
    <x:t xml:space="preserve">FR01-F2-W9</x:t>
  </x:si>
  <x:si>
    <x:t xml:space="preserve">FR02-F0-W9</x:t>
  </x:si>
  <x:si>
    <x:t xml:space="preserve">FR02-F0-W10</x:t>
  </x:si>
  <x:si>
    <x:t xml:space="preserve">FR02-F2-W9</x:t>
  </x:si>
  <x:si>
    <x:t xml:space="preserve">FR02-F2-W10</x:t>
  </x:si>
  <x:si>
    <x:t xml:space="preserve">FR03-F0-W8</x:t>
  </x:si>
  <x:si>
    <x:t xml:space="preserve">FR03-F0-W9</x:t>
  </x:si>
  <x:si>
    <x:t xml:space="preserve">FR03-F2-W8</x:t>
  </x:si>
  <x:si>
    <x:t xml:space="preserve">FR03-F2-W9</x:t>
  </x:si>
  <x:si>
    <x:t xml:space="preserve">FR03-F6-W8</x:t>
  </x:si>
  <x:si>
    <x:t xml:space="preserve">FR03-F6-W9</x:t>
  </x:si>
  <x:si>
    <x:t xml:space="preserve">FR04-F0-W9</x:t>
  </x:si>
  <x:si>
    <x:t xml:space="preserve">FR04-F0-W10</x:t>
  </x:si>
  <x:si>
    <x:t xml:space="preserve">FR04-F2-W9</x:t>
  </x:si>
  <x:si>
    <x:t xml:space="preserve">FR04-F2-W10</x:t>
  </x:si>
  <x:si>
    <x:t xml:space="preserve">FR04-F6-W9</x:t>
  </x:si>
  <x:si>
    <x:t xml:space="preserve">FR04-F6-W10</x:t>
  </x:si>
  <x:si>
    <x:t xml:space="preserve">FR05-F0-W9</x:t>
  </x:si>
  <x:si>
    <x:t xml:space="preserve">FR05-F0-W10</x:t>
  </x:si>
  <x:si>
    <x:t xml:space="preserve">FR05-F2-W9</x:t>
  </x:si>
  <x:si>
    <x:t xml:space="preserve">FR05-F2-W10</x:t>
  </x:si>
  <x:si>
    <x:t xml:space="preserve">FR05-F6-W9</x:t>
  </x:si>
  <x:si>
    <x:t xml:space="preserve">FR05-F6-W10</x:t>
  </x:si>
  <x:si>
    <x:t xml:space="preserve">FR06-F0-W10</x:t>
  </x:si>
  <x:si>
    <x:t xml:space="preserve">FR06-F0-W13</x:t>
  </x:si>
  <x:si>
    <x:t xml:space="preserve">FR06-F2-W10</x:t>
  </x:si>
  <x:si>
    <x:t xml:space="preserve">FR06-F2-W13</x:t>
  </x:si>
  <x:si>
    <x:t xml:space="preserve">FR06-F6-W10</x:t>
  </x:si>
  <x:si>
    <x:t xml:space="preserve">FR06-F6-W13</x:t>
  </x:si>
  <x:si>
    <x:t xml:space="preserve">FR07-F0-W8</x:t>
  </x:si>
  <x:si>
    <x:t xml:space="preserve">FR07-F0-W10</x:t>
  </x:si>
  <x:si>
    <x:t xml:space="preserve">FR07-F4-W8</x:t>
  </x:si>
  <x:si>
    <x:t xml:space="preserve">FR07-F4-W10</x:t>
  </x:si>
  <x:si>
    <x:t xml:space="preserve">FR07-F6-W8</x:t>
  </x:si>
  <x:si>
    <x:t xml:space="preserve">FR07-F6-W10</x:t>
  </x:si>
  <x:si>
    <x:t xml:space="preserve">FR08-F0-W8</x:t>
  </x:si>
  <x:si>
    <x:t xml:space="preserve">FR08-F0-W9</x:t>
  </x:si>
  <x:si>
    <x:t xml:space="preserve">FR08-F2-W8</x:t>
  </x:si>
  <x:si>
    <x:t xml:space="preserve">FR08-F2-W9</x:t>
  </x:si>
  <x:si>
    <x:t xml:space="preserve">FR08-F6-W8</x:t>
  </x:si>
  <x:si>
    <x:t xml:space="preserve">FR08-F6-W9</x:t>
  </x:si>
  <x:si>
    <x:t xml:space="preserve">FR09-F0-W9</x:t>
  </x:si>
  <x:si>
    <x:t xml:space="preserve">FR09-F0-W10</x:t>
  </x:si>
  <x:si>
    <x:t xml:space="preserve">FR09-F4-W9</x:t>
  </x:si>
  <x:si>
    <x:t xml:space="preserve">FR09-F4-W10</x:t>
  </x:si>
  <x:si>
    <x:t xml:space="preserve">FR09-F6-W9</x:t>
  </x:si>
  <x:si>
    <x:t xml:space="preserve">FR09-F6-W10</x:t>
  </x:si>
  <x:si>
    <x:t xml:space="preserve">FR10-F5-W9</x:t>
  </x:si>
  <x:si>
    <x:t xml:space="preserve">FR10-F5-W10</x:t>
  </x:si>
  <x:si>
    <x:t xml:space="preserve">FB01-F0-W10</x:t>
  </x:si>
  <x:si>
    <x:t xml:space="preserve">FB01-F0-W13</x:t>
  </x:si>
  <x:si>
    <x:t xml:space="preserve">FB01-F1-W10</x:t>
  </x:si>
  <x:si>
    <x:t xml:space="preserve">FB01-F1-W13</x:t>
  </x:si>
  <x:si>
    <x:t xml:space="preserve">FB01-F2-W10</x:t>
  </x:si>
  <x:si>
    <x:t xml:space="preserve">FB01-F2-W13</x:t>
  </x:si>
  <x:si>
    <x:t xml:space="preserve">FB02-F0-W10</x:t>
  </x:si>
  <x:si>
    <x:t xml:space="preserve">FB02-F0-W13</x:t>
  </x:si>
  <x:si>
    <x:t xml:space="preserve">FB02-F2-W10</x:t>
  </x:si>
  <x:si>
    <x:t xml:space="preserve">FB02-F2-W13</x:t>
  </x:si>
  <x:si>
    <x:t xml:space="preserve">FB03-F0-W8</x:t>
  </x:si>
  <x:si>
    <x:t xml:space="preserve">FB03-F0-W9</x:t>
  </x:si>
  <x:si>
    <x:t xml:space="preserve">FB03-F2-W8</x:t>
  </x:si>
  <x:si>
    <x:t xml:space="preserve">FB03-F2-W9</x:t>
  </x:si>
  <x:si>
    <x:t xml:space="preserve">FB03-F6-W8</x:t>
  </x:si>
  <x:si>
    <x:t xml:space="preserve">FB03-F6-W9</x:t>
  </x:si>
  <x:si>
    <x:t xml:space="preserve">FB04-F0-W8</x:t>
  </x:si>
  <x:si>
    <x:t xml:space="preserve">FB04-F0-W10</x:t>
  </x:si>
  <x:si>
    <x:t xml:space="preserve">FB04-F4-W8</x:t>
  </x:si>
  <x:si>
    <x:t xml:space="preserve">FB04-F4-W10</x:t>
  </x:si>
  <x:si>
    <x:t xml:space="preserve">FB04-F6-W8</x:t>
  </x:si>
  <x:si>
    <x:t xml:space="preserve">FB04-F6-W10</x:t>
  </x:si>
  <x:si>
    <x:t xml:space="preserve">FB05-F0-W8</x:t>
  </x:si>
  <x:si>
    <x:t xml:space="preserve">FB05-F0-W13</x:t>
  </x:si>
  <x:si>
    <x:t xml:space="preserve">FB05-F2-W8</x:t>
  </x:si>
  <x:si>
    <x:t xml:space="preserve">FB05-F2-W13</x:t>
  </x:si>
  <x:si>
    <x:t xml:space="preserve">FB05-F6-W8</x:t>
  </x:si>
  <x:si>
    <x:t xml:space="preserve">FB05-F6-W13</x:t>
  </x:si>
  <x:si>
    <x:t xml:space="preserve">FB06-F0-W10</x:t>
  </x:si>
  <x:si>
    <x:t xml:space="preserve">FB06-F0-W11</x:t>
  </x:si>
  <x:si>
    <x:t xml:space="preserve">FB06-F2-W10</x:t>
  </x:si>
  <x:si>
    <x:t xml:space="preserve">FB06-F2-W11</x:t>
  </x:si>
  <x:si>
    <x:t xml:space="preserve">FB06-F6-W10</x:t>
  </x:si>
  <x:si>
    <x:t xml:space="preserve">FB06-F6-W11</x:t>
  </x:si>
  <x:si>
    <x:t xml:space="preserve">FB07-F0-W9</x:t>
  </x:si>
  <x:si>
    <x:t xml:space="preserve">FB07-F0-W11</x:t>
  </x:si>
  <x:si>
    <x:t xml:space="preserve">FB07-F2-W9</x:t>
  </x:si>
  <x:si>
    <x:t xml:space="preserve">FB07-F2-W11</x:t>
  </x:si>
  <x:si>
    <x:t xml:space="preserve">FB07-F6-W9</x:t>
  </x:si>
  <x:si>
    <x:t xml:space="preserve">FB07-F6-W11</x:t>
  </x:si>
  <x:si>
    <x:t xml:space="preserve">FB08-F0-W10</x:t>
  </x:si>
  <x:si>
    <x:t xml:space="preserve">FB08-F0-W13</x:t>
  </x:si>
  <x:si>
    <x:t xml:space="preserve">FB08-F4-W10</x:t>
  </x:si>
  <x:si>
    <x:t xml:space="preserve">FB08-F4-W13</x:t>
  </x:si>
  <x:si>
    <x:t xml:space="preserve">FB08-F6-W10</x:t>
  </x:si>
  <x:si>
    <x:t xml:space="preserve">FB08-F6-W13</x:t>
  </x:si>
  <x:si>
    <x:t xml:space="preserve">FB09-F0-W8</x:t>
  </x:si>
  <x:si>
    <x:t xml:space="preserve">FB09-F0-W13</x:t>
  </x:si>
  <x:si>
    <x:t xml:space="preserve">FB09-F4-W8</x:t>
  </x:si>
  <x:si>
    <x:t xml:space="preserve">FB09-F4-W13</x:t>
  </x:si>
  <x:si>
    <x:t xml:space="preserve">FB09-F6-W8</x:t>
  </x:si>
  <x:si>
    <x:t xml:space="preserve">FB09-F6-W13</x:t>
  </x:si>
  <x:si>
    <x:t xml:space="preserve">FB10-F5-W9</x:t>
  </x:si>
  <x:si>
    <x:t xml:space="preserve">FB10-F5-W10</x:t>
  </x:si>
  <x:si>
    <x:t xml:space="preserve">代码</x:t>
  </x:si>
  <x:si>
    <x:t xml:space="preserve">标题/资源</x:t>
  </x:si>
  <x:si>
    <x:t xml:space="preserve">类型/发表</x:t>
  </x:si>
  <x:si>
    <x:t xml:space="preserve">核对方式</x:t>
  </x:si>
  <x:si>
    <x:t xml:space="preserve">本工作簿用途</x:t>
  </x:si>
  <x:si>
    <x:t xml:space="preserve">定位</x:t>
  </x:si>
  <x:si>
    <x:t xml:space="preserve">GEM5-O3</x:t>
  </x:si>
  <x:si>
    <x:t xml:space="preserve">gem5 stable: configs/common/cores/arm/O3_ARM_v7a.py</x:t>
  </x:si>
  <x:si>
    <x:t xml:space="preserve">官方源码</x:t>
  </x:si>
  <x:si>
    <x:t xml:space="preserve">2026-09-27在线核对</x:t>
  </x:si>
  <x:si>
    <x:t xml:space="preserve">B0宽度、ROB/IQ、PRF、FU和流水延迟</x:t>
  </x:si>
  <x:si>
    <x:t xml:space="preserve">https://raw.githubusercontent.com/gem5/gem5/stable/configs/common/cores/arm/O3_ARM_v7a.py</x:t>
  </x:si>
  <x:si>
    <x:t xml:space="preserve">GEM5-BASE</x:t>
  </x:si>
  <x:si>
    <x:t xml:space="preserve">gem5 stable: src/cpu/o3/BaseO3CPU.py</x:t>
  </x:si>
  <x:si>
    <x:t xml:space="preserve">默认宽核敏感性、ROB/PRF/SMT与时序参数</x:t>
  </x:si>
  <x:si>
    <x:t xml:space="preserve">https://raw.githubusercontent.com/gem5/gem5/stable/src/cpu/o3/BaseO3CPU.py</x:t>
  </x:si>
  <x:si>
    <x:t xml:space="preserve">TC23</x:t>
  </x:si>
  <x:si>
    <x:t xml:space="preserve">Silent Data Corruptions: Microarchitectural Perspectives</x:t>
  </x:si>
  <x:si>
    <x:t xml:space="preserve">IEEE TC 2023</x:t>
  </x:si>
  <x:si>
    <x:t xml:space="preserve">本地PDF全文核对</x:t>
  </x:si>
  <x:si>
    <x:t xml:space="preserve">ROB直接结果、MiBench、2000次、commit传播分类；FP未覆盖</x:t>
  </x:si>
  <x:si>
    <x:t xml:space="preserve">Silent_Data_Corruptions_Microarchitectural_Perspectives.pdf</x:t>
  </x:si>
  <x:si>
    <x:t xml:space="preserve">MICRO24</x:t>
  </x:si>
  <x:si>
    <x:t xml:space="preserve">DelayAVF: Calculating Architectural Vulnerability Factors for Delay Faults</x:t>
  </x:si>
  <x:si>
    <x:t xml:space="preserve">MICRO 2024</x:t>
  </x:si>
  <x:si>
    <x:t xml:space="preserve">Decoder小时延、1007线、BEEBS、ACE干扰/复合；非SDC指标</x:t>
  </x:si>
  <x:si>
    <x:t xml:space="preserve">MICRO2024 DelayAVF_Calculating_Architectural_Vulnerability_Factors_for_Delay_Faults.pdf</x:t>
  </x:si>
  <x:si>
    <x:t xml:space="preserve">IISWC15</x:t>
  </x:si>
  <x:si>
    <x:t xml:space="preserve">Differential Fault Injection on Microarchitectural Simulators</x:t>
  </x:si>
  <x:si>
    <x:t xml:space="preserve">IISWC 2015</x:t>
  </x:si>
  <x:si>
    <x:t xml:space="preserve">组合逻辑限制、单bit方法、IQ支持但无结果</x:t>
  </x:si>
  <x:si>
    <x:t xml:space="preserve">Differential_Fault_Injection_on_Microarchitectural_Simulators.pdf</x:t>
  </x:si>
  <x:si>
    <x:t xml:space="preserve">HPCA24</x:t>
  </x:si>
  <x:si>
    <x:t xml:space="preserve">gem5-MARVEL: Microarchitecture-Level Resilience Analysis of Heterogeneous SoC Architectures</x:t>
  </x:si>
  <x:si>
    <x:t xml:space="preserve">HPCA 2024</x:t>
  </x:si>
  <x:si>
    <x:t xml:space="preserve">框架范围与未报告的rename/ROB边界</x:t>
  </x:si>
  <x:si>
    <x:t xml:space="preserve">Gem5-MARVEL_Microarchitecture-Level_Resilience_Analysis_of_Heterogeneous_SoC_Architectures.pdf</x:t>
  </x:si>
  <x:si>
    <x:t xml:space="preserve">MICRO25</x:t>
  </x:si>
  <x:si>
    <x:t xml:space="preserve">Harpocrates++: Automated Functional Program Generation Against CPU Faults and Silent Data Corruptions</x:t>
  </x:si>
  <x:si>
    <x:t xml:space="preserve">IEEE Micro 2025</x:t>
  </x:si>
  <x:si>
    <x:t xml:space="preserve">定向负载与激活/传播思想；未注入rename/ROB</x:t>
  </x:si>
  <x:si>
    <x:t xml:space="preserve">Harpocrates_Automated_Functional_Program_Generation_Against_CPU_Faults_and_Silent_Data_Corruptions.pdf</x:t>
  </x:si>
  <x:si>
    <x:t xml:space="preserve">CHAOS26</x:t>
  </x:si>
  <x:si>
    <x:t xml:space="preserve">CHAOS: Controlled Hardware fAult injectOr System for gem5</x:t>
  </x:si>
  <x:si>
    <x:t xml:space="preserve">arXiv 2602.02119, 2026</x:t>
  </x:si>
  <x:si>
    <x:t xml:space="preserve">事件概率、单/多bit、stuck-at和HPC早期偏离</x:t>
  </x:si>
  <x:si>
    <x:t xml:space="preserve">Chaos Controlled Hardware Fault Injector System for Gem5.pdf</x:t>
  </x:si>
  <x:si>
    <x:t xml:space="preserve">DATE25</x:t>
  </x:si>
  <x:si>
    <x:t xml:space="preserve">From Gates to SDCs: Understanding Fault Propagation Through the Compute Stack</x:t>
  </x:si>
  <x:si>
    <x:t xml:space="preserve">DATE 2025</x:t>
  </x:si>
  <x:si>
    <x:t xml:space="preserve">门级永久故障到gem5的建模边界；功能单元结果不外推为OOO结构结果</x:t>
  </x:si>
  <x:si>
    <x:t xml:space="preserve">From_Gates_to_SDCs_Understanding_Fault_Propagation_Through_the_Compute_Stack.pdf</x:t>
  </x:si>
  <x:si>
    <x:t xml:space="preserve">CASE</x:t>
  </x:si>
  <x:si>
    <x:t xml:space="preserve">各单元结构化注入故障模型真实案例作证</x:t>
  </x:si>
  <x:si>
    <x:t xml:space="preserve">本地研究笔记</x:t>
  </x:si>
  <x:si>
    <x:t xml:space="preserve">2026-09-27核对</x:t>
  </x:si>
  <x:si>
    <x:t xml:space="preserve">仅用于生成结构化模型候选和真实案例背景，不作为定量结果</x:t>
  </x:si>
  <x:si>
    <x:t xml:space="preserve">各单元结构化注入故障模型真实案例作证.docx</x:t>
  </x:si>
  <x:si>
    <x:t xml:space="preserve">ARM-TABLE</x:t>
  </x:si>
  <x:si>
    <x:t xml:space="preserve">ARM64_微架构SDC敏感性_故障注入填充表</x:t>
  </x:si>
  <x:si>
    <x:t xml:space="preserve">本地汇总工作簿</x:t>
  </x:si>
  <x:si>
    <x:t xml:space="preserve">六个OoO单元的现有文章/结果初始汇总</x:t>
  </x:si>
  <x:si>
    <x:t xml:space="preserve">ARM64_微架构SDC敏感性_故障注入填充表.xlsx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</x:si>
</x:sst>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1F2937"/>
      <x:name val="Arial"/>
    </x:font>
    <x:font>
      <x:b/>
      <x:sz val="16"/>
      <x:color rgb="FF17365D"/>
      <x:name val="Arial"/>
    </x:font>
    <x:font>
      <x:b/>
      <x:sz val="12"/>
      <x:color rgb="FF2F6B6B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1"/>
      <x:name val="Carlito"/>
    </x:font>
    <x:font>
      <x:b/>
      <x:sz val="9"/>
      <x:color rgb="FF1F1F1F"/>
      <x:name val="微软雅黑"/>
    </x:font>
    <x:font>
      <x:sz val="9"/>
      <x:name val="宋体"/>
    </x:font>
    <x:font>
      <x:sz val="9"/>
      <x:color rgb="FF1F1F1F"/>
      <x:name val="微软雅黑"/>
    </x:font>
    <x:font>
      <x:b/>
      <x:sz val="10"/>
      <x:color rgb="FFFFFFFF"/>
      <x:name val="微软雅黑"/>
    </x:font>
  </x:fonts>
  <x:fills count="14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6B6B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</x:fills>
  <x:borders count="4">
    <x:border/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/>
    <x:xf numFmtId="0" fontId="6" fillId="0" borderId="0"/>
  </x:cellStyleXfs>
  <x:cellXfs count="34">
    <x:xf numFmtId="0" fontId="0" fillId="0" borderId="0" xfId="0"/>
    <x:xf numFmtId="0" fontId="2" fillId="0" borderId="0" xfId="1" applyFont="1" applyAlignment="1">
      <x:alignment vertical="top" wrapText="1"/>
    </x:xf>
    <x:xf numFmtId="0" fontId="1" fillId="0" borderId="0" xfId="1" applyFont="1" applyAlignment="1">
      <x:alignment vertical="top" wrapText="1"/>
    </x:xf>
    <x:xf numFmtId="0" fontId="3" fillId="0" borderId="0" xfId="1" applyFont="1" applyAlignment="1">
      <x:alignment vertical="top" wrapText="1"/>
    </x:xf>
    <x:xf numFmtId="0" fontId="1" fillId="2" borderId="0" xfId="1" applyFont="1" applyFill="1" applyAlignment="1">
      <x:alignment vertical="top" wrapText="1"/>
    </x:xf>
    <x:xf numFmtId="0" fontId="1" fillId="3" borderId="0" xfId="1" applyFont="1" applyFill="1" applyAlignment="1">
      <x:alignment vertical="top" wrapText="1"/>
    </x:xf>
    <x:xf numFmtId="0" fontId="4" fillId="0" borderId="1" xfId="1" applyFont="1" applyBorder="1" applyAlignment="1">
      <x:alignment vertical="top" wrapText="1"/>
    </x:xf>
    <x:xf numFmtId="0" fontId="5" fillId="4" borderId="2" xfId="1" applyFont="1" applyFill="1" applyBorder="1" applyAlignment="1">
      <x:alignment horizontal="center" vertical="center" wrapText="1"/>
    </x:xf>
    <x:xf numFmtId="0" fontId="4" fillId="2" borderId="1" xfId="1" applyFont="1" applyFill="1" applyBorder="1" applyAlignment="1">
      <x:alignment vertical="top" wrapText="1"/>
    </x:xf>
    <x:xf numFmtId="0" fontId="4" fillId="5" borderId="1" xfId="1" applyFont="1" applyFill="1" applyBorder="1" applyAlignment="1">
      <x:alignment vertical="top" wrapText="1"/>
    </x:xf>
    <x:xf numFmtId="0" fontId="5" fillId="6" borderId="1" xfId="1" applyFont="1" applyFill="1" applyBorder="1" applyAlignment="1">
      <x:alignment vertical="center" wrapText="1"/>
    </x:xf>
    <x:xf numFmtId="0" fontId="4" fillId="7" borderId="1" xfId="1" applyFont="1" applyFill="1" applyBorder="1" applyAlignment="1">
      <x:alignment vertical="top" wrapText="1"/>
    </x:xf>
    <x:xf numFmtId="10" fontId="4" fillId="7" borderId="1" xfId="1" applyNumberFormat="1" applyFont="1" applyFill="1" applyBorder="1" applyAlignment="1">
      <x:alignment vertical="top" wrapText="1"/>
    </x:xf>
    <x:xf numFmtId="0" fontId="0" fillId="0" borderId="0" xfId="1" applyFont="1" applyAlignment="1">
      <x:alignment wrapText="1"/>
    </x:xf>
    <x:xf numFmtId="0" fontId="7" fillId="8" borderId="3" xfId="1" applyFont="1" applyFill="1" applyBorder="1" applyAlignment="1">
      <x:alignment horizontal="left" vertical="top" wrapText="1"/>
    </x:xf>
    <x:xf numFmtId="0" fontId="9" fillId="8" borderId="3" xfId="1" applyFont="1" applyFill="1" applyBorder="1" applyAlignment="1">
      <x:alignment horizontal="left" vertical="top" wrapText="1"/>
    </x:xf>
    <x:xf numFmtId="0" fontId="0" fillId="0" borderId="0" xfId="0" applyAlignment="1">
      <x:alignment vertical="center"/>
    </x:xf>
    <x:xf numFmtId="0" fontId="7" fillId="9" borderId="3" xfId="1" applyFont="1" applyFill="1" applyBorder="1" applyAlignment="1">
      <x:alignment horizontal="left" vertical="top" wrapText="1"/>
    </x:xf>
    <x:xf numFmtId="0" fontId="9" fillId="9" borderId="3" xfId="1" applyFont="1" applyFill="1" applyBorder="1" applyAlignment="1">
      <x:alignment horizontal="left" vertical="top" wrapText="1"/>
    </x:xf>
    <x:xf numFmtId="0" fontId="7" fillId="10" borderId="3" xfId="1" applyFont="1" applyFill="1" applyBorder="1" applyAlignment="1">
      <x:alignment horizontal="left" vertical="top" wrapText="1"/>
    </x:xf>
    <x:xf numFmtId="0" fontId="9" fillId="10" borderId="3" xfId="1" applyFont="1" applyFill="1" applyBorder="1" applyAlignment="1">
      <x:alignment horizontal="left" vertical="top" wrapText="1"/>
    </x:xf>
    <x:xf numFmtId="0" fontId="7" fillId="11" borderId="3" xfId="1" applyFont="1" applyFill="1" applyBorder="1" applyAlignment="1">
      <x:alignment horizontal="left" vertical="top" wrapText="1"/>
    </x:xf>
    <x:xf numFmtId="0" fontId="9" fillId="11" borderId="3" xfId="1" applyFont="1" applyFill="1" applyBorder="1" applyAlignment="1">
      <x:alignment horizontal="left" vertical="top" wrapText="1"/>
    </x:xf>
    <x:xf numFmtId="0" fontId="7" fillId="12" borderId="3" xfId="1" applyFont="1" applyFill="1" applyBorder="1" applyAlignment="1">
      <x:alignment horizontal="left" vertical="top" wrapText="1"/>
    </x:xf>
    <x:xf numFmtId="0" fontId="9" fillId="12" borderId="3" xfId="1" applyFont="1" applyFill="1" applyBorder="1" applyAlignment="1">
      <x:alignment horizontal="left" vertical="top" wrapText="1"/>
    </x:xf>
    <x:xf numFmtId="0" fontId="7" fillId="5" borderId="3" xfId="1" applyFont="1" applyFill="1" applyBorder="1" applyAlignment="1">
      <x:alignment horizontal="left" vertical="top" wrapText="1"/>
    </x:xf>
    <x:xf numFmtId="0" fontId="9" fillId="5" borderId="3" xfId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10" fillId="4" borderId="2" xfId="1" applyFont="1" applyFill="1" applyBorder="1" applyAlignment="1">
      <x:alignment horizontal="center" vertical="center" wrapText="1"/>
    </x:xf>
    <x:xf numFmtId="0" fontId="5" fillId="13" borderId="2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5" fillId="13" borderId="2" xfId="0" applyNumberFormat="1" applyFont="1" applyFill="1" applyBorder="1" applyAlignment="1">
      <x:alignment wrapText="1"/>
    </x:xf>
    <x:xf numFmtId="0" fontId="5" fillId="13" borderId="2" xfId="0" applyNumberFormat="1" applyFont="1" applyFill="1" applyBorder="1" applyAlignment="1">
      <x:alignment horizontal="center" wrapText="1"/>
    </x:xf>
  </x:cellXfs>
  <x:cellStyles count="2">
    <x:cellStyle name="Normal" xfId="1"/>
    <x:cellStyle name="常规" xfId="0"/>
  </x:cellStyles>
  <x:dxfs count="2">
    <x:dxf>
      <x:font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7c5ceb8204fcd" /><Relationship Type="http://schemas.openxmlformats.org/officeDocument/2006/relationships/theme" Target="/xl/theme/theme1.xml" Id="Re5c9c8032a644a4c" /><Relationship Type="http://schemas.openxmlformats.org/officeDocument/2006/relationships/sharedStrings" Target="/xl/sharedStrings.xml" Id="R235fe3ff8b344c7a" /><Relationship Type="http://schemas.openxmlformats.org/officeDocument/2006/relationships/worksheet" Target="/xl/worksheets/sheet1.xml" Id="R227e7e6484c54472" /><Relationship Type="http://schemas.openxmlformats.org/officeDocument/2006/relationships/worksheet" Target="/xl/worksheets/sheet2.xml" Id="R58a1a3823f7842b6" /><Relationship Type="http://schemas.openxmlformats.org/officeDocument/2006/relationships/worksheet" Target="/xl/worksheets/sheet3.xml" Id="Ra34aeeed96e643fe" /><Relationship Type="http://schemas.openxmlformats.org/officeDocument/2006/relationships/worksheet" Target="/xl/worksheets/sheet4.xml" Id="R2d47e384d3c34e3b" /><Relationship Type="http://schemas.openxmlformats.org/officeDocument/2006/relationships/worksheet" Target="/xl/worksheets/sheet5.xml" Id="Rc39122307ec1474f" /><Relationship Type="http://schemas.openxmlformats.org/officeDocument/2006/relationships/worksheet" Target="/xl/worksheets/sheet6.xml" Id="R3abb541b71734f98" /><Relationship Type="http://schemas.openxmlformats.org/officeDocument/2006/relationships/worksheet" Target="/xl/worksheets/sheet7.xml" Id="Rc2be01f87453461f" /><Relationship Type="http://schemas.openxmlformats.org/officeDocument/2006/relationships/worksheet" Target="/xl/worksheets/sheet8.xml" Id="Rec299c711e404c09" /><Relationship Type="http://schemas.openxmlformats.org/officeDocument/2006/relationships/worksheet" Target="/xl/worksheets/sheet9.xml" Id="R8679d969455f47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5" customWidth="1"/>
  </x:cols>
  <x:sheetData>
    <x:row r="1" ht="30" customHeight="1">
      <x:c r="A1" s="1" t="s">
        <x:v>0</x:v>
      </x:c>
    </x:row>
    <x:row r="2" ht="30" customHeight="1">
      <x:c r="A2" s="2"/>
    </x:row>
    <x:row r="3" ht="30" customHeight="1">
      <x:c r="A3" s="4" t="s">
        <x:v>1</x:v>
      </x:c>
    </x:row>
    <x:row r="4" ht="30" customHeight="1">
      <x:c r="A4" s="4" t="s">
        <x:v>2</x:v>
      </x:c>
    </x:row>
    <x:row r="5" ht="30" customHeight="1">
      <x:c r="A5" s="4" t="s">
        <x:v>3</x:v>
      </x:c>
    </x:row>
    <x:row r="6" ht="72" customHeight="1">
      <x:c r="A6" s="4" t="s">
        <x:v>4</x:v>
      </x:c>
    </x:row>
    <x:row r="7" ht="30" customHeight="1">
      <x:c r="A7" s="2"/>
    </x:row>
    <x:row r="8" ht="30" customHeight="1">
      <x:c r="A8" s="3" t="s">
        <x:v>5</x:v>
      </x:c>
    </x:row>
    <x:row r="9" ht="30" customHeight="1">
      <x:c r="A9" s="2" t="s">
        <x:v>6</x:v>
      </x:c>
    </x:row>
    <x:row r="10" ht="30" customHeight="1">
      <x:c r="A10" s="2" t="s">
        <x:v>7</x:v>
      </x:c>
    </x:row>
    <x:row r="11" ht="30" customHeight="1">
      <x:c r="A11" s="2" t="s">
        <x:v>8</x:v>
      </x:c>
    </x:row>
    <x:row r="12" ht="30" customHeight="1">
      <x:c r="A12" s="2" t="s">
        <x:v>9</x:v>
      </x:c>
    </x:row>
    <x:row r="13" ht="30" customHeight="1">
      <x:c r="A13" s="2" t="s">
        <x:v>10</x:v>
      </x:c>
    </x:row>
    <x:row r="14" ht="30" customHeight="1">
      <x:c r="A14" s="2" t="s">
        <x:v>11</x:v>
      </x:c>
    </x:row>
    <x:row r="15" ht="30" customHeight="1">
      <x:c r="A15" s="2" t="s">
        <x:v>12</x:v>
      </x:c>
    </x:row>
    <x:row r="16" ht="30" customHeight="1">
      <x:c r="A16" s="2" t="s">
        <x:v>13</x:v>
      </x:c>
    </x:row>
    <x:row r="17" ht="30" customHeight="1">
      <x:c r="A17" s="2"/>
    </x:row>
    <x:row r="18" ht="30" customHeight="1">
      <x:c r="A18" s="3" t="s">
        <x:v>14</x:v>
      </x:c>
    </x:row>
    <x:row r="19" ht="30" customHeight="1">
      <x:c r="A19" s="5" t="s">
        <x:v>15</x:v>
      </x:c>
    </x:row>
    <x:row r="20" ht="30" customHeight="1">
      <x:c r="A20" s="5" t="s">
        <x:v>16</x:v>
      </x:c>
    </x:row>
    <x:row r="21" ht="30" customHeight="1">
      <x:c r="A21" s="5" t="s">
        <x:v>17</x:v>
      </x:c>
    </x:row>
    <x:row r="22" ht="30" customHeight="1">
      <x:c r="A22" s="5" t="s">
        <x:v>18</x:v>
      </x:c>
    </x:row>
    <x:row r="23" ht="72" customHeight="1">
      <x:c r="A23" s="5" t="s">
        <x:v>19</x:v>
      </x:c>
    </x:row>
    <x:row r="24" ht="72" customHeight="1">
      <x:c r="A24" s="5" t="s">
        <x:v>20</x:v>
      </x:c>
    </x:row>
    <x:row r="25" ht="30" customHeight="1">
      <x:c r="A25" s="5" t="s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B6B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8" customWidth="1"/>
    <x:col min="2" max="2" width="34" customWidth="1"/>
    <x:col min="3" max="3" width="72" customWidth="1"/>
    <x:col min="4" max="4" width="68" customWidth="1"/>
    <x:col min="5" max="5" width="24" customWidth="1"/>
    <x:col min="6" max="6" width="22" customWidth="1"/>
    <x:col min="7" max="7" width="46" customWidth="1"/>
  </x:cols>
  <x:sheetData>
    <x:row r="1" ht="34.04999923706055" customHeight="1">
      <x:c r="A1" s="7" t="s">
        <x:v>22</x:v>
      </x:c>
      <x:c r="B1" s="7" t="s">
        <x:v>23</x:v>
      </x:c>
      <x:c r="C1" s="7" t="s">
        <x:v>24</x:v>
      </x:c>
      <x:c r="D1" s="7" t="s">
        <x:v>25</x:v>
      </x:c>
      <x:c r="E1" s="7" t="s">
        <x:v>26</x:v>
      </x:c>
      <x:c r="F1" s="7" t="s">
        <x:v>27</x:v>
      </x:c>
      <x:c r="G1" s="7" t="s">
        <x:v>28</x:v>
      </x:c>
    </x:row>
    <x:row r="2" ht="120" customHeight="1">
      <x:c r="A2" s="6" t="s">
        <x:v>29</x:v>
      </x:c>
      <x:c r="B2" s="6" t="s">
        <x:v>30</x:v>
      </x:c>
      <x:c r="C2" s="6" t="s">
        <x:v>31</x:v>
      </x:c>
      <x:c r="D2" s="6" t="s">
        <x:v>32</x:v>
      </x:c>
      <x:c r="E2" s="6" t="s">
        <x:v>33</x:v>
      </x:c>
      <x:c r="F2" s="6" t="s">
        <x:v>34</x:v>
      </x:c>
      <x:c r="G2" s="6" t="s">
        <x:v>35</x:v>
      </x:c>
    </x:row>
    <x:row r="3" ht="120" customHeight="1">
      <x:c r="A3" s="6" t="s">
        <x:v>36</x:v>
      </x:c>
      <x:c r="B3" s="6" t="s">
        <x:v>37</x:v>
      </x:c>
      <x:c r="C3" s="6" t="s">
        <x:v>38</x:v>
      </x:c>
      <x:c r="D3" s="6" t="s">
        <x:v>39</x:v>
      </x:c>
      <x:c r="E3" s="6" t="s">
        <x:v>40</x:v>
      </x:c>
      <x:c r="F3" s="6" t="s">
        <x:v>41</x:v>
      </x:c>
      <x:c r="G3" s="6" t="s">
        <x:v>42</x:v>
      </x:c>
    </x:row>
    <x:row r="4" ht="120" customHeight="1">
      <x:c r="A4" s="6" t="s">
        <x:v>43</x:v>
      </x:c>
      <x:c r="B4" s="6" t="s">
        <x:v>44</x:v>
      </x:c>
      <x:c r="C4" s="6" t="s">
        <x:v>45</x:v>
      </x:c>
      <x:c r="D4" s="6" t="s">
        <x:v>46</x:v>
      </x:c>
      <x:c r="E4" s="6" t="s">
        <x:v>47</x:v>
      </x:c>
      <x:c r="F4" s="6" t="s">
        <x:v>48</x:v>
      </x:c>
      <x:c r="G4" s="6" t="s">
        <x:v>49</x:v>
      </x:c>
    </x:row>
    <x:row r="5" ht="120" customHeight="1">
      <x:c r="A5" s="6" t="s">
        <x:v>50</x:v>
      </x:c>
      <x:c r="B5" s="6" t="s">
        <x:v>51</x:v>
      </x:c>
      <x:c r="C5" s="6" t="s">
        <x:v>52</x:v>
      </x:c>
      <x:c r="D5" s="6" t="s">
        <x:v>39</x:v>
      </x:c>
      <x:c r="E5" s="6" t="s">
        <x:v>40</x:v>
      </x:c>
      <x:c r="F5" s="6" t="s">
        <x:v>53</x:v>
      </x:c>
      <x:c r="G5" s="6" t="s">
        <x:v>54</x:v>
      </x:c>
    </x:row>
    <x:row r="6" ht="120" customHeight="1">
      <x:c r="A6" s="6" t="s">
        <x:v>55</x:v>
      </x:c>
      <x:c r="B6" s="6" t="s">
        <x:v>56</x:v>
      </x:c>
      <x:c r="C6" s="6" t="s">
        <x:v>57</x:v>
      </x:c>
      <x:c r="D6" s="6" t="s">
        <x:v>39</x:v>
      </x:c>
      <x:c r="E6" s="6" t="s">
        <x:v>40</x:v>
      </x:c>
      <x:c r="F6" s="6" t="s">
        <x:v>58</x:v>
      </x:c>
      <x:c r="G6" s="6" t="s">
        <x:v>59</x:v>
      </x:c>
    </x:row>
    <x:row r="7" ht="120" customHeight="1">
      <x:c r="A7" s="6" t="s">
        <x:v>60</x:v>
      </x:c>
      <x:c r="B7" s="6" t="s">
        <x:v>61</x:v>
      </x:c>
      <x:c r="C7" s="6" t="s">
        <x:v>62</x:v>
      </x:c>
      <x:c r="D7" s="6" t="s">
        <x:v>63</x:v>
      </x:c>
      <x:c r="E7" s="6" t="s">
        <x:v>64</x:v>
      </x:c>
      <x:c r="F7" s="6" t="s">
        <x:v>65</x:v>
      </x:c>
      <x:c r="G7" s="6" t="s">
        <x:v>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B6B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30" customWidth="1"/>
    <x:col min="2" max="2" width="38" customWidth="1"/>
    <x:col min="3" max="3" width="20" customWidth="1"/>
    <x:col min="4" max="4" width="68" customWidth="1"/>
    <x:col min="5" max="5" width="42" customWidth="1"/>
  </x:cols>
  <x:sheetData>
    <x:row r="1" ht="34.04999923706055" customHeight="1">
      <x:c r="A1" s="7" t="s">
        <x:v>67</x:v>
      </x:c>
      <x:c r="B1" s="7" t="s">
        <x:v>68</x:v>
      </x:c>
      <x:c r="C1" s="7" t="s">
        <x:v>69</x:v>
      </x:c>
      <x:c r="D1" s="7" t="s">
        <x:v>70</x:v>
      </x:c>
      <x:c r="E1" s="7" t="s">
        <x:v>71</x:v>
      </x:c>
    </x:row>
    <x:row r="2" ht="58.04999923706055" customHeight="1">
      <x:c r="A2" s="6" t="s">
        <x:v>72</x:v>
      </x:c>
      <x:c r="B2" s="8" t="s">
        <x:v>73</x:v>
      </x:c>
      <x:c r="C2" s="6" t="s">
        <x:v>74</x:v>
      </x:c>
      <x:c r="D2" s="6" t="s">
        <x:v>75</x:v>
      </x:c>
      <x:c r="E2" s="6" t="s">
        <x:v>76</x:v>
      </x:c>
    </x:row>
    <x:row r="3" ht="58.04999923706055" customHeight="1">
      <x:c r="A3" s="6" t="s">
        <x:v>77</x:v>
      </x:c>
      <x:c r="B3" s="8" t="s">
        <x:v>78</x:v>
      </x:c>
      <x:c r="C3" s="6" t="s">
        <x:v>79</x:v>
      </x:c>
      <x:c r="D3" s="6" t="s">
        <x:v>80</x:v>
      </x:c>
      <x:c r="E3" s="6" t="s">
        <x:v>81</x:v>
      </x:c>
    </x:row>
    <x:row r="4" ht="58.04999923706055" customHeight="1">
      <x:c r="A4" s="6" t="s">
        <x:v>82</x:v>
      </x:c>
      <x:c r="B4" s="8" t="s">
        <x:v>83</x:v>
      </x:c>
      <x:c r="C4" s="6" t="s">
        <x:v>79</x:v>
      </x:c>
      <x:c r="D4" s="6" t="s">
        <x:v>84</x:v>
      </x:c>
      <x:c r="E4" s="6" t="s">
        <x:v>85</x:v>
      </x:c>
    </x:row>
    <x:row r="5" ht="58.04999923706055" customHeight="1">
      <x:c r="A5" s="6" t="s">
        <x:v>86</x:v>
      </x:c>
      <x:c r="B5" s="8" t="s">
        <x:v>87</x:v>
      </x:c>
      <x:c r="C5" s="6" t="s">
        <x:v>79</x:v>
      </x:c>
      <x:c r="D5" s="6" t="s">
        <x:v>84</x:v>
      </x:c>
      <x:c r="E5" s="6" t="s">
        <x:v>88</x:v>
      </x:c>
    </x:row>
    <x:row r="6" ht="58.04999923706055" customHeight="1">
      <x:c r="A6" s="6" t="s">
        <x:v>89</x:v>
      </x:c>
      <x:c r="B6" s="8" t="s">
        <x:v>90</x:v>
      </x:c>
      <x:c r="C6" s="6" t="s">
        <x:v>79</x:v>
      </x:c>
      <x:c r="D6" s="6" t="s">
        <x:v>84</x:v>
      </x:c>
      <x:c r="E6" s="6" t="s">
        <x:v>91</x:v>
      </x:c>
    </x:row>
    <x:row r="7" ht="58.04999923706055" customHeight="1">
      <x:c r="A7" s="6" t="s">
        <x:v>92</x:v>
      </x:c>
      <x:c r="B7" s="8" t="s">
        <x:v>93</x:v>
      </x:c>
      <x:c r="C7" s="6" t="s">
        <x:v>79</x:v>
      </x:c>
      <x:c r="D7" s="6" t="s">
        <x:v>84</x:v>
      </x:c>
      <x:c r="E7" s="6" t="s">
        <x:v>85</x:v>
      </x:c>
    </x:row>
    <x:row r="8" ht="58.04999923706055" customHeight="1">
      <x:c r="A8" s="6" t="s">
        <x:v>94</x:v>
      </x:c>
      <x:c r="B8" s="8" t="s">
        <x:v>95</x:v>
      </x:c>
      <x:c r="C8" s="6" t="s">
        <x:v>79</x:v>
      </x:c>
      <x:c r="D8" s="6" t="s">
        <x:v>84</x:v>
      </x:c>
      <x:c r="E8" s="6" t="s">
        <x:v>96</x:v>
      </x:c>
    </x:row>
    <x:row r="9" ht="58.04999923706055" customHeight="1">
      <x:c r="A9" s="6" t="s">
        <x:v>97</x:v>
      </x:c>
      <x:c r="B9" s="8" t="s">
        <x:v>98</x:v>
      </x:c>
      <x:c r="C9" s="6" t="s">
        <x:v>79</x:v>
      </x:c>
      <x:c r="D9" s="6" t="s">
        <x:v>84</x:v>
      </x:c>
      <x:c r="E9" s="6" t="s">
        <x:v>85</x:v>
      </x:c>
    </x:row>
    <x:row r="10" ht="58.04999923706055" customHeight="1">
      <x:c r="A10" s="6" t="s">
        <x:v>99</x:v>
      </x:c>
      <x:c r="B10" s="8" t="s">
        <x:v>100</x:v>
      </x:c>
      <x:c r="C10" s="6" t="s">
        <x:v>79</x:v>
      </x:c>
      <x:c r="D10" s="6" t="s">
        <x:v>84</x:v>
      </x:c>
      <x:c r="E10" s="6" t="s">
        <x:v>101</x:v>
      </x:c>
    </x:row>
    <x:row r="11" ht="58.04999923706055" customHeight="1">
      <x:c r="A11" s="6" t="s">
        <x:v>102</x:v>
      </x:c>
      <x:c r="B11" s="8" t="s">
        <x:v>103</x:v>
      </x:c>
      <x:c r="C11" s="6" t="s">
        <x:v>79</x:v>
      </x:c>
      <x:c r="D11" s="6" t="s">
        <x:v>104</x:v>
      </x:c>
      <x:c r="E11" s="6" t="s">
        <x:v>105</x:v>
      </x:c>
    </x:row>
    <x:row r="12" ht="58.04999923706055" customHeight="1">
      <x:c r="A12" s="6" t="s">
        <x:v>106</x:v>
      </x:c>
      <x:c r="B12" s="8" t="s">
        <x:v>107</x:v>
      </x:c>
      <x:c r="C12" s="6" t="s">
        <x:v>79</x:v>
      </x:c>
      <x:c r="D12" s="6" t="s">
        <x:v>108</x:v>
      </x:c>
      <x:c r="E12" s="6" t="s">
        <x:v>109</x:v>
      </x:c>
    </x:row>
    <x:row r="13" ht="58.04999923706055" customHeight="1">
      <x:c r="A13" s="6" t="s">
        <x:v>110</x:v>
      </x:c>
      <x:c r="B13" s="8" t="s">
        <x:v>111</x:v>
      </x:c>
      <x:c r="C13" s="6" t="s">
        <x:v>79</x:v>
      </x:c>
      <x:c r="D13" s="6" t="s">
        <x:v>84</x:v>
      </x:c>
      <x:c r="E13" s="6" t="s">
        <x:v>112</x:v>
      </x:c>
    </x:row>
    <x:row r="14" ht="58.04999923706055" customHeight="1">
      <x:c r="A14" s="6" t="s">
        <x:v>113</x:v>
      </x:c>
      <x:c r="B14" s="8" t="s">
        <x:v>114</x:v>
      </x:c>
      <x:c r="C14" s="6" t="s">
        <x:v>79</x:v>
      </x:c>
      <x:c r="D14" s="6" t="s">
        <x:v>84</x:v>
      </x:c>
      <x:c r="E14" s="6" t="s">
        <x:v>115</x:v>
      </x:c>
    </x:row>
    <x:row r="15" ht="58.04999923706055" customHeight="1">
      <x:c r="A15" s="6" t="s">
        <x:v>116</x:v>
      </x:c>
      <x:c r="B15" s="8" t="s">
        <x:v>117</x:v>
      </x:c>
      <x:c r="C15" s="6" t="s">
        <x:v>79</x:v>
      </x:c>
      <x:c r="D15" s="6" t="s">
        <x:v>84</x:v>
      </x:c>
      <x:c r="E15" s="6" t="s">
        <x:v>118</x:v>
      </x:c>
    </x:row>
    <x:row r="16" ht="58.04999923706055" customHeight="1">
      <x:c r="A16" s="6" t="s">
        <x:v>119</x:v>
      </x:c>
      <x:c r="B16" s="8" t="s">
        <x:v>103</x:v>
      </x:c>
      <x:c r="C16" s="6" t="s">
        <x:v>120</x:v>
      </x:c>
      <x:c r="D16" s="6" t="s">
        <x:v>121</x:v>
      </x:c>
      <x:c r="E16" s="6" t="s">
        <x:v>122</x:v>
      </x:c>
    </x:row>
    <x:row r="17" ht="58.04999923706055" customHeight="1">
      <x:c r="A17" s="6" t="s">
        <x:v>123</x:v>
      </x:c>
      <x:c r="B17" s="8" t="s">
        <x:v>124</x:v>
      </x:c>
      <x:c r="C17" s="6" t="s">
        <x:v>79</x:v>
      </x:c>
      <x:c r="D17" s="6" t="s">
        <x:v>125</x:v>
      </x:c>
      <x:c r="E17" s="6" t="s">
        <x:v>126</x:v>
      </x:c>
    </x:row>
    <x:row r="18" ht="58.04999923706055" customHeight="1">
      <x:c r="A18" s="6" t="s">
        <x:v>127</x:v>
      </x:c>
      <x:c r="B18" s="8" t="s">
        <x:v>128</x:v>
      </x:c>
      <x:c r="C18" s="6" t="s">
        <x:v>79</x:v>
      </x:c>
      <x:c r="D18" s="6" t="s">
        <x:v>129</x:v>
      </x:c>
      <x:c r="E18" s="6" t="s">
        <x:v>130</x:v>
      </x:c>
    </x:row>
    <x:row r="19" ht="58.04999923706055" customHeight="1">
      <x:c r="A19" s="6" t="s">
        <x:v>131</x:v>
      </x:c>
      <x:c r="B19" s="8" t="s">
        <x:v>132</x:v>
      </x:c>
      <x:c r="C19" s="6" t="s">
        <x:v>79</x:v>
      </x:c>
      <x:c r="D19" s="6" t="s">
        <x:v>133</x:v>
      </x:c>
      <x:c r="E19" s="6" t="s">
        <x:v>85</x:v>
      </x:c>
    </x:row>
    <x:row r="20" ht="58.04999923706055" customHeight="1">
      <x:c r="A20" s="6" t="s">
        <x:v>134</x:v>
      </x:c>
      <x:c r="B20" s="8" t="s">
        <x:v>135</x:v>
      </x:c>
      <x:c r="C20" s="6" t="s">
        <x:v>79</x:v>
      </x:c>
      <x:c r="D20" s="6" t="s">
        <x:v>84</x:v>
      </x:c>
      <x:c r="E20" s="6" t="s">
        <x:v>85</x:v>
      </x:c>
    </x:row>
    <x:row r="21" ht="58.04999923706055" customHeight="1">
      <x:c r="A21" s="6" t="s">
        <x:v>136</x:v>
      </x:c>
      <x:c r="B21" s="8" t="s">
        <x:v>137</x:v>
      </x:c>
      <x:c r="C21" s="6" t="s">
        <x:v>138</x:v>
      </x:c>
      <x:c r="D21" s="6" t="s">
        <x:v>139</x:v>
      </x:c>
      <x:c r="E21" s="6" t="s">
        <x:v>140</x:v>
      </x:c>
    </x:row>
    <x:row r="22" ht="58.04999923706055" customHeight="1">
      <x:c r="A22" s="6" t="s">
        <x:v>141</x:v>
      </x:c>
      <x:c r="B22" s="8" t="s">
        <x:v>142</x:v>
      </x:c>
      <x:c r="C22" s="6" t="s">
        <x:v>143</x:v>
      </x:c>
      <x:c r="D22" s="6" t="s">
        <x:v>144</x:v>
      </x:c>
      <x:c r="E22" s="6" t="s">
        <x:v>145</x:v>
      </x:c>
    </x:row>
    <x:row r="23" ht="58.04999923706055" customHeight="1">
      <x:c r="A23" s="6" t="s">
        <x:v>146</x:v>
      </x:c>
      <x:c r="B23" s="8" t="s">
        <x:v>147</x:v>
      </x:c>
      <x:c r="C23" s="6" t="s">
        <x:v>148</x:v>
      </x:c>
      <x:c r="D23" s="6" t="s">
        <x:v>149</x:v>
      </x:c>
      <x:c r="E23" s="6" t="s">
        <x:v>150</x:v>
      </x:c>
    </x:row>
    <x:row r="24" ht="58.04999923706055" customHeight="1">
      <x:c r="A24" s="6" t="s">
        <x:v>151</x:v>
      </x:c>
      <x:c r="B24" s="8" t="s">
        <x:v>152</x:v>
      </x:c>
      <x:c r="C24" s="6" t="s">
        <x:v>153</x:v>
      </x:c>
      <x:c r="D24" s="6" t="s">
        <x:v>154</x:v>
      </x:c>
      <x:c r="E24" s="6" t="s">
        <x:v>155</x:v>
      </x:c>
    </x:row>
    <x:row r="25" ht="58.04999923706055" customHeight="1">
      <x:c r="A25" s="13" t="s">
        <x:v>156</x:v>
      </x:c>
      <x:c r="B25" s="13"/>
      <x:c r="C25" s="13"/>
      <x:c r="D25" s="13"/>
      <x:c r="E25" s="13"/>
    </x:row>
    <x:row r="26" ht="58.04999923706055" customHeight="1">
      <x:c r="A26" s="13" t="s">
        <x:v>29</x:v>
      </x:c>
      <x:c r="B26" s="13" t="s">
        <x:v>157</x:v>
      </x:c>
      <x:c r="C26" s="13" t="s">
        <x:v>158</x:v>
      </x:c>
      <x:c r="D26" s="13" t="s">
        <x:v>159</x:v>
      </x:c>
      <x:c r="E26" s="13" t="s">
        <x:v>160</x:v>
      </x:c>
    </x:row>
    <x:row r="27" ht="58.04999923706055" customHeight="1">
      <x:c r="A27" s="13" t="s">
        <x:v>50</x:v>
      </x:c>
      <x:c r="B27" s="13" t="s">
        <x:v>161</x:v>
      </x:c>
      <x:c r="C27" s="13" t="s">
        <x:v>158</x:v>
      </x:c>
      <x:c r="D27" s="13" t="s">
        <x:v>162</x:v>
      </x:c>
      <x:c r="E27" s="13" t="s">
        <x:v>163</x:v>
      </x:c>
    </x:row>
    <x:row r="28" ht="58.04999923706055" customHeight="1">
      <x:c r="A28" s="13" t="s">
        <x:v>36</x:v>
      </x:c>
      <x:c r="B28" s="13" t="s">
        <x:v>164</x:v>
      </x:c>
      <x:c r="C28" s="13" t="s">
        <x:v>165</x:v>
      </x:c>
      <x:c r="D28" s="13" t="s">
        <x:v>166</x:v>
      </x:c>
      <x:c r="E28" s="13" t="s">
        <x:v>167</x:v>
      </x:c>
    </x:row>
    <x:row r="29" ht="58.04999923706055" customHeight="1">
      <x:c r="A29" s="13" t="s">
        <x:v>43</x:v>
      </x:c>
      <x:c r="B29" s="13" t="s">
        <x:v>168</x:v>
      </x:c>
      <x:c r="C29" s="13" t="s">
        <x:v>158</x:v>
      </x:c>
      <x:c r="D29" s="13" t="s">
        <x:v>169</x:v>
      </x:c>
      <x:c r="E29" s="13" t="s">
        <x:v>170</x:v>
      </x:c>
    </x:row>
    <x:row r="30" ht="58.04999923706055" customHeight="1">
      <x:c r="A30" s="13" t="s">
        <x:v>55</x:v>
      </x:c>
      <x:c r="B30" s="13" t="s">
        <x:v>164</x:v>
      </x:c>
      <x:c r="C30" s="13" t="s">
        <x:v>165</x:v>
      </x:c>
      <x:c r="D30" s="13" t="s">
        <x:v>171</x:v>
      </x:c>
      <x:c r="E30" s="13" t="s">
        <x:v>172</x:v>
      </x:c>
    </x:row>
    <x:row r="31" ht="58.04999923706055" customHeight="1">
      <x:c r="A31" s="13" t="s">
        <x:v>173</x:v>
      </x:c>
      <x:c r="B31" s="13" t="s">
        <x:v>174</x:v>
      </x:c>
      <x:c r="C31" s="13" t="s">
        <x:v>158</x:v>
      </x:c>
      <x:c r="D31" s="13" t="s">
        <x:v>175</x:v>
      </x:c>
      <x:c r="E31" s="13" t="s">
        <x:v>176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2" width="24" customWidth="1"/>
    <x:col min="3" max="3" width="55" customWidth="1"/>
    <x:col min="4" max="4" width="18" customWidth="1"/>
    <x:col min="5" max="5" width="72" customWidth="1"/>
    <x:col min="6" max="6" width="48" customWidth="1"/>
    <x:col min="7" max="7" width="20" customWidth="1"/>
    <x:col min="8" max="8" width="42" customWidth="1"/>
    <x:col min="9" max="9" width="36" customWidth="1"/>
    <x:col min="10" max="10" width="74" customWidth="1"/>
    <x:col min="11" max="11" width="52" customWidth="1"/>
    <x:col min="12" max="12" width="48" customWidth="1"/>
    <x:col min="13" max="13" width="38" customWidth="1"/>
    <x:col min="14" max="14" width="48" customWidth="1"/>
  </x:cols>
  <x:sheetData>
    <x:row r="1" ht="34.04999923706055" customHeight="1">
      <x:c r="A1" s="7" t="s">
        <x:v>177</x:v>
      </x:c>
      <x:c r="B1" s="7" t="s">
        <x:v>22</x:v>
      </x:c>
      <x:c r="C1" s="7" t="s">
        <x:v>178</x:v>
      </x:c>
      <x:c r="D1" s="7" t="s">
        <x:v>179</x:v>
      </x:c>
      <x:c r="E1" s="7" t="s">
        <x:v>180</x:v>
      </x:c>
      <x:c r="F1" s="28" t="s">
        <x:v>181</x:v>
      </x:c>
      <x:c r="G1" s="7" t="s">
        <x:v>182</x:v>
      </x:c>
      <x:c r="H1" s="7" t="s">
        <x:v>183</x:v>
      </x:c>
      <x:c r="I1" s="7" t="s">
        <x:v>184</x:v>
      </x:c>
      <x:c r="J1" s="7" t="s">
        <x:v>185</x:v>
      </x:c>
      <x:c r="K1" s="7" t="s">
        <x:v>186</x:v>
      </x:c>
      <x:c r="L1" s="28" t="s">
        <x:v>187</x:v>
      </x:c>
      <x:c r="M1" s="7" t="s">
        <x:v>188</x:v>
      </x:c>
      <x:c r="N1" s="28" t="s">
        <x:v>189</x:v>
      </x:c>
    </x:row>
    <x:row r="2" s="16" customFormat="1" ht="37.150001525878906">
      <x:c r="A2" s="14" t="s">
        <x:v>190</x:v>
      </x:c>
      <x:c r="B2" s="14" t="s">
        <x:v>29</x:v>
      </x:c>
      <x:c r="C2" s="15" t="s">
        <x:v>191</x:v>
      </x:c>
      <x:c r="D2" s="15" t="s">
        <x:v>192</x:v>
      </x:c>
      <x:c r="E2" s="15" t="s">
        <x:v>193</x:v>
      </x:c>
      <x:c r="F2" s="15" t="s">
        <x:v>194</x:v>
      </x:c>
      <x:c r="G2" s="15" t="s">
        <x:v>195</x:v>
      </x:c>
      <x:c r="H2" s="15" t="s">
        <x:v>196</x:v>
      </x:c>
      <x:c r="I2" s="15" t="s">
        <x:v>197</x:v>
      </x:c>
      <x:c r="J2" s="15" t="s">
        <x:v>198</x:v>
      </x:c>
      <x:c r="K2" s="15" t="s">
        <x:v>199</x:v>
      </x:c>
      <x:c r="L2" s="15" t="s">
        <x:v>200</x:v>
      </x:c>
      <x:c r="M2" s="15" t="s">
        <x:v>201</x:v>
      </x:c>
      <x:c r="N2" s="15" t="s">
        <x:v>202</x:v>
      </x:c>
    </x:row>
    <x:row r="3" s="16" customFormat="1" ht="37.150001525878906">
      <x:c r="A3" s="14" t="s">
        <x:v>203</x:v>
      </x:c>
      <x:c r="B3" s="14" t="s">
        <x:v>29</x:v>
      </x:c>
      <x:c r="C3" s="15" t="s">
        <x:v>204</x:v>
      </x:c>
      <x:c r="D3" s="15" t="s">
        <x:v>205</x:v>
      </x:c>
      <x:c r="E3" s="15" t="s">
        <x:v>206</x:v>
      </x:c>
      <x:c r="F3" s="15" t="s">
        <x:v>207</x:v>
      </x:c>
      <x:c r="G3" s="15" t="s">
        <x:v>208</x:v>
      </x:c>
      <x:c r="H3" s="15" t="s">
        <x:v>196</x:v>
      </x:c>
      <x:c r="I3" s="15" t="s">
        <x:v>197</x:v>
      </x:c>
      <x:c r="J3" s="15" t="s">
        <x:v>198</x:v>
      </x:c>
      <x:c r="K3" s="15" t="s">
        <x:v>209</x:v>
      </x:c>
      <x:c r="L3" s="15" t="s">
        <x:v>210</x:v>
      </x:c>
      <x:c r="M3" s="15" t="s">
        <x:v>211</x:v>
      </x:c>
      <x:c r="N3" s="15" t="s">
        <x:v>202</x:v>
      </x:c>
    </x:row>
    <x:row r="4" s="16" customFormat="1" ht="37.150001525878906">
      <x:c r="A4" s="14" t="s">
        <x:v>212</x:v>
      </x:c>
      <x:c r="B4" s="14" t="s">
        <x:v>29</x:v>
      </x:c>
      <x:c r="C4" s="15" t="s">
        <x:v>213</x:v>
      </x:c>
      <x:c r="D4" s="15" t="s">
        <x:v>214</x:v>
      </x:c>
      <x:c r="E4" s="15" t="s">
        <x:v>215</x:v>
      </x:c>
      <x:c r="F4" s="15" t="s">
        <x:v>216</x:v>
      </x:c>
      <x:c r="G4" s="15" t="s">
        <x:v>217</x:v>
      </x:c>
      <x:c r="H4" s="15" t="s">
        <x:v>196</x:v>
      </x:c>
      <x:c r="I4" s="15" t="s">
        <x:v>218</x:v>
      </x:c>
      <x:c r="J4" s="15" t="s">
        <x:v>198</x:v>
      </x:c>
      <x:c r="K4" s="15" t="s">
        <x:v>219</x:v>
      </x:c>
      <x:c r="L4" s="15" t="s">
        <x:v>220</x:v>
      </x:c>
      <x:c r="M4" s="15" t="s">
        <x:v>221</x:v>
      </x:c>
      <x:c r="N4" s="15" t="s">
        <x:v>202</x:v>
      </x:c>
    </x:row>
    <x:row r="5" s="16" customFormat="1" ht="37.150001525878906">
      <x:c r="A5" s="14" t="s">
        <x:v>222</x:v>
      </x:c>
      <x:c r="B5" s="14" t="s">
        <x:v>29</x:v>
      </x:c>
      <x:c r="C5" s="15" t="s">
        <x:v>223</x:v>
      </x:c>
      <x:c r="D5" s="15" t="s">
        <x:v>214</x:v>
      </x:c>
      <x:c r="E5" s="15" t="s">
        <x:v>224</x:v>
      </x:c>
      <x:c r="F5" s="15" t="s">
        <x:v>225</x:v>
      </x:c>
      <x:c r="G5" s="15" t="s">
        <x:v>217</x:v>
      </x:c>
      <x:c r="H5" s="15" t="s">
        <x:v>226</x:v>
      </x:c>
      <x:c r="I5" s="15" t="s">
        <x:v>227</x:v>
      </x:c>
      <x:c r="J5" s="15" t="s">
        <x:v>198</x:v>
      </x:c>
      <x:c r="K5" s="15" t="s">
        <x:v>228</x:v>
      </x:c>
      <x:c r="L5" s="15" t="s">
        <x:v>229</x:v>
      </x:c>
      <x:c r="M5" s="15" t="s">
        <x:v>230</x:v>
      </x:c>
      <x:c r="N5" s="15" t="s">
        <x:v>202</x:v>
      </x:c>
    </x:row>
    <x:row r="6" s="16" customFormat="1" ht="37.150001525878906">
      <x:c r="A6" s="14" t="s">
        <x:v>231</x:v>
      </x:c>
      <x:c r="B6" s="14" t="s">
        <x:v>29</x:v>
      </x:c>
      <x:c r="C6" s="15" t="s">
        <x:v>232</x:v>
      </x:c>
      <x:c r="D6" s="15" t="s">
        <x:v>233</x:v>
      </x:c>
      <x:c r="E6" s="15" t="s">
        <x:v>234</x:v>
      </x:c>
      <x:c r="F6" s="15" t="s">
        <x:v>235</x:v>
      </x:c>
      <x:c r="G6" s="15" t="s">
        <x:v>217</x:v>
      </x:c>
      <x:c r="H6" s="15" t="s">
        <x:v>196</x:v>
      </x:c>
      <x:c r="I6" s="15" t="s">
        <x:v>236</x:v>
      </x:c>
      <x:c r="J6" s="15" t="s">
        <x:v>198</x:v>
      </x:c>
      <x:c r="K6" s="15" t="s">
        <x:v>237</x:v>
      </x:c>
      <x:c r="L6" s="15" t="s">
        <x:v>238</x:v>
      </x:c>
      <x:c r="M6" s="15" t="s">
        <x:v>230</x:v>
      </x:c>
      <x:c r="N6" s="15" t="s">
        <x:v>202</x:v>
      </x:c>
    </x:row>
    <x:row r="7" s="16" customFormat="1" ht="37.150001525878906">
      <x:c r="A7" s="14" t="s">
        <x:v>239</x:v>
      </x:c>
      <x:c r="B7" s="14" t="s">
        <x:v>29</x:v>
      </x:c>
      <x:c r="C7" s="15" t="s">
        <x:v>240</x:v>
      </x:c>
      <x:c r="D7" s="15" t="s">
        <x:v>241</x:v>
      </x:c>
      <x:c r="E7" s="15" t="s">
        <x:v>242</x:v>
      </x:c>
      <x:c r="F7" s="15" t="s">
        <x:v>243</x:v>
      </x:c>
      <x:c r="G7" s="15" t="s">
        <x:v>217</x:v>
      </x:c>
      <x:c r="H7" s="15" t="s">
        <x:v>196</x:v>
      </x:c>
      <x:c r="I7" s="15" t="s">
        <x:v>244</x:v>
      </x:c>
      <x:c r="J7" s="15" t="s">
        <x:v>198</x:v>
      </x:c>
      <x:c r="K7" s="15" t="s">
        <x:v>245</x:v>
      </x:c>
      <x:c r="L7" s="15" t="s">
        <x:v>246</x:v>
      </x:c>
      <x:c r="M7" s="15" t="s">
        <x:v>230</x:v>
      </x:c>
      <x:c r="N7" s="15" t="s">
        <x:v>202</x:v>
      </x:c>
    </x:row>
    <x:row r="8" s="16" customFormat="1" ht="37.150001525878906">
      <x:c r="A8" s="14" t="s">
        <x:v>247</x:v>
      </x:c>
      <x:c r="B8" s="14" t="s">
        <x:v>29</x:v>
      </x:c>
      <x:c r="C8" s="15" t="s">
        <x:v>248</x:v>
      </x:c>
      <x:c r="D8" s="15" t="s">
        <x:v>249</x:v>
      </x:c>
      <x:c r="E8" s="15" t="s">
        <x:v>250</x:v>
      </x:c>
      <x:c r="F8" s="15" t="s">
        <x:v>251</x:v>
      </x:c>
      <x:c r="G8" s="15" t="s">
        <x:v>252</x:v>
      </x:c>
      <x:c r="H8" s="15" t="s">
        <x:v>253</x:v>
      </x:c>
      <x:c r="I8" s="15" t="s">
        <x:v>254</x:v>
      </x:c>
      <x:c r="J8" s="15" t="s">
        <x:v>198</x:v>
      </x:c>
      <x:c r="K8" s="15" t="s">
        <x:v>255</x:v>
      </x:c>
      <x:c r="L8" s="15" t="s">
        <x:v>256</x:v>
      </x:c>
      <x:c r="M8" s="15" t="s">
        <x:v>257</x:v>
      </x:c>
      <x:c r="N8" s="15" t="s">
        <x:v>202</x:v>
      </x:c>
    </x:row>
    <x:row r="9" s="16" customFormat="1" ht="37.150001525878906">
      <x:c r="A9" s="14" t="s">
        <x:v>258</x:v>
      </x:c>
      <x:c r="B9" s="14" t="s">
        <x:v>29</x:v>
      </x:c>
      <x:c r="C9" s="15" t="s">
        <x:v>259</x:v>
      </x:c>
      <x:c r="D9" s="15" t="s">
        <x:v>260</x:v>
      </x:c>
      <x:c r="E9" s="15" t="s">
        <x:v>261</x:v>
      </x:c>
      <x:c r="F9" s="15" t="s">
        <x:v>262</x:v>
      </x:c>
      <x:c r="G9" s="15" t="s">
        <x:v>252</x:v>
      </x:c>
      <x:c r="H9" s="15" t="s">
        <x:v>253</x:v>
      </x:c>
      <x:c r="I9" s="15" t="s">
        <x:v>263</x:v>
      </x:c>
      <x:c r="J9" s="15" t="s">
        <x:v>198</x:v>
      </x:c>
      <x:c r="K9" s="15" t="s">
        <x:v>264</x:v>
      </x:c>
      <x:c r="L9" s="15" t="s">
        <x:v>265</x:v>
      </x:c>
      <x:c r="M9" s="15" t="s">
        <x:v>230</x:v>
      </x:c>
      <x:c r="N9" s="15" t="s">
        <x:v>202</x:v>
      </x:c>
    </x:row>
    <x:row r="10" s="16" customFormat="1" ht="37.150001525878906">
      <x:c r="A10" s="14" t="s">
        <x:v>266</x:v>
      </x:c>
      <x:c r="B10" s="14" t="s">
        <x:v>29</x:v>
      </x:c>
      <x:c r="C10" s="15" t="s">
        <x:v>267</x:v>
      </x:c>
      <x:c r="D10" s="15" t="s">
        <x:v>268</x:v>
      </x:c>
      <x:c r="E10" s="15" t="s">
        <x:v>269</x:v>
      </x:c>
      <x:c r="F10" s="15" t="s">
        <x:v>270</x:v>
      </x:c>
      <x:c r="G10" s="15" t="s">
        <x:v>271</x:v>
      </x:c>
      <x:c r="H10" s="15" t="s">
        <x:v>196</x:v>
      </x:c>
      <x:c r="I10" s="15" t="s">
        <x:v>272</x:v>
      </x:c>
      <x:c r="J10" s="15" t="s">
        <x:v>198</x:v>
      </x:c>
      <x:c r="K10" s="15" t="s">
        <x:v>273</x:v>
      </x:c>
      <x:c r="L10" s="15" t="s">
        <x:v>274</x:v>
      </x:c>
      <x:c r="M10" s="15" t="s">
        <x:v>275</x:v>
      </x:c>
      <x:c r="N10" s="15" t="s">
        <x:v>202</x:v>
      </x:c>
    </x:row>
    <x:row r="11" s="16" customFormat="1" ht="37.150001525878906">
      <x:c r="A11" s="17" t="s">
        <x:v>276</x:v>
      </x:c>
      <x:c r="B11" s="17" t="s">
        <x:v>36</x:v>
      </x:c>
      <x:c r="C11" s="18" t="s">
        <x:v>277</x:v>
      </x:c>
      <x:c r="D11" s="18" t="s">
        <x:v>192</x:v>
      </x:c>
      <x:c r="E11" s="18" t="s">
        <x:v>278</x:v>
      </x:c>
      <x:c r="F11" s="18" t="s">
        <x:v>279</x:v>
      </x:c>
      <x:c r="G11" s="18" t="s">
        <x:v>195</x:v>
      </x:c>
      <x:c r="H11" s="18" t="s">
        <x:v>280</x:v>
      </x:c>
      <x:c r="I11" s="18" t="s">
        <x:v>281</x:v>
      </x:c>
      <x:c r="J11" s="18" t="s">
        <x:v>282</x:v>
      </x:c>
      <x:c r="K11" s="18" t="s">
        <x:v>283</x:v>
      </x:c>
      <x:c r="L11" s="18" t="s">
        <x:v>284</x:v>
      </x:c>
      <x:c r="M11" s="18" t="s">
        <x:v>285</x:v>
      </x:c>
      <x:c r="N11" s="18" t="s">
        <x:v>286</x:v>
      </x:c>
    </x:row>
    <x:row r="12" s="16" customFormat="1" ht="37.150001525878906">
      <x:c r="A12" s="17" t="s">
        <x:v>287</x:v>
      </x:c>
      <x:c r="B12" s="17" t="s">
        <x:v>36</x:v>
      </x:c>
      <x:c r="C12" s="18" t="s">
        <x:v>288</x:v>
      </x:c>
      <x:c r="D12" s="18" t="s">
        <x:v>205</x:v>
      </x:c>
      <x:c r="E12" s="18" t="s">
        <x:v>289</x:v>
      </x:c>
      <x:c r="F12" s="18" t="s">
        <x:v>290</x:v>
      </x:c>
      <x:c r="G12" s="18" t="s">
        <x:v>208</x:v>
      </x:c>
      <x:c r="H12" s="18" t="s">
        <x:v>291</x:v>
      </x:c>
      <x:c r="I12" s="18" t="s">
        <x:v>292</x:v>
      </x:c>
      <x:c r="J12" s="18" t="s">
        <x:v>282</x:v>
      </x:c>
      <x:c r="K12" s="18" t="s">
        <x:v>293</x:v>
      </x:c>
      <x:c r="L12" s="18" t="s">
        <x:v>294</x:v>
      </x:c>
      <x:c r="M12" s="18" t="s">
        <x:v>295</x:v>
      </x:c>
      <x:c r="N12" s="18" t="s">
        <x:v>286</x:v>
      </x:c>
    </x:row>
    <x:row r="13" s="16" customFormat="1" ht="37.150001525878906">
      <x:c r="A13" s="17" t="s">
        <x:v>296</x:v>
      </x:c>
      <x:c r="B13" s="17" t="s">
        <x:v>36</x:v>
      </x:c>
      <x:c r="C13" s="18" t="s">
        <x:v>297</x:v>
      </x:c>
      <x:c r="D13" s="18" t="s">
        <x:v>214</x:v>
      </x:c>
      <x:c r="E13" s="18" t="s">
        <x:v>298</x:v>
      </x:c>
      <x:c r="F13" s="18" t="s">
        <x:v>299</x:v>
      </x:c>
      <x:c r="G13" s="18" t="s">
        <x:v>217</x:v>
      </x:c>
      <x:c r="H13" s="18" t="s">
        <x:v>280</x:v>
      </x:c>
      <x:c r="I13" s="18" t="s">
        <x:v>300</x:v>
      </x:c>
      <x:c r="J13" s="18" t="s">
        <x:v>282</x:v>
      </x:c>
      <x:c r="K13" s="18" t="s">
        <x:v>301</x:v>
      </x:c>
      <x:c r="L13" s="18" t="s">
        <x:v>302</x:v>
      </x:c>
      <x:c r="M13" s="18" t="s">
        <x:v>303</x:v>
      </x:c>
      <x:c r="N13" s="18" t="s">
        <x:v>286</x:v>
      </x:c>
    </x:row>
    <x:row r="14" s="16" customFormat="1" ht="37.150001525878906">
      <x:c r="A14" s="17" t="s">
        <x:v>304</x:v>
      </x:c>
      <x:c r="B14" s="17" t="s">
        <x:v>36</x:v>
      </x:c>
      <x:c r="C14" s="18" t="s">
        <x:v>305</x:v>
      </x:c>
      <x:c r="D14" s="18" t="s">
        <x:v>214</x:v>
      </x:c>
      <x:c r="E14" s="18" t="s">
        <x:v>306</x:v>
      </x:c>
      <x:c r="F14" s="18" t="s">
        <x:v>307</x:v>
      </x:c>
      <x:c r="G14" s="18" t="s">
        <x:v>217</x:v>
      </x:c>
      <x:c r="H14" s="18" t="s">
        <x:v>291</x:v>
      </x:c>
      <x:c r="I14" s="18" t="s">
        <x:v>308</x:v>
      </x:c>
      <x:c r="J14" s="18" t="s">
        <x:v>282</x:v>
      </x:c>
      <x:c r="K14" s="18" t="s">
        <x:v>309</x:v>
      </x:c>
      <x:c r="L14" s="18" t="s">
        <x:v>310</x:v>
      </x:c>
      <x:c r="M14" s="18" t="s">
        <x:v>230</x:v>
      </x:c>
      <x:c r="N14" s="18" t="s">
        <x:v>286</x:v>
      </x:c>
    </x:row>
    <x:row r="15" s="16" customFormat="1" ht="37.150001525878906">
      <x:c r="A15" s="17" t="s">
        <x:v>311</x:v>
      </x:c>
      <x:c r="B15" s="17" t="s">
        <x:v>36</x:v>
      </x:c>
      <x:c r="C15" s="18" t="s">
        <x:v>312</x:v>
      </x:c>
      <x:c r="D15" s="18" t="s">
        <x:v>241</x:v>
      </x:c>
      <x:c r="E15" s="18" t="s">
        <x:v>313</x:v>
      </x:c>
      <x:c r="F15" s="18" t="s">
        <x:v>314</x:v>
      </x:c>
      <x:c r="G15" s="18" t="s">
        <x:v>217</x:v>
      </x:c>
      <x:c r="H15" s="18" t="s">
        <x:v>291</x:v>
      </x:c>
      <x:c r="I15" s="18" t="s">
        <x:v>315</x:v>
      </x:c>
      <x:c r="J15" s="18" t="s">
        <x:v>282</x:v>
      </x:c>
      <x:c r="K15" s="18" t="s">
        <x:v>316</x:v>
      </x:c>
      <x:c r="L15" s="18" t="s">
        <x:v>317</x:v>
      </x:c>
      <x:c r="M15" s="18" t="s">
        <x:v>318</x:v>
      </x:c>
      <x:c r="N15" s="18" t="s">
        <x:v>286</x:v>
      </x:c>
    </x:row>
    <x:row r="16" s="16" customFormat="1" ht="37.150001525878906">
      <x:c r="A16" s="17" t="s">
        <x:v>319</x:v>
      </x:c>
      <x:c r="B16" s="17" t="s">
        <x:v>36</x:v>
      </x:c>
      <x:c r="C16" s="18" t="s">
        <x:v>320</x:v>
      </x:c>
      <x:c r="D16" s="18" t="s">
        <x:v>214</x:v>
      </x:c>
      <x:c r="E16" s="18" t="s">
        <x:v>321</x:v>
      </x:c>
      <x:c r="F16" s="18" t="s">
        <x:v>322</x:v>
      </x:c>
      <x:c r="G16" s="18" t="s">
        <x:v>217</x:v>
      </x:c>
      <x:c r="H16" s="18" t="s">
        <x:v>323</x:v>
      </x:c>
      <x:c r="I16" s="18" t="s">
        <x:v>324</x:v>
      </x:c>
      <x:c r="J16" s="18" t="s">
        <x:v>282</x:v>
      </x:c>
      <x:c r="K16" s="18" t="s">
        <x:v>325</x:v>
      </x:c>
      <x:c r="L16" s="18" t="s">
        <x:v>326</x:v>
      </x:c>
      <x:c r="M16" s="18" t="s">
        <x:v>230</x:v>
      </x:c>
      <x:c r="N16" s="18" t="s">
        <x:v>286</x:v>
      </x:c>
    </x:row>
    <x:row r="17" s="16" customFormat="1" ht="37.150001525878906">
      <x:c r="A17" s="17" t="s">
        <x:v>327</x:v>
      </x:c>
      <x:c r="B17" s="17" t="s">
        <x:v>36</x:v>
      </x:c>
      <x:c r="C17" s="18" t="s">
        <x:v>328</x:v>
      </x:c>
      <x:c r="D17" s="18" t="s">
        <x:v>241</x:v>
      </x:c>
      <x:c r="E17" s="18" t="s">
        <x:v>329</x:v>
      </x:c>
      <x:c r="F17" s="18" t="s">
        <x:v>330</x:v>
      </x:c>
      <x:c r="G17" s="18" t="s">
        <x:v>252</x:v>
      </x:c>
      <x:c r="H17" s="18" t="s">
        <x:v>323</x:v>
      </x:c>
      <x:c r="I17" s="18" t="s">
        <x:v>331</x:v>
      </x:c>
      <x:c r="J17" s="18" t="s">
        <x:v>282</x:v>
      </x:c>
      <x:c r="K17" s="18" t="s">
        <x:v>332</x:v>
      </x:c>
      <x:c r="L17" s="18" t="s">
        <x:v>333</x:v>
      </x:c>
      <x:c r="M17" s="18" t="s">
        <x:v>230</x:v>
      </x:c>
      <x:c r="N17" s="18" t="s">
        <x:v>286</x:v>
      </x:c>
    </x:row>
    <x:row r="18" s="16" customFormat="1" ht="37.150001525878906">
      <x:c r="A18" s="17" t="s">
        <x:v>334</x:v>
      </x:c>
      <x:c r="B18" s="17" t="s">
        <x:v>36</x:v>
      </x:c>
      <x:c r="C18" s="18" t="s">
        <x:v>335</x:v>
      </x:c>
      <x:c r="D18" s="18" t="s">
        <x:v>249</x:v>
      </x:c>
      <x:c r="E18" s="18" t="s">
        <x:v>336</x:v>
      </x:c>
      <x:c r="F18" s="18" t="s">
        <x:v>337</x:v>
      </x:c>
      <x:c r="G18" s="18" t="s">
        <x:v>252</x:v>
      </x:c>
      <x:c r="H18" s="18" t="s">
        <x:v>323</x:v>
      </x:c>
      <x:c r="I18" s="18" t="s">
        <x:v>338</x:v>
      </x:c>
      <x:c r="J18" s="18" t="s">
        <x:v>282</x:v>
      </x:c>
      <x:c r="K18" s="18" t="s">
        <x:v>339</x:v>
      </x:c>
      <x:c r="L18" s="18" t="s">
        <x:v>340</x:v>
      </x:c>
      <x:c r="M18" s="18" t="s">
        <x:v>341</x:v>
      </x:c>
      <x:c r="N18" s="18" t="s">
        <x:v>286</x:v>
      </x:c>
    </x:row>
    <x:row r="19" s="16" customFormat="1" ht="37.150001525878906">
      <x:c r="A19" s="17" t="s">
        <x:v>342</x:v>
      </x:c>
      <x:c r="B19" s="17" t="s">
        <x:v>36</x:v>
      </x:c>
      <x:c r="C19" s="18" t="s">
        <x:v>343</x:v>
      </x:c>
      <x:c r="D19" s="18" t="s">
        <x:v>268</x:v>
      </x:c>
      <x:c r="E19" s="18" t="s">
        <x:v>344</x:v>
      </x:c>
      <x:c r="F19" s="18" t="s">
        <x:v>345</x:v>
      </x:c>
      <x:c r="G19" s="18" t="s">
        <x:v>271</x:v>
      </x:c>
      <x:c r="H19" s="18" t="s">
        <x:v>280</x:v>
      </x:c>
      <x:c r="I19" s="18" t="s">
        <x:v>346</x:v>
      </x:c>
      <x:c r="J19" s="18" t="s">
        <x:v>282</x:v>
      </x:c>
      <x:c r="K19" s="18" t="s">
        <x:v>347</x:v>
      </x:c>
      <x:c r="L19" s="18" t="s">
        <x:v>348</x:v>
      </x:c>
      <x:c r="M19" s="18" t="s">
        <x:v>349</x:v>
      </x:c>
      <x:c r="N19" s="18" t="s">
        <x:v>286</x:v>
      </x:c>
    </x:row>
    <x:row r="20" s="16" customFormat="1" ht="37.150001525878906">
      <x:c r="A20" s="19" t="s">
        <x:v>350</x:v>
      </x:c>
      <x:c r="B20" s="19" t="s">
        <x:v>43</x:v>
      </x:c>
      <x:c r="C20" s="20" t="s">
        <x:v>351</x:v>
      </x:c>
      <x:c r="D20" s="20" t="s">
        <x:v>192</x:v>
      </x:c>
      <x:c r="E20" s="20" t="s">
        <x:v>352</x:v>
      </x:c>
      <x:c r="F20" s="20" t="s">
        <x:v>353</x:v>
      </x:c>
      <x:c r="G20" s="20" t="s">
        <x:v>195</x:v>
      </x:c>
      <x:c r="H20" s="20" t="s">
        <x:v>354</x:v>
      </x:c>
      <x:c r="I20" s="20" t="s">
        <x:v>355</x:v>
      </x:c>
      <x:c r="J20" s="20" t="s">
        <x:v>356</x:v>
      </x:c>
      <x:c r="K20" s="20" t="s">
        <x:v>357</x:v>
      </x:c>
      <x:c r="L20" s="20" t="s">
        <x:v>358</x:v>
      </x:c>
      <x:c r="M20" s="20" t="s">
        <x:v>359</x:v>
      </x:c>
      <x:c r="N20" s="20" t="s">
        <x:v>360</x:v>
      </x:c>
    </x:row>
    <x:row r="21" s="16" customFormat="1" ht="37.150001525878906">
      <x:c r="A21" s="19" t="s">
        <x:v>361</x:v>
      </x:c>
      <x:c r="B21" s="19" t="s">
        <x:v>43</x:v>
      </x:c>
      <x:c r="C21" s="20" t="s">
        <x:v>362</x:v>
      </x:c>
      <x:c r="D21" s="20" t="s">
        <x:v>205</x:v>
      </x:c>
      <x:c r="E21" s="20" t="s">
        <x:v>363</x:v>
      </x:c>
      <x:c r="F21" s="20" t="s">
        <x:v>364</x:v>
      </x:c>
      <x:c r="G21" s="20" t="s">
        <x:v>208</x:v>
      </x:c>
      <x:c r="H21" s="20" t="s">
        <x:v>354</x:v>
      </x:c>
      <x:c r="I21" s="20" t="s">
        <x:v>355</x:v>
      </x:c>
      <x:c r="J21" s="20" t="s">
        <x:v>356</x:v>
      </x:c>
      <x:c r="K21" s="20" t="s">
        <x:v>365</x:v>
      </x:c>
      <x:c r="L21" s="20" t="s">
        <x:v>366</x:v>
      </x:c>
      <x:c r="M21" s="20" t="s">
        <x:v>367</x:v>
      </x:c>
      <x:c r="N21" s="20" t="s">
        <x:v>360</x:v>
      </x:c>
    </x:row>
    <x:row r="22" s="16" customFormat="1" ht="37.150001525878906">
      <x:c r="A22" s="19" t="s">
        <x:v>368</x:v>
      </x:c>
      <x:c r="B22" s="19" t="s">
        <x:v>43</x:v>
      </x:c>
      <x:c r="C22" s="20" t="s">
        <x:v>369</x:v>
      </x:c>
      <x:c r="D22" s="20" t="s">
        <x:v>214</x:v>
      </x:c>
      <x:c r="E22" s="20" t="s">
        <x:v>370</x:v>
      </x:c>
      <x:c r="F22" s="20" t="s">
        <x:v>371</x:v>
      </x:c>
      <x:c r="G22" s="20" t="s">
        <x:v>217</x:v>
      </x:c>
      <x:c r="H22" s="20" t="s">
        <x:v>372</x:v>
      </x:c>
      <x:c r="I22" s="20" t="s">
        <x:v>373</x:v>
      </x:c>
      <x:c r="J22" s="20" t="s">
        <x:v>356</x:v>
      </x:c>
      <x:c r="K22" s="20" t="s">
        <x:v>374</x:v>
      </x:c>
      <x:c r="L22" s="20" t="s">
        <x:v>375</x:v>
      </x:c>
      <x:c r="M22" s="20" t="s">
        <x:v>376</x:v>
      </x:c>
      <x:c r="N22" s="20" t="s">
        <x:v>360</x:v>
      </x:c>
    </x:row>
    <x:row r="23" s="16" customFormat="1" ht="37.150001525878906">
      <x:c r="A23" s="19" t="s">
        <x:v>377</x:v>
      </x:c>
      <x:c r="B23" s="19" t="s">
        <x:v>43</x:v>
      </x:c>
      <x:c r="C23" s="20" t="s">
        <x:v>378</x:v>
      </x:c>
      <x:c r="D23" s="20" t="s">
        <x:v>241</x:v>
      </x:c>
      <x:c r="E23" s="20" t="s">
        <x:v>379</x:v>
      </x:c>
      <x:c r="F23" s="20" t="s">
        <x:v>380</x:v>
      </x:c>
      <x:c r="G23" s="20" t="s">
        <x:v>217</x:v>
      </x:c>
      <x:c r="H23" s="20" t="s">
        <x:v>372</x:v>
      </x:c>
      <x:c r="I23" s="20" t="s">
        <x:v>381</x:v>
      </x:c>
      <x:c r="J23" s="20" t="s">
        <x:v>356</x:v>
      </x:c>
      <x:c r="K23" s="20" t="s">
        <x:v>382</x:v>
      </x:c>
      <x:c r="L23" s="20" t="s">
        <x:v>383</x:v>
      </x:c>
      <x:c r="M23" s="20" t="s">
        <x:v>230</x:v>
      </x:c>
      <x:c r="N23" s="20" t="s">
        <x:v>360</x:v>
      </x:c>
    </x:row>
    <x:row r="24" s="16" customFormat="1" ht="37.150001525878906">
      <x:c r="A24" s="19" t="s">
        <x:v>384</x:v>
      </x:c>
      <x:c r="B24" s="19" t="s">
        <x:v>43</x:v>
      </x:c>
      <x:c r="C24" s="20" t="s">
        <x:v>385</x:v>
      </x:c>
      <x:c r="D24" s="20" t="s">
        <x:v>241</x:v>
      </x:c>
      <x:c r="E24" s="20" t="s">
        <x:v>386</x:v>
      </x:c>
      <x:c r="F24" s="20" t="s">
        <x:v>387</x:v>
      </x:c>
      <x:c r="G24" s="20" t="s">
        <x:v>252</x:v>
      </x:c>
      <x:c r="H24" s="20" t="s">
        <x:v>388</x:v>
      </x:c>
      <x:c r="I24" s="20" t="s">
        <x:v>389</x:v>
      </x:c>
      <x:c r="J24" s="20" t="s">
        <x:v>356</x:v>
      </x:c>
      <x:c r="K24" s="20" t="s">
        <x:v>390</x:v>
      </x:c>
      <x:c r="L24" s="20" t="s">
        <x:v>391</x:v>
      </x:c>
      <x:c r="M24" s="20" t="s">
        <x:v>230</x:v>
      </x:c>
      <x:c r="N24" s="20" t="s">
        <x:v>360</x:v>
      </x:c>
    </x:row>
    <x:row r="25" s="16" customFormat="1" ht="37.150001525878906">
      <x:c r="A25" s="19" t="s">
        <x:v>392</x:v>
      </x:c>
      <x:c r="B25" s="19" t="s">
        <x:v>43</x:v>
      </x:c>
      <x:c r="C25" s="20" t="s">
        <x:v>393</x:v>
      </x:c>
      <x:c r="D25" s="20" t="s">
        <x:v>394</x:v>
      </x:c>
      <x:c r="E25" s="20" t="s">
        <x:v>395</x:v>
      </x:c>
      <x:c r="F25" s="20" t="s">
        <x:v>396</x:v>
      </x:c>
      <x:c r="G25" s="20" t="s">
        <x:v>217</x:v>
      </x:c>
      <x:c r="H25" s="20" t="s">
        <x:v>372</x:v>
      </x:c>
      <x:c r="I25" s="20" t="s">
        <x:v>397</x:v>
      </x:c>
      <x:c r="J25" s="20" t="s">
        <x:v>356</x:v>
      </x:c>
      <x:c r="K25" s="20" t="s">
        <x:v>398</x:v>
      </x:c>
      <x:c r="L25" s="20" t="s">
        <x:v>399</x:v>
      </x:c>
      <x:c r="M25" s="20" t="s">
        <x:v>230</x:v>
      </x:c>
      <x:c r="N25" s="20" t="s">
        <x:v>360</x:v>
      </x:c>
    </x:row>
    <x:row r="26" s="16" customFormat="1" ht="37.150001525878906">
      <x:c r="A26" s="19" t="s">
        <x:v>400</x:v>
      </x:c>
      <x:c r="B26" s="19" t="s">
        <x:v>43</x:v>
      </x:c>
      <x:c r="C26" s="20" t="s">
        <x:v>401</x:v>
      </x:c>
      <x:c r="D26" s="20" t="s">
        <x:v>214</x:v>
      </x:c>
      <x:c r="E26" s="20" t="s">
        <x:v>402</x:v>
      </x:c>
      <x:c r="F26" s="20" t="s">
        <x:v>403</x:v>
      </x:c>
      <x:c r="G26" s="20" t="s">
        <x:v>217</x:v>
      </x:c>
      <x:c r="H26" s="20" t="s">
        <x:v>404</x:v>
      </x:c>
      <x:c r="I26" s="20" t="s">
        <x:v>405</x:v>
      </x:c>
      <x:c r="J26" s="20" t="s">
        <x:v>356</x:v>
      </x:c>
      <x:c r="K26" s="20" t="s">
        <x:v>406</x:v>
      </x:c>
      <x:c r="L26" s="20" t="s">
        <x:v>407</x:v>
      </x:c>
      <x:c r="M26" s="20" t="s">
        <x:v>408</x:v>
      </x:c>
      <x:c r="N26" s="20" t="s">
        <x:v>360</x:v>
      </x:c>
    </x:row>
    <x:row r="27" s="16" customFormat="1" ht="37.150001525878906">
      <x:c r="A27" s="19" t="s">
        <x:v>409</x:v>
      </x:c>
      <x:c r="B27" s="19" t="s">
        <x:v>43</x:v>
      </x:c>
      <x:c r="C27" s="20" t="s">
        <x:v>410</x:v>
      </x:c>
      <x:c r="D27" s="20" t="s">
        <x:v>249</x:v>
      </x:c>
      <x:c r="E27" s="20" t="s">
        <x:v>411</x:v>
      </x:c>
      <x:c r="F27" s="20" t="s">
        <x:v>412</x:v>
      </x:c>
      <x:c r="G27" s="20" t="s">
        <x:v>252</x:v>
      </x:c>
      <x:c r="H27" s="20" t="s">
        <x:v>372</x:v>
      </x:c>
      <x:c r="I27" s="20" t="s">
        <x:v>413</x:v>
      </x:c>
      <x:c r="J27" s="20" t="s">
        <x:v>356</x:v>
      </x:c>
      <x:c r="K27" s="20" t="s">
        <x:v>414</x:v>
      </x:c>
      <x:c r="L27" s="20" t="s">
        <x:v>415</x:v>
      </x:c>
      <x:c r="M27" s="20" t="s">
        <x:v>416</x:v>
      </x:c>
      <x:c r="N27" s="20" t="s">
        <x:v>360</x:v>
      </x:c>
    </x:row>
    <x:row r="28" s="16" customFormat="1" ht="37.150001525878906">
      <x:c r="A28" s="19" t="s">
        <x:v>417</x:v>
      </x:c>
      <x:c r="B28" s="19" t="s">
        <x:v>43</x:v>
      </x:c>
      <x:c r="C28" s="20" t="s">
        <x:v>418</x:v>
      </x:c>
      <x:c r="D28" s="20" t="s">
        <x:v>249</x:v>
      </x:c>
      <x:c r="E28" s="20" t="s">
        <x:v>419</x:v>
      </x:c>
      <x:c r="F28" s="20" t="s">
        <x:v>420</x:v>
      </x:c>
      <x:c r="G28" s="20" t="s">
        <x:v>252</x:v>
      </x:c>
      <x:c r="H28" s="20" t="s">
        <x:v>388</x:v>
      </x:c>
      <x:c r="I28" s="20" t="s">
        <x:v>421</x:v>
      </x:c>
      <x:c r="J28" s="20" t="s">
        <x:v>356</x:v>
      </x:c>
      <x:c r="K28" s="20" t="s">
        <x:v>422</x:v>
      </x:c>
      <x:c r="L28" s="20" t="s">
        <x:v>423</x:v>
      </x:c>
      <x:c r="M28" s="20" t="s">
        <x:v>230</x:v>
      </x:c>
      <x:c r="N28" s="20" t="s">
        <x:v>360</x:v>
      </x:c>
    </x:row>
    <x:row r="29" s="16" customFormat="1" ht="37.150001525878906">
      <x:c r="A29" s="19" t="s">
        <x:v>424</x:v>
      </x:c>
      <x:c r="B29" s="19" t="s">
        <x:v>43</x:v>
      </x:c>
      <x:c r="C29" s="20" t="s">
        <x:v>425</x:v>
      </x:c>
      <x:c r="D29" s="20" t="s">
        <x:v>268</x:v>
      </x:c>
      <x:c r="E29" s="20" t="s">
        <x:v>426</x:v>
      </x:c>
      <x:c r="F29" s="20" t="s">
        <x:v>427</x:v>
      </x:c>
      <x:c r="G29" s="20" t="s">
        <x:v>271</x:v>
      </x:c>
      <x:c r="H29" s="20" t="s">
        <x:v>372</x:v>
      </x:c>
      <x:c r="I29" s="20" t="s">
        <x:v>428</x:v>
      </x:c>
      <x:c r="J29" s="20" t="s">
        <x:v>356</x:v>
      </x:c>
      <x:c r="K29" s="20" t="s">
        <x:v>429</x:v>
      </x:c>
      <x:c r="L29" s="20" t="s">
        <x:v>430</x:v>
      </x:c>
      <x:c r="M29" s="20" t="s">
        <x:v>431</x:v>
      </x:c>
      <x:c r="N29" s="20" t="s">
        <x:v>360</x:v>
      </x:c>
    </x:row>
    <x:row r="30" s="16" customFormat="1" ht="37.150001525878906">
      <x:c r="A30" s="21" t="s">
        <x:v>432</x:v>
      </x:c>
      <x:c r="B30" s="21" t="s">
        <x:v>50</x:v>
      </x:c>
      <x:c r="C30" s="22" t="s">
        <x:v>433</x:v>
      </x:c>
      <x:c r="D30" s="22" t="s">
        <x:v>192</x:v>
      </x:c>
      <x:c r="E30" s="22" t="s">
        <x:v>434</x:v>
      </x:c>
      <x:c r="F30" s="22" t="s">
        <x:v>435</x:v>
      </x:c>
      <x:c r="G30" s="22" t="s">
        <x:v>195</x:v>
      </x:c>
      <x:c r="H30" s="22" t="s">
        <x:v>436</x:v>
      </x:c>
      <x:c r="I30" s="22" t="s">
        <x:v>437</x:v>
      </x:c>
      <x:c r="J30" s="22" t="s">
        <x:v>438</x:v>
      </x:c>
      <x:c r="K30" s="22" t="s">
        <x:v>439</x:v>
      </x:c>
      <x:c r="L30" s="22" t="s">
        <x:v>440</x:v>
      </x:c>
      <x:c r="M30" s="22" t="s">
        <x:v>441</x:v>
      </x:c>
      <x:c r="N30" s="22" t="s">
        <x:v>202</x:v>
      </x:c>
    </x:row>
    <x:row r="31" s="16" customFormat="1" ht="37.150001525878906">
      <x:c r="A31" s="21" t="s">
        <x:v>442</x:v>
      </x:c>
      <x:c r="B31" s="21" t="s">
        <x:v>50</x:v>
      </x:c>
      <x:c r="C31" s="22" t="s">
        <x:v>443</x:v>
      </x:c>
      <x:c r="D31" s="22" t="s">
        <x:v>205</x:v>
      </x:c>
      <x:c r="E31" s="22" t="s">
        <x:v>444</x:v>
      </x:c>
      <x:c r="F31" s="22" t="s">
        <x:v>445</x:v>
      </x:c>
      <x:c r="G31" s="22" t="s">
        <x:v>208</x:v>
      </x:c>
      <x:c r="H31" s="22" t="s">
        <x:v>436</x:v>
      </x:c>
      <x:c r="I31" s="22" t="s">
        <x:v>437</x:v>
      </x:c>
      <x:c r="J31" s="22" t="s">
        <x:v>438</x:v>
      </x:c>
      <x:c r="K31" s="22" t="s">
        <x:v>446</x:v>
      </x:c>
      <x:c r="L31" s="22" t="s">
        <x:v>447</x:v>
      </x:c>
      <x:c r="M31" s="22" t="s">
        <x:v>448</x:v>
      </x:c>
      <x:c r="N31" s="22" t="s">
        <x:v>202</x:v>
      </x:c>
    </x:row>
    <x:row r="32" s="16" customFormat="1" ht="37.150001525878906">
      <x:c r="A32" s="21" t="s">
        <x:v>449</x:v>
      </x:c>
      <x:c r="B32" s="21" t="s">
        <x:v>50</x:v>
      </x:c>
      <x:c r="C32" s="22" t="s">
        <x:v>450</x:v>
      </x:c>
      <x:c r="D32" s="22" t="s">
        <x:v>214</x:v>
      </x:c>
      <x:c r="E32" s="22" t="s">
        <x:v>451</x:v>
      </x:c>
      <x:c r="F32" s="22" t="s">
        <x:v>452</x:v>
      </x:c>
      <x:c r="G32" s="22" t="s">
        <x:v>217</x:v>
      </x:c>
      <x:c r="H32" s="22" t="s">
        <x:v>453</x:v>
      </x:c>
      <x:c r="I32" s="22" t="s">
        <x:v>454</x:v>
      </x:c>
      <x:c r="J32" s="22" t="s">
        <x:v>438</x:v>
      </x:c>
      <x:c r="K32" s="22" t="s">
        <x:v>455</x:v>
      </x:c>
      <x:c r="L32" s="22" t="s">
        <x:v>456</x:v>
      </x:c>
      <x:c r="M32" s="22" t="s">
        <x:v>230</x:v>
      </x:c>
      <x:c r="N32" s="22" t="s">
        <x:v>202</x:v>
      </x:c>
    </x:row>
    <x:row r="33" s="16" customFormat="1" ht="37.150001525878906">
      <x:c r="A33" s="21" t="s">
        <x:v>457</x:v>
      </x:c>
      <x:c r="B33" s="21" t="s">
        <x:v>50</x:v>
      </x:c>
      <x:c r="C33" s="22" t="s">
        <x:v>458</x:v>
      </x:c>
      <x:c r="D33" s="22" t="s">
        <x:v>214</x:v>
      </x:c>
      <x:c r="E33" s="22" t="s">
        <x:v>459</x:v>
      </x:c>
      <x:c r="F33" s="22" t="s">
        <x:v>460</x:v>
      </x:c>
      <x:c r="G33" s="22" t="s">
        <x:v>217</x:v>
      </x:c>
      <x:c r="H33" s="22" t="s">
        <x:v>461</x:v>
      </x:c>
      <x:c r="I33" s="22" t="s">
        <x:v>462</x:v>
      </x:c>
      <x:c r="J33" s="22" t="s">
        <x:v>438</x:v>
      </x:c>
      <x:c r="K33" s="22" t="s">
        <x:v>463</x:v>
      </x:c>
      <x:c r="L33" s="22" t="s">
        <x:v>464</x:v>
      </x:c>
      <x:c r="M33" s="22" t="s">
        <x:v>230</x:v>
      </x:c>
      <x:c r="N33" s="22" t="s">
        <x:v>202</x:v>
      </x:c>
    </x:row>
    <x:row r="34" s="16" customFormat="1" ht="37.150001525878906">
      <x:c r="A34" s="21" t="s">
        <x:v>465</x:v>
      </x:c>
      <x:c r="B34" s="21" t="s">
        <x:v>50</x:v>
      </x:c>
      <x:c r="C34" s="22" t="s">
        <x:v>466</x:v>
      </x:c>
      <x:c r="D34" s="22" t="s">
        <x:v>241</x:v>
      </x:c>
      <x:c r="E34" s="22" t="s">
        <x:v>467</x:v>
      </x:c>
      <x:c r="F34" s="22" t="s">
        <x:v>468</x:v>
      </x:c>
      <x:c r="G34" s="22" t="s">
        <x:v>217</x:v>
      </x:c>
      <x:c r="H34" s="22" t="s">
        <x:v>469</x:v>
      </x:c>
      <x:c r="I34" s="22" t="s">
        <x:v>470</x:v>
      </x:c>
      <x:c r="J34" s="22" t="s">
        <x:v>438</x:v>
      </x:c>
      <x:c r="K34" s="22" t="s">
        <x:v>471</x:v>
      </x:c>
      <x:c r="L34" s="22" t="s">
        <x:v>472</x:v>
      </x:c>
      <x:c r="M34" s="22" t="s">
        <x:v>230</x:v>
      </x:c>
      <x:c r="N34" s="22" t="s">
        <x:v>202</x:v>
      </x:c>
    </x:row>
    <x:row r="35" s="16" customFormat="1" ht="37.150001525878906">
      <x:c r="A35" s="21" t="s">
        <x:v>473</x:v>
      </x:c>
      <x:c r="B35" s="21" t="s">
        <x:v>50</x:v>
      </x:c>
      <x:c r="C35" s="22" t="s">
        <x:v>474</x:v>
      </x:c>
      <x:c r="D35" s="22" t="s">
        <x:v>241</x:v>
      </x:c>
      <x:c r="E35" s="22" t="s">
        <x:v>475</x:v>
      </x:c>
      <x:c r="F35" s="22" t="s">
        <x:v>476</x:v>
      </x:c>
      <x:c r="G35" s="22" t="s">
        <x:v>217</x:v>
      </x:c>
      <x:c r="H35" s="22" t="s">
        <x:v>477</x:v>
      </x:c>
      <x:c r="I35" s="22" t="s">
        <x:v>478</x:v>
      </x:c>
      <x:c r="J35" s="22" t="s">
        <x:v>438</x:v>
      </x:c>
      <x:c r="K35" s="22" t="s">
        <x:v>479</x:v>
      </x:c>
      <x:c r="L35" s="22" t="s">
        <x:v>480</x:v>
      </x:c>
      <x:c r="M35" s="22" t="s">
        <x:v>230</x:v>
      </x:c>
      <x:c r="N35" s="22" t="s">
        <x:v>202</x:v>
      </x:c>
    </x:row>
    <x:row r="36" s="16" customFormat="1" ht="37.150001525878906">
      <x:c r="A36" s="21" t="s">
        <x:v>481</x:v>
      </x:c>
      <x:c r="B36" s="21" t="s">
        <x:v>50</x:v>
      </x:c>
      <x:c r="C36" s="22" t="s">
        <x:v>482</x:v>
      </x:c>
      <x:c r="D36" s="22" t="s">
        <x:v>233</x:v>
      </x:c>
      <x:c r="E36" s="22" t="s">
        <x:v>483</x:v>
      </x:c>
      <x:c r="F36" s="22" t="s">
        <x:v>484</x:v>
      </x:c>
      <x:c r="G36" s="22" t="s">
        <x:v>217</x:v>
      </x:c>
      <x:c r="H36" s="22" t="s">
        <x:v>461</x:v>
      </x:c>
      <x:c r="I36" s="22" t="s">
        <x:v>485</x:v>
      </x:c>
      <x:c r="J36" s="22" t="s">
        <x:v>438</x:v>
      </x:c>
      <x:c r="K36" s="22" t="s">
        <x:v>486</x:v>
      </x:c>
      <x:c r="L36" s="22" t="s">
        <x:v>487</x:v>
      </x:c>
      <x:c r="M36" s="22" t="s">
        <x:v>230</x:v>
      </x:c>
      <x:c r="N36" s="22" t="s">
        <x:v>202</x:v>
      </x:c>
    </x:row>
    <x:row r="37" s="16" customFormat="1" ht="37.150001525878906">
      <x:c r="A37" s="21" t="s">
        <x:v>488</x:v>
      </x:c>
      <x:c r="B37" s="21" t="s">
        <x:v>50</x:v>
      </x:c>
      <x:c r="C37" s="22" t="s">
        <x:v>489</x:v>
      </x:c>
      <x:c r="D37" s="22" t="s">
        <x:v>260</x:v>
      </x:c>
      <x:c r="E37" s="22" t="s">
        <x:v>490</x:v>
      </x:c>
      <x:c r="F37" s="22" t="s">
        <x:v>491</x:v>
      </x:c>
      <x:c r="G37" s="22" t="s">
        <x:v>252</x:v>
      </x:c>
      <x:c r="H37" s="22" t="s">
        <x:v>469</x:v>
      </x:c>
      <x:c r="I37" s="22" t="s">
        <x:v>492</x:v>
      </x:c>
      <x:c r="J37" s="22" t="s">
        <x:v>438</x:v>
      </x:c>
      <x:c r="K37" s="22" t="s">
        <x:v>493</x:v>
      </x:c>
      <x:c r="L37" s="22" t="s">
        <x:v>494</x:v>
      </x:c>
      <x:c r="M37" s="22" t="s">
        <x:v>230</x:v>
      </x:c>
      <x:c r="N37" s="22" t="s">
        <x:v>202</x:v>
      </x:c>
    </x:row>
    <x:row r="38" s="16" customFormat="1" ht="37.150001525878906">
      <x:c r="A38" s="21" t="s">
        <x:v>495</x:v>
      </x:c>
      <x:c r="B38" s="21" t="s">
        <x:v>50</x:v>
      </x:c>
      <x:c r="C38" s="22" t="s">
        <x:v>496</x:v>
      </x:c>
      <x:c r="D38" s="22" t="s">
        <x:v>249</x:v>
      </x:c>
      <x:c r="E38" s="22" t="s">
        <x:v>497</x:v>
      </x:c>
      <x:c r="F38" s="22" t="s">
        <x:v>498</x:v>
      </x:c>
      <x:c r="G38" s="22" t="s">
        <x:v>252</x:v>
      </x:c>
      <x:c r="H38" s="22" t="s">
        <x:v>436</x:v>
      </x:c>
      <x:c r="I38" s="22" t="s">
        <x:v>499</x:v>
      </x:c>
      <x:c r="J38" s="22" t="s">
        <x:v>438</x:v>
      </x:c>
      <x:c r="K38" s="22" t="s">
        <x:v>500</x:v>
      </x:c>
      <x:c r="L38" s="22" t="s">
        <x:v>501</x:v>
      </x:c>
      <x:c r="M38" s="22" t="s">
        <x:v>257</x:v>
      </x:c>
      <x:c r="N38" s="22" t="s">
        <x:v>202</x:v>
      </x:c>
    </x:row>
    <x:row r="39" s="16" customFormat="1" ht="37.150001525878906">
      <x:c r="A39" s="23" t="s">
        <x:v>502</x:v>
      </x:c>
      <x:c r="B39" s="23" t="s">
        <x:v>55</x:v>
      </x:c>
      <x:c r="C39" s="24" t="s">
        <x:v>503</x:v>
      </x:c>
      <x:c r="D39" s="24" t="s">
        <x:v>192</x:v>
      </x:c>
      <x:c r="E39" s="24" t="s">
        <x:v>504</x:v>
      </x:c>
      <x:c r="F39" s="24" t="s">
        <x:v>505</x:v>
      </x:c>
      <x:c r="G39" s="24" t="s">
        <x:v>195</x:v>
      </x:c>
      <x:c r="H39" s="24" t="s">
        <x:v>436</x:v>
      </x:c>
      <x:c r="I39" s="24" t="s">
        <x:v>506</x:v>
      </x:c>
      <x:c r="J39" s="24" t="s">
        <x:v>507</x:v>
      </x:c>
      <x:c r="K39" s="24" t="s">
        <x:v>508</x:v>
      </x:c>
      <x:c r="L39" s="24" t="s">
        <x:v>509</x:v>
      </x:c>
      <x:c r="M39" s="24" t="s">
        <x:v>510</x:v>
      </x:c>
      <x:c r="N39" s="24" t="s">
        <x:v>286</x:v>
      </x:c>
    </x:row>
    <x:row r="40" s="16" customFormat="1" ht="37.150001525878906">
      <x:c r="A40" s="23" t="s">
        <x:v>511</x:v>
      </x:c>
      <x:c r="B40" s="23" t="s">
        <x:v>55</x:v>
      </x:c>
      <x:c r="C40" s="24" t="s">
        <x:v>512</x:v>
      </x:c>
      <x:c r="D40" s="24" t="s">
        <x:v>205</x:v>
      </x:c>
      <x:c r="E40" s="24" t="s">
        <x:v>513</x:v>
      </x:c>
      <x:c r="F40" s="24" t="s">
        <x:v>514</x:v>
      </x:c>
      <x:c r="G40" s="24" t="s">
        <x:v>208</x:v>
      </x:c>
      <x:c r="H40" s="24" t="s">
        <x:v>469</x:v>
      </x:c>
      <x:c r="I40" s="24" t="s">
        <x:v>515</x:v>
      </x:c>
      <x:c r="J40" s="24" t="s">
        <x:v>507</x:v>
      </x:c>
      <x:c r="K40" s="24" t="s">
        <x:v>516</x:v>
      </x:c>
      <x:c r="L40" s="24" t="s">
        <x:v>517</x:v>
      </x:c>
      <x:c r="M40" s="24" t="s">
        <x:v>518</x:v>
      </x:c>
      <x:c r="N40" s="24" t="s">
        <x:v>286</x:v>
      </x:c>
    </x:row>
    <x:row r="41" s="16" customFormat="1" ht="37.150001525878906">
      <x:c r="A41" s="23" t="s">
        <x:v>519</x:v>
      </x:c>
      <x:c r="B41" s="23" t="s">
        <x:v>55</x:v>
      </x:c>
      <x:c r="C41" s="24" t="s">
        <x:v>520</x:v>
      </x:c>
      <x:c r="D41" s="24" t="s">
        <x:v>214</x:v>
      </x:c>
      <x:c r="E41" s="24" t="s">
        <x:v>521</x:v>
      </x:c>
      <x:c r="F41" s="24" t="s">
        <x:v>522</x:v>
      </x:c>
      <x:c r="G41" s="24" t="s">
        <x:v>217</x:v>
      </x:c>
      <x:c r="H41" s="24" t="s">
        <x:v>436</x:v>
      </x:c>
      <x:c r="I41" s="24" t="s">
        <x:v>523</x:v>
      </x:c>
      <x:c r="J41" s="24" t="s">
        <x:v>507</x:v>
      </x:c>
      <x:c r="K41" s="24" t="s">
        <x:v>524</x:v>
      </x:c>
      <x:c r="L41" s="24" t="s">
        <x:v>525</x:v>
      </x:c>
      <x:c r="M41" s="24" t="s">
        <x:v>230</x:v>
      </x:c>
      <x:c r="N41" s="24" t="s">
        <x:v>286</x:v>
      </x:c>
    </x:row>
    <x:row r="42" s="16" customFormat="1" ht="37.150001525878906">
      <x:c r="A42" s="23" t="s">
        <x:v>526</x:v>
      </x:c>
      <x:c r="B42" s="23" t="s">
        <x:v>55</x:v>
      </x:c>
      <x:c r="C42" s="24" t="s">
        <x:v>527</x:v>
      </x:c>
      <x:c r="D42" s="24" t="s">
        <x:v>214</x:v>
      </x:c>
      <x:c r="E42" s="24" t="s">
        <x:v>528</x:v>
      </x:c>
      <x:c r="F42" s="24" t="s">
        <x:v>529</x:v>
      </x:c>
      <x:c r="G42" s="24" t="s">
        <x:v>217</x:v>
      </x:c>
      <x:c r="H42" s="24" t="s">
        <x:v>469</x:v>
      </x:c>
      <x:c r="I42" s="24" t="s">
        <x:v>530</x:v>
      </x:c>
      <x:c r="J42" s="24" t="s">
        <x:v>507</x:v>
      </x:c>
      <x:c r="K42" s="24" t="s">
        <x:v>531</x:v>
      </x:c>
      <x:c r="L42" s="24" t="s">
        <x:v>532</x:v>
      </x:c>
      <x:c r="M42" s="24" t="s">
        <x:v>230</x:v>
      </x:c>
      <x:c r="N42" s="24" t="s">
        <x:v>286</x:v>
      </x:c>
    </x:row>
    <x:row r="43" s="16" customFormat="1" ht="37.150001525878906">
      <x:c r="A43" s="23" t="s">
        <x:v>533</x:v>
      </x:c>
      <x:c r="B43" s="23" t="s">
        <x:v>55</x:v>
      </x:c>
      <x:c r="C43" s="24" t="s">
        <x:v>534</x:v>
      </x:c>
      <x:c r="D43" s="24" t="s">
        <x:v>241</x:v>
      </x:c>
      <x:c r="E43" s="24" t="s">
        <x:v>535</x:v>
      </x:c>
      <x:c r="F43" s="24" t="s">
        <x:v>536</x:v>
      </x:c>
      <x:c r="G43" s="24" t="s">
        <x:v>217</x:v>
      </x:c>
      <x:c r="H43" s="24" t="s">
        <x:v>469</x:v>
      </x:c>
      <x:c r="I43" s="24" t="s">
        <x:v>537</x:v>
      </x:c>
      <x:c r="J43" s="24" t="s">
        <x:v>507</x:v>
      </x:c>
      <x:c r="K43" s="24" t="s">
        <x:v>538</x:v>
      </x:c>
      <x:c r="L43" s="24" t="s">
        <x:v>539</x:v>
      </x:c>
      <x:c r="M43" s="24" t="s">
        <x:v>230</x:v>
      </x:c>
      <x:c r="N43" s="24" t="s">
        <x:v>286</x:v>
      </x:c>
    </x:row>
    <x:row r="44" s="16" customFormat="1" ht="37.150001525878906">
      <x:c r="A44" s="23" t="s">
        <x:v>540</x:v>
      </x:c>
      <x:c r="B44" s="23" t="s">
        <x:v>55</x:v>
      </x:c>
      <x:c r="C44" s="24" t="s">
        <x:v>541</x:v>
      </x:c>
      <x:c r="D44" s="24" t="s">
        <x:v>214</x:v>
      </x:c>
      <x:c r="E44" s="24" t="s">
        <x:v>542</x:v>
      </x:c>
      <x:c r="F44" s="24" t="s">
        <x:v>543</x:v>
      </x:c>
      <x:c r="G44" s="24" t="s">
        <x:v>217</x:v>
      </x:c>
      <x:c r="H44" s="24" t="s">
        <x:v>544</x:v>
      </x:c>
      <x:c r="I44" s="24" t="s">
        <x:v>545</x:v>
      </x:c>
      <x:c r="J44" s="24" t="s">
        <x:v>507</x:v>
      </x:c>
      <x:c r="K44" s="24" t="s">
        <x:v>546</x:v>
      </x:c>
      <x:c r="L44" s="24" t="s">
        <x:v>547</x:v>
      </x:c>
      <x:c r="M44" s="24" t="s">
        <x:v>230</x:v>
      </x:c>
      <x:c r="N44" s="24" t="s">
        <x:v>286</x:v>
      </x:c>
    </x:row>
    <x:row r="45" s="16" customFormat="1" ht="37.150001525878906">
      <x:c r="A45" s="23" t="s">
        <x:v>548</x:v>
      </x:c>
      <x:c r="B45" s="23" t="s">
        <x:v>55</x:v>
      </x:c>
      <x:c r="C45" s="24" t="s">
        <x:v>549</x:v>
      </x:c>
      <x:c r="D45" s="24" t="s">
        <x:v>241</x:v>
      </x:c>
      <x:c r="E45" s="24" t="s">
        <x:v>550</x:v>
      </x:c>
      <x:c r="F45" s="24" t="s">
        <x:v>551</x:v>
      </x:c>
      <x:c r="G45" s="24" t="s">
        <x:v>252</x:v>
      </x:c>
      <x:c r="H45" s="24" t="s">
        <x:v>453</x:v>
      </x:c>
      <x:c r="I45" s="24" t="s">
        <x:v>552</x:v>
      </x:c>
      <x:c r="J45" s="24" t="s">
        <x:v>507</x:v>
      </x:c>
      <x:c r="K45" s="24" t="s">
        <x:v>553</x:v>
      </x:c>
      <x:c r="L45" s="24" t="s">
        <x:v>554</x:v>
      </x:c>
      <x:c r="M45" s="24" t="s">
        <x:v>230</x:v>
      </x:c>
      <x:c r="N45" s="24" t="s">
        <x:v>286</x:v>
      </x:c>
    </x:row>
    <x:row r="46" s="16" customFormat="1" ht="24.75">
      <x:c r="A46" s="23" t="s">
        <x:v>555</x:v>
      </x:c>
      <x:c r="B46" s="23" t="s">
        <x:v>55</x:v>
      </x:c>
      <x:c r="C46" s="24" t="s">
        <x:v>556</x:v>
      </x:c>
      <x:c r="D46" s="24" t="s">
        <x:v>233</x:v>
      </x:c>
      <x:c r="E46" s="24" t="s">
        <x:v>557</x:v>
      </x:c>
      <x:c r="F46" s="24" t="s">
        <x:v>558</x:v>
      </x:c>
      <x:c r="G46" s="24" t="s">
        <x:v>217</x:v>
      </x:c>
      <x:c r="H46" s="24" t="s">
        <x:v>436</x:v>
      </x:c>
      <x:c r="I46" s="24" t="s">
        <x:v>559</x:v>
      </x:c>
      <x:c r="J46" s="24" t="s">
        <x:v>507</x:v>
      </x:c>
      <x:c r="K46" s="24" t="s">
        <x:v>560</x:v>
      </x:c>
      <x:c r="L46" s="24" t="s">
        <x:v>561</x:v>
      </x:c>
      <x:c r="M46" s="24" t="s">
        <x:v>230</x:v>
      </x:c>
      <x:c r="N46" s="24" t="s">
        <x:v>286</x:v>
      </x:c>
    </x:row>
    <x:row r="47" s="16" customFormat="1" ht="37.150001525878906">
      <x:c r="A47" s="23" t="s">
        <x:v>562</x:v>
      </x:c>
      <x:c r="B47" s="23" t="s">
        <x:v>55</x:v>
      </x:c>
      <x:c r="C47" s="24" t="s">
        <x:v>563</x:v>
      </x:c>
      <x:c r="D47" s="24" t="s">
        <x:v>249</x:v>
      </x:c>
      <x:c r="E47" s="24" t="s">
        <x:v>564</x:v>
      </x:c>
      <x:c r="F47" s="24" t="s">
        <x:v>565</x:v>
      </x:c>
      <x:c r="G47" s="24" t="s">
        <x:v>252</x:v>
      </x:c>
      <x:c r="H47" s="24" t="s">
        <x:v>469</x:v>
      </x:c>
      <x:c r="I47" s="24" t="s">
        <x:v>566</x:v>
      </x:c>
      <x:c r="J47" s="24" t="s">
        <x:v>507</x:v>
      </x:c>
      <x:c r="K47" s="24" t="s">
        <x:v>567</x:v>
      </x:c>
      <x:c r="L47" s="24" t="s">
        <x:v>568</x:v>
      </x:c>
      <x:c r="M47" s="24" t="s">
        <x:v>341</x:v>
      </x:c>
      <x:c r="N47" s="24" t="s">
        <x:v>286</x:v>
      </x:c>
    </x:row>
    <x:row r="48" s="16" customFormat="1" ht="37.150001525878906">
      <x:c r="A48" s="23" t="s">
        <x:v>569</x:v>
      </x:c>
      <x:c r="B48" s="23" t="s">
        <x:v>55</x:v>
      </x:c>
      <x:c r="C48" s="24" t="s">
        <x:v>570</x:v>
      </x:c>
      <x:c r="D48" s="24" t="s">
        <x:v>268</x:v>
      </x:c>
      <x:c r="E48" s="24" t="s">
        <x:v>571</x:v>
      </x:c>
      <x:c r="F48" s="24" t="s">
        <x:v>572</x:v>
      </x:c>
      <x:c r="G48" s="24" t="s">
        <x:v>271</x:v>
      </x:c>
      <x:c r="H48" s="24" t="s">
        <x:v>469</x:v>
      </x:c>
      <x:c r="I48" s="24" t="s">
        <x:v>573</x:v>
      </x:c>
      <x:c r="J48" s="24" t="s">
        <x:v>507</x:v>
      </x:c>
      <x:c r="K48" s="24" t="s">
        <x:v>574</x:v>
      </x:c>
      <x:c r="L48" s="24" t="s">
        <x:v>575</x:v>
      </x:c>
      <x:c r="M48" s="24" t="s">
        <x:v>576</x:v>
      </x:c>
      <x:c r="N48" s="24" t="s">
        <x:v>286</x:v>
      </x:c>
    </x:row>
    <x:row r="49" s="16" customFormat="1" ht="37.150001525878906">
      <x:c r="A49" s="25" t="s">
        <x:v>577</x:v>
      </x:c>
      <x:c r="B49" s="25" t="s">
        <x:v>60</x:v>
      </x:c>
      <x:c r="C49" s="26" t="s">
        <x:v>578</x:v>
      </x:c>
      <x:c r="D49" s="26" t="s">
        <x:v>192</x:v>
      </x:c>
      <x:c r="E49" s="26" t="s">
        <x:v>579</x:v>
      </x:c>
      <x:c r="F49" s="26" t="s">
        <x:v>580</x:v>
      </x:c>
      <x:c r="G49" s="26" t="s">
        <x:v>195</x:v>
      </x:c>
      <x:c r="H49" s="26" t="s">
        <x:v>544</x:v>
      </x:c>
      <x:c r="I49" s="26" t="s">
        <x:v>581</x:v>
      </x:c>
      <x:c r="J49" s="26" t="s">
        <x:v>582</x:v>
      </x:c>
      <x:c r="K49" s="26" t="s">
        <x:v>583</x:v>
      </x:c>
      <x:c r="L49" s="26" t="s">
        <x:v>584</x:v>
      </x:c>
      <x:c r="M49" s="26" t="s">
        <x:v>585</x:v>
      </x:c>
      <x:c r="N49" s="26" t="s">
        <x:v>360</x:v>
      </x:c>
    </x:row>
    <x:row r="50" s="16" customFormat="1" ht="37.150001525878906">
      <x:c r="A50" s="25" t="s">
        <x:v>586</x:v>
      </x:c>
      <x:c r="B50" s="25" t="s">
        <x:v>60</x:v>
      </x:c>
      <x:c r="C50" s="26" t="s">
        <x:v>587</x:v>
      </x:c>
      <x:c r="D50" s="26" t="s">
        <x:v>205</x:v>
      </x:c>
      <x:c r="E50" s="26" t="s">
        <x:v>588</x:v>
      </x:c>
      <x:c r="F50" s="26" t="s">
        <x:v>589</x:v>
      </x:c>
      <x:c r="G50" s="26" t="s">
        <x:v>208</x:v>
      </x:c>
      <x:c r="H50" s="26" t="s">
        <x:v>544</x:v>
      </x:c>
      <x:c r="I50" s="26" t="s">
        <x:v>581</x:v>
      </x:c>
      <x:c r="J50" s="26" t="s">
        <x:v>582</x:v>
      </x:c>
      <x:c r="K50" s="26" t="s">
        <x:v>590</x:v>
      </x:c>
      <x:c r="L50" s="26" t="s">
        <x:v>591</x:v>
      </x:c>
      <x:c r="M50" s="26" t="s">
        <x:v>592</x:v>
      </x:c>
      <x:c r="N50" s="26" t="s">
        <x:v>360</x:v>
      </x:c>
    </x:row>
    <x:row r="51" s="16" customFormat="1" ht="37.150001525878906">
      <x:c r="A51" s="25" t="s">
        <x:v>593</x:v>
      </x:c>
      <x:c r="B51" s="25" t="s">
        <x:v>60</x:v>
      </x:c>
      <x:c r="C51" s="26" t="s">
        <x:v>594</x:v>
      </x:c>
      <x:c r="D51" s="26" t="s">
        <x:v>214</x:v>
      </x:c>
      <x:c r="E51" s="26" t="s">
        <x:v>595</x:v>
      </x:c>
      <x:c r="F51" s="26" t="s">
        <x:v>596</x:v>
      </x:c>
      <x:c r="G51" s="26" t="s">
        <x:v>217</x:v>
      </x:c>
      <x:c r="H51" s="26" t="s">
        <x:v>436</x:v>
      </x:c>
      <x:c r="I51" s="26" t="s">
        <x:v>597</x:v>
      </x:c>
      <x:c r="J51" s="26" t="s">
        <x:v>582</x:v>
      </x:c>
      <x:c r="K51" s="26" t="s">
        <x:v>598</x:v>
      </x:c>
      <x:c r="L51" s="26" t="s">
        <x:v>599</x:v>
      </x:c>
      <x:c r="M51" s="26" t="s">
        <x:v>230</x:v>
      </x:c>
      <x:c r="N51" s="26" t="s">
        <x:v>360</x:v>
      </x:c>
    </x:row>
    <x:row r="52" s="16" customFormat="1" ht="37.150001525878906">
      <x:c r="A52" s="25" t="s">
        <x:v>600</x:v>
      </x:c>
      <x:c r="B52" s="25" t="s">
        <x:v>60</x:v>
      </x:c>
      <x:c r="C52" s="26" t="s">
        <x:v>601</x:v>
      </x:c>
      <x:c r="D52" s="26" t="s">
        <x:v>241</x:v>
      </x:c>
      <x:c r="E52" s="26" t="s">
        <x:v>602</x:v>
      </x:c>
      <x:c r="F52" s="26" t="s">
        <x:v>603</x:v>
      </x:c>
      <x:c r="G52" s="26" t="s">
        <x:v>252</x:v>
      </x:c>
      <x:c r="H52" s="26" t="s">
        <x:v>453</x:v>
      </x:c>
      <x:c r="I52" s="26" t="s">
        <x:v>604</x:v>
      </x:c>
      <x:c r="J52" s="26" t="s">
        <x:v>582</x:v>
      </x:c>
      <x:c r="K52" s="26" t="s">
        <x:v>605</x:v>
      </x:c>
      <x:c r="L52" s="26" t="s">
        <x:v>606</x:v>
      </x:c>
      <x:c r="M52" s="26" t="s">
        <x:v>230</x:v>
      </x:c>
      <x:c r="N52" s="26" t="s">
        <x:v>360</x:v>
      </x:c>
    </x:row>
    <x:row r="53" s="16" customFormat="1" ht="37.150001525878906">
      <x:c r="A53" s="25" t="s">
        <x:v>607</x:v>
      </x:c>
      <x:c r="B53" s="25" t="s">
        <x:v>60</x:v>
      </x:c>
      <x:c r="C53" s="26" t="s">
        <x:v>608</x:v>
      </x:c>
      <x:c r="D53" s="26" t="s">
        <x:v>241</x:v>
      </x:c>
      <x:c r="E53" s="26" t="s">
        <x:v>609</x:v>
      </x:c>
      <x:c r="F53" s="26" t="s">
        <x:v>610</x:v>
      </x:c>
      <x:c r="G53" s="26" t="s">
        <x:v>217</x:v>
      </x:c>
      <x:c r="H53" s="26" t="s">
        <x:v>477</x:v>
      </x:c>
      <x:c r="I53" s="26" t="s">
        <x:v>611</x:v>
      </x:c>
      <x:c r="J53" s="26" t="s">
        <x:v>582</x:v>
      </x:c>
      <x:c r="K53" s="26" t="s">
        <x:v>612</x:v>
      </x:c>
      <x:c r="L53" s="26" t="s">
        <x:v>613</x:v>
      </x:c>
      <x:c r="M53" s="26" t="s">
        <x:v>230</x:v>
      </x:c>
      <x:c r="N53" s="26" t="s">
        <x:v>360</x:v>
      </x:c>
    </x:row>
    <x:row r="54" s="16" customFormat="1" ht="37.150001525878906">
      <x:c r="A54" s="25" t="s">
        <x:v>614</x:v>
      </x:c>
      <x:c r="B54" s="25" t="s">
        <x:v>60</x:v>
      </x:c>
      <x:c r="C54" s="26" t="s">
        <x:v>615</x:v>
      </x:c>
      <x:c r="D54" s="26" t="s">
        <x:v>214</x:v>
      </x:c>
      <x:c r="E54" s="26" t="s">
        <x:v>616</x:v>
      </x:c>
      <x:c r="F54" s="26" t="s">
        <x:v>617</x:v>
      </x:c>
      <x:c r="G54" s="26" t="s">
        <x:v>217</x:v>
      </x:c>
      <x:c r="H54" s="26" t="s">
        <x:v>618</x:v>
      </x:c>
      <x:c r="I54" s="26" t="s">
        <x:v>619</x:v>
      </x:c>
      <x:c r="J54" s="26" t="s">
        <x:v>582</x:v>
      </x:c>
      <x:c r="K54" s="26" t="s">
        <x:v>620</x:v>
      </x:c>
      <x:c r="L54" s="26" t="s">
        <x:v>621</x:v>
      </x:c>
      <x:c r="M54" s="26" t="s">
        <x:v>230</x:v>
      </x:c>
      <x:c r="N54" s="26" t="s">
        <x:v>360</x:v>
      </x:c>
    </x:row>
    <x:row r="55" s="16" customFormat="1" ht="37.150001525878906">
      <x:c r="A55" s="25" t="s">
        <x:v>622</x:v>
      </x:c>
      <x:c r="B55" s="25" t="s">
        <x:v>60</x:v>
      </x:c>
      <x:c r="C55" s="26" t="s">
        <x:v>623</x:v>
      </x:c>
      <x:c r="D55" s="26" t="s">
        <x:v>233</x:v>
      </x:c>
      <x:c r="E55" s="26" t="s">
        <x:v>624</x:v>
      </x:c>
      <x:c r="F55" s="26" t="s">
        <x:v>625</x:v>
      </x:c>
      <x:c r="G55" s="26" t="s">
        <x:v>217</x:v>
      </x:c>
      <x:c r="H55" s="26" t="s">
        <x:v>461</x:v>
      </x:c>
      <x:c r="I55" s="26" t="s">
        <x:v>626</x:v>
      </x:c>
      <x:c r="J55" s="26" t="s">
        <x:v>582</x:v>
      </x:c>
      <x:c r="K55" s="26" t="s">
        <x:v>627</x:v>
      </x:c>
      <x:c r="L55" s="26" t="s">
        <x:v>628</x:v>
      </x:c>
      <x:c r="M55" s="26" t="s">
        <x:v>230</x:v>
      </x:c>
      <x:c r="N55" s="26" t="s">
        <x:v>360</x:v>
      </x:c>
    </x:row>
    <x:row r="56" s="16" customFormat="1" ht="37.150001525878906">
      <x:c r="A56" s="25" t="s">
        <x:v>629</x:v>
      </x:c>
      <x:c r="B56" s="25" t="s">
        <x:v>60</x:v>
      </x:c>
      <x:c r="C56" s="26" t="s">
        <x:v>630</x:v>
      </x:c>
      <x:c r="D56" s="26" t="s">
        <x:v>249</x:v>
      </x:c>
      <x:c r="E56" s="26" t="s">
        <x:v>631</x:v>
      </x:c>
      <x:c r="F56" s="26" t="s">
        <x:v>632</x:v>
      </x:c>
      <x:c r="G56" s="26" t="s">
        <x:v>252</x:v>
      </x:c>
      <x:c r="H56" s="26" t="s">
        <x:v>544</x:v>
      </x:c>
      <x:c r="I56" s="26" t="s">
        <x:v>633</x:v>
      </x:c>
      <x:c r="J56" s="26" t="s">
        <x:v>582</x:v>
      </x:c>
      <x:c r="K56" s="26" t="s">
        <x:v>634</x:v>
      </x:c>
      <x:c r="L56" s="26" t="s">
        <x:v>635</x:v>
      </x:c>
      <x:c r="M56" s="26" t="s">
        <x:v>636</x:v>
      </x:c>
      <x:c r="N56" s="26" t="s">
        <x:v>360</x:v>
      </x:c>
    </x:row>
    <x:row r="57" s="16" customFormat="1" ht="37.150001525878906">
      <x:c r="A57" s="25" t="s">
        <x:v>637</x:v>
      </x:c>
      <x:c r="B57" s="25" t="s">
        <x:v>60</x:v>
      </x:c>
      <x:c r="C57" s="26" t="s">
        <x:v>638</x:v>
      </x:c>
      <x:c r="D57" s="26" t="s">
        <x:v>249</x:v>
      </x:c>
      <x:c r="E57" s="26" t="s">
        <x:v>639</x:v>
      </x:c>
      <x:c r="F57" s="26" t="s">
        <x:v>640</x:v>
      </x:c>
      <x:c r="G57" s="26" t="s">
        <x:v>252</x:v>
      </x:c>
      <x:c r="H57" s="26" t="s">
        <x:v>477</x:v>
      </x:c>
      <x:c r="I57" s="26" t="s">
        <x:v>641</x:v>
      </x:c>
      <x:c r="J57" s="26" t="s">
        <x:v>582</x:v>
      </x:c>
      <x:c r="K57" s="26" t="s">
        <x:v>642</x:v>
      </x:c>
      <x:c r="L57" s="26" t="s">
        <x:v>643</x:v>
      </x:c>
      <x:c r="M57" s="26" t="s">
        <x:v>230</x:v>
      </x:c>
      <x:c r="N57" s="26" t="s">
        <x:v>360</x:v>
      </x:c>
    </x:row>
    <x:row r="58" s="16" customFormat="1" ht="37.150001525878906">
      <x:c r="A58" s="25" t="s">
        <x:v>644</x:v>
      </x:c>
      <x:c r="B58" s="25" t="s">
        <x:v>60</x:v>
      </x:c>
      <x:c r="C58" s="26" t="s">
        <x:v>645</x:v>
      </x:c>
      <x:c r="D58" s="26" t="s">
        <x:v>268</x:v>
      </x:c>
      <x:c r="E58" s="26" t="s">
        <x:v>646</x:v>
      </x:c>
      <x:c r="F58" s="26" t="s">
        <x:v>647</x:v>
      </x:c>
      <x:c r="G58" s="26" t="s">
        <x:v>271</x:v>
      </x:c>
      <x:c r="H58" s="26" t="s">
        <x:v>469</x:v>
      </x:c>
      <x:c r="I58" s="26" t="s">
        <x:v>648</x:v>
      </x:c>
      <x:c r="J58" s="26" t="s">
        <x:v>582</x:v>
      </x:c>
      <x:c r="K58" s="26" t="s">
        <x:v>649</x:v>
      </x:c>
      <x:c r="L58" s="26" t="s">
        <x:v>650</x:v>
      </x:c>
      <x:c r="M58" s="26" t="s">
        <x:v>651</x:v>
      </x:c>
      <x:c r="N58" s="26" t="s">
        <x:v>360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B6B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2" width="24" customWidth="1"/>
    <x:col min="3" max="4" width="70" customWidth="1"/>
    <x:col min="5" max="5" width="30" customWidth="1"/>
    <x:col min="6" max="6" width="58" customWidth="1"/>
  </x:cols>
  <x:sheetData>
    <x:row r="1" ht="34.04999923706055" customHeight="1">
      <x:c r="A1" s="7" t="s">
        <x:v>652</x:v>
      </x:c>
      <x:c r="B1" s="7" t="s">
        <x:v>653</x:v>
      </x:c>
      <x:c r="C1" s="7" t="s">
        <x:v>654</x:v>
      </x:c>
      <x:c r="D1" s="7" t="s">
        <x:v>655</x:v>
      </x:c>
      <x:c r="E1" s="7" t="s">
        <x:v>656</x:v>
      </x:c>
      <x:c r="F1" s="7" t="s">
        <x:v>657</x:v>
      </x:c>
    </x:row>
    <x:row r="2" ht="96" customHeight="1">
      <x:c r="A2" s="6" t="s">
        <x:v>658</x:v>
      </x:c>
      <x:c r="B2" s="6" t="s">
        <x:v>659</x:v>
      </x:c>
      <x:c r="C2" s="6" t="s">
        <x:v>660</x:v>
      </x:c>
      <x:c r="D2" s="6" t="s">
        <x:v>661</x:v>
      </x:c>
      <x:c r="E2" s="6" t="s">
        <x:v>662</x:v>
      </x:c>
      <x:c r="F2" s="6" t="s">
        <x:v>663</x:v>
      </x:c>
    </x:row>
    <x:row r="3" ht="96" customHeight="1">
      <x:c r="A3" s="6" t="s">
        <x:v>664</x:v>
      </x:c>
      <x:c r="B3" s="6" t="s">
        <x:v>665</x:v>
      </x:c>
      <x:c r="C3" s="6" t="s">
        <x:v>666</x:v>
      </x:c>
      <x:c r="D3" s="6" t="s">
        <x:v>667</x:v>
      </x:c>
      <x:c r="E3" s="6" t="s">
        <x:v>668</x:v>
      </x:c>
      <x:c r="F3" s="6" t="s">
        <x:v>669</x:v>
      </x:c>
    </x:row>
    <x:row r="4" ht="96" customHeight="1">
      <x:c r="A4" s="6" t="s">
        <x:v>670</x:v>
      </x:c>
      <x:c r="B4" s="6" t="s">
        <x:v>671</x:v>
      </x:c>
      <x:c r="C4" s="6" t="s">
        <x:v>672</x:v>
      </x:c>
      <x:c r="D4" s="6" t="s">
        <x:v>673</x:v>
      </x:c>
      <x:c r="E4" s="6" t="s">
        <x:v>674</x:v>
      </x:c>
      <x:c r="F4" s="6" t="s">
        <x:v>675</x:v>
      </x:c>
    </x:row>
    <x:row r="5" ht="96" customHeight="1">
      <x:c r="A5" s="6" t="s">
        <x:v>676</x:v>
      </x:c>
      <x:c r="B5" s="6" t="s">
        <x:v>677</x:v>
      </x:c>
      <x:c r="C5" s="6" t="s">
        <x:v>678</x:v>
      </x:c>
      <x:c r="D5" s="6" t="s">
        <x:v>679</x:v>
      </x:c>
      <x:c r="E5" s="6" t="s">
        <x:v>680</x:v>
      </x:c>
      <x:c r="F5" s="6" t="s">
        <x:v>681</x:v>
      </x:c>
    </x:row>
    <x:row r="6" ht="96" customHeight="1">
      <x:c r="A6" s="6" t="s">
        <x:v>682</x:v>
      </x:c>
      <x:c r="B6" s="6" t="s">
        <x:v>683</x:v>
      </x:c>
      <x:c r="C6" s="6" t="s">
        <x:v>684</x:v>
      </x:c>
      <x:c r="D6" s="6" t="s">
        <x:v>685</x:v>
      </x:c>
      <x:c r="E6" s="6" t="s">
        <x:v>662</x:v>
      </x:c>
      <x:c r="F6" s="6" t="s">
        <x:v>686</x:v>
      </x:c>
    </x:row>
    <x:row r="7" ht="96" customHeight="1">
      <x:c r="A7" s="6" t="s">
        <x:v>687</x:v>
      </x:c>
      <x:c r="B7" s="6" t="s">
        <x:v>688</x:v>
      </x:c>
      <x:c r="C7" s="6" t="s">
        <x:v>689</x:v>
      </x:c>
      <x:c r="D7" s="6" t="s">
        <x:v>690</x:v>
      </x:c>
      <x:c r="E7" s="6" t="s">
        <x:v>662</x:v>
      </x:c>
      <x:c r="F7" s="6" t="s">
        <x:v>691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6B6B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4" customWidth="1"/>
    <x:col min="2" max="2" width="26" customWidth="1"/>
    <x:col min="3" max="3" width="66" customWidth="1"/>
    <x:col min="4" max="4" width="34" customWidth="1"/>
    <x:col min="5" max="5" width="46" customWidth="1"/>
    <x:col min="6" max="6" width="44" customWidth="1"/>
  </x:cols>
  <x:sheetData>
    <x:row r="1" ht="34.04999923706055" customHeight="1">
      <x:c r="A1" s="7" t="s">
        <x:v>692</x:v>
      </x:c>
      <x:c r="B1" s="7" t="s">
        <x:v>653</x:v>
      </x:c>
      <x:c r="C1" s="7" t="s">
        <x:v>654</x:v>
      </x:c>
      <x:c r="D1" s="7" t="s">
        <x:v>693</x:v>
      </x:c>
      <x:c r="E1" s="7" t="s">
        <x:v>694</x:v>
      </x:c>
      <x:c r="F1" s="7" t="s">
        <x:v>695</x:v>
      </x:c>
    </x:row>
    <x:row r="2" ht="58.04999923706055" customHeight="1">
      <x:c r="A2" s="6" t="s">
        <x:v>696</x:v>
      </x:c>
      <x:c r="B2" s="6" t="s">
        <x:v>697</x:v>
      </x:c>
      <x:c r="C2" s="6" t="s">
        <x:v>698</x:v>
      </x:c>
      <x:c r="D2" s="6" t="s">
        <x:v>699</x:v>
      </x:c>
      <x:c r="E2" s="6" t="s">
        <x:v>700</x:v>
      </x:c>
      <x:c r="F2" s="6" t="s">
        <x:v>701</x:v>
      </x:c>
    </x:row>
    <x:row r="3" ht="58.04999923706055" customHeight="1">
      <x:c r="A3" s="6" t="s">
        <x:v>702</x:v>
      </x:c>
      <x:c r="B3" s="6" t="s">
        <x:v>703</x:v>
      </x:c>
      <x:c r="C3" s="6" t="s">
        <x:v>704</x:v>
      </x:c>
      <x:c r="D3" s="6" t="s">
        <x:v>699</x:v>
      </x:c>
      <x:c r="E3" s="6" t="s">
        <x:v>705</x:v>
      </x:c>
      <x:c r="F3" s="6" t="s">
        <x:v>706</x:v>
      </x:c>
    </x:row>
    <x:row r="4" ht="58.04999923706055" customHeight="1">
      <x:c r="A4" s="6" t="s">
        <x:v>707</x:v>
      </x:c>
      <x:c r="B4" s="6" t="s">
        <x:v>708</x:v>
      </x:c>
      <x:c r="C4" s="6" t="s">
        <x:v>709</x:v>
      </x:c>
      <x:c r="D4" s="6" t="s">
        <x:v>699</x:v>
      </x:c>
      <x:c r="E4" s="6" t="s">
        <x:v>710</x:v>
      </x:c>
      <x:c r="F4" s="6" t="s">
        <x:v>706</x:v>
      </x:c>
    </x:row>
    <x:row r="5" ht="58.04999923706055" customHeight="1">
      <x:c r="A5" s="6" t="s">
        <x:v>711</x:v>
      </x:c>
      <x:c r="B5" s="6" t="s">
        <x:v>712</x:v>
      </x:c>
      <x:c r="C5" s="6" t="s">
        <x:v>713</x:v>
      </x:c>
      <x:c r="D5" s="6" t="s">
        <x:v>699</x:v>
      </x:c>
      <x:c r="E5" s="6" t="s">
        <x:v>714</x:v>
      </x:c>
      <x:c r="F5" s="6" t="s">
        <x:v>706</x:v>
      </x:c>
    </x:row>
    <x:row r="6" ht="58.04999923706055" customHeight="1">
      <x:c r="A6" s="6" t="s">
        <x:v>715</x:v>
      </x:c>
      <x:c r="B6" s="6" t="s">
        <x:v>716</x:v>
      </x:c>
      <x:c r="C6" s="6" t="s">
        <x:v>717</x:v>
      </x:c>
      <x:c r="D6" s="6" t="s">
        <x:v>718</x:v>
      </x:c>
      <x:c r="E6" s="6" t="s">
        <x:v>719</x:v>
      </x:c>
      <x:c r="F6" s="6" t="s">
        <x:v>706</x:v>
      </x:c>
    </x:row>
    <x:row r="7" ht="58.04999923706055" customHeight="1">
      <x:c r="A7" s="6" t="s">
        <x:v>271</x:v>
      </x:c>
      <x:c r="B7" s="6" t="s">
        <x:v>720</x:v>
      </x:c>
      <x:c r="C7" s="6" t="s">
        <x:v>721</x:v>
      </x:c>
      <x:c r="D7" s="6" t="s">
        <x:v>722</x:v>
      </x:c>
      <x:c r="E7" s="6" t="s">
        <x:v>723</x:v>
      </x:c>
      <x:c r="F7" s="6" t="s">
        <x:v>701</x:v>
      </x:c>
    </x:row>
    <x:row r="8" ht="58.04999923706055" customHeight="1">
      <x:c r="A8" s="6" t="s">
        <x:v>724</x:v>
      </x:c>
      <x:c r="B8" s="6" t="s">
        <x:v>725</x:v>
      </x:c>
      <x:c r="C8" s="6" t="s">
        <x:v>726</x:v>
      </x:c>
      <x:c r="D8" s="6" t="s">
        <x:v>727</x:v>
      </x:c>
      <x:c r="E8" s="6" t="s">
        <x:v>728</x:v>
      </x:c>
      <x:c r="F8" s="6" t="s">
        <x:v>701</x:v>
      </x:c>
    </x:row>
    <x:row r="9" ht="58.04999923706055" customHeight="1">
      <x:c r="A9" s="6"/>
      <x:c r="B9" s="6"/>
      <x:c r="C9" s="6"/>
      <x:c r="D9" s="6"/>
      <x:c r="E9" s="6"/>
      <x:c r="F9" s="6"/>
    </x:row>
    <x:row r="10" ht="58.04999923706055" customHeight="1">
      <x:c r="A10" s="10" t="s">
        <x:v>729</x:v>
      </x:c>
      <x:c r="B10" s="10" t="s">
        <x:v>730</x:v>
      </x:c>
      <x:c r="C10" s="10" t="s">
        <x:v>731</x:v>
      </x:c>
      <x:c r="D10" s="10" t="s">
        <x:v>732</x:v>
      </x:c>
      <x:c r="E10" s="10" t="s">
        <x:v>733</x:v>
      </x:c>
      <x:c r="F10" s="10" t="s">
        <x:v>734</x:v>
      </x:c>
    </x:row>
    <x:row r="11" ht="58.04999923706055" customHeight="1">
      <x:c r="A11" s="6" t="s">
        <x:v>735</x:v>
      </x:c>
      <x:c r="B11" s="6" t="s">
        <x:v>736</x:v>
      </x:c>
      <x:c r="C11" s="6" t="s">
        <x:v>737</x:v>
      </x:c>
      <x:c r="D11" s="6" t="s">
        <x:v>738</x:v>
      </x:c>
      <x:c r="E11" s="6" t="s">
        <x:v>739</x:v>
      </x:c>
      <x:c r="F11" s="6" t="s">
        <x:v>740</x:v>
      </x:c>
    </x:row>
    <x:row r="12" ht="58.04999923706055" customHeight="1">
      <x:c r="A12" s="6" t="s">
        <x:v>741</x:v>
      </x:c>
      <x:c r="B12" s="6" t="s">
        <x:v>742</x:v>
      </x:c>
      <x:c r="C12" s="6">
        <x:v>30</x:v>
      </x:c>
      <x:c r="D12" s="6">
        <x:v>30</x:v>
      </x:c>
      <x:c r="E12" s="6" t="s">
        <x:v>743</x:v>
      </x:c>
      <x:c r="F12" s="6" t="s">
        <x:v>744</x:v>
      </x:c>
    </x:row>
    <x:row r="13" ht="58.04999923706055" customHeight="1">
      <x:c r="A13" s="6" t="s">
        <x:v>745</x:v>
      </x:c>
      <x:c r="B13" s="6" t="s">
        <x:v>746</x:v>
      </x:c>
      <x:c r="C13" s="6">
        <x:v>385</x:v>
      </x:c>
      <x:c r="D13" s="6" t="s">
        <x:v>747</x:v>
      </x:c>
      <x:c r="E13" s="6" t="s">
        <x:v>748</x:v>
      </x:c>
      <x:c r="F13" s="6" t="s">
        <x:v>749</x:v>
      </x:c>
    </x:row>
    <x:row r="14" ht="58.04999923706055" customHeight="1">
      <x:c r="A14" s="6" t="s">
        <x:v>750</x:v>
      </x:c>
      <x:c r="B14" s="6" t="s">
        <x:v>751</x:v>
      </x:c>
      <x:c r="C14" s="6" t="s">
        <x:v>747</x:v>
      </x:c>
      <x:c r="D14" s="6" t="s">
        <x:v>752</x:v>
      </x:c>
      <x:c r="E14" s="6" t="s">
        <x:v>753</x:v>
      </x:c>
      <x:c r="F14" s="6" t="s">
        <x:v>754</x:v>
      </x:c>
    </x:row>
    <x:row r="15" ht="58.04999923706055" customHeight="1">
      <x:c r="A15" s="6" t="s">
        <x:v>755</x:v>
      </x:c>
      <x:c r="B15" s="6" t="s">
        <x:v>756</x:v>
      </x:c>
      <x:c r="C15" s="6" t="s">
        <x:v>757</x:v>
      </x:c>
      <x:c r="D15" s="6" t="s">
        <x:v>758</x:v>
      </x:c>
      <x:c r="E15" s="6" t="s">
        <x:v>759</x:v>
      </x:c>
      <x:c r="F15" s="6" t="s">
        <x:v>760</x:v>
      </x:c>
    </x:row>
    <x:row r="16" ht="58.04999923706055" customHeight="1">
      <x:c r="A16" s="6" t="s">
        <x:v>761</x:v>
      </x:c>
      <x:c r="B16" s="6" t="s">
        <x:v>762</x:v>
      </x:c>
      <x:c r="C16" s="6" t="s">
        <x:v>763</x:v>
      </x:c>
      <x:c r="D16" s="6" t="s">
        <x:v>763</x:v>
      </x:c>
      <x:c r="E16" s="6" t="s">
        <x:v>764</x:v>
      </x:c>
      <x:c r="F16" s="6" t="s">
        <x:v>765</x:v>
      </x:c>
    </x:row>
    <x:row r="17" ht="58.04999923706055" customHeight="1">
      <x:c r="A17" s="6" t="s">
        <x:v>766</x:v>
      </x:c>
      <x:c r="B17" s="6" t="s">
        <x:v>767</x:v>
      </x:c>
      <x:c r="C17" s="6" t="s">
        <x:v>768</x:v>
      </x:c>
      <x:c r="D17" s="6" t="s">
        <x:v>769</x:v>
      </x:c>
      <x:c r="E17" s="6" t="s">
        <x:v>770</x:v>
      </x:c>
      <x:c r="F17" s="6" t="s">
        <x:v>771</x:v>
      </x:c>
    </x:row>
    <x:row r="18" ht="58.04999923706055" customHeight="1">
      <x:c r="A18" s="6" t="s">
        <x:v>772</x:v>
      </x:c>
      <x:c r="B18" s="6" t="s">
        <x:v>773</x:v>
      </x:c>
      <x:c r="C18" s="6" t="s">
        <x:v>774</x:v>
      </x:c>
      <x:c r="D18" s="6" t="s">
        <x:v>774</x:v>
      </x:c>
      <x:c r="E18" s="6" t="s">
        <x:v>775</x:v>
      </x:c>
      <x:c r="F18" s="6" t="s">
        <x:v>776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F6B6B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2" width="30" customWidth="1"/>
    <x:col min="3" max="3" width="24" customWidth="1"/>
    <x:col min="4" max="4" width="80" customWidth="1"/>
    <x:col min="5" max="5" width="46" customWidth="1"/>
    <x:col min="6" max="6" width="16" customWidth="1"/>
  </x:cols>
  <x:sheetData>
    <x:row r="1" ht="34.04999923706055" customHeight="1">
      <x:c r="A1" s="7" t="s">
        <x:v>777</x:v>
      </x:c>
      <x:c r="B1" s="7" t="s">
        <x:v>653</x:v>
      </x:c>
      <x:c r="C1" s="7" t="s">
        <x:v>778</x:v>
      </x:c>
      <x:c r="D1" s="7" t="s">
        <x:v>779</x:v>
      </x:c>
      <x:c r="E1" s="7" t="s">
        <x:v>780</x:v>
      </x:c>
      <x:c r="F1" s="7" t="s">
        <x:v>781</x:v>
      </x:c>
    </x:row>
    <x:row r="2" ht="78" customHeight="1">
      <x:c r="A2" s="6" t="s">
        <x:v>782</x:v>
      </x:c>
      <x:c r="B2" s="6" t="s">
        <x:v>783</x:v>
      </x:c>
      <x:c r="C2" s="6" t="s">
        <x:v>784</x:v>
      </x:c>
      <x:c r="D2" s="6" t="s">
        <x:v>785</x:v>
      </x:c>
      <x:c r="E2" s="6" t="s">
        <x:v>786</x:v>
      </x:c>
      <x:c r="F2" s="6" t="s">
        <x:v>787</x:v>
      </x:c>
    </x:row>
    <x:row r="3" ht="78" customHeight="1">
      <x:c r="A3" s="6" t="s">
        <x:v>788</x:v>
      </x:c>
      <x:c r="B3" s="6" t="s">
        <x:v>789</x:v>
      </x:c>
      <x:c r="C3" s="6" t="s">
        <x:v>790</x:v>
      </x:c>
      <x:c r="D3" s="6" t="s">
        <x:v>791</x:v>
      </x:c>
      <x:c r="E3" s="6" t="s">
        <x:v>792</x:v>
      </x:c>
      <x:c r="F3" s="6" t="s">
        <x:v>793</x:v>
      </x:c>
    </x:row>
    <x:row r="4" ht="78" customHeight="1">
      <x:c r="A4" s="6" t="s">
        <x:v>794</x:v>
      </x:c>
      <x:c r="B4" s="6" t="s">
        <x:v>795</x:v>
      </x:c>
      <x:c r="C4" s="6" t="s">
        <x:v>790</x:v>
      </x:c>
      <x:c r="D4" s="6" t="s">
        <x:v>796</x:v>
      </x:c>
      <x:c r="E4" s="6" t="s">
        <x:v>797</x:v>
      </x:c>
      <x:c r="F4" s="6" t="s">
        <x:v>787</x:v>
      </x:c>
    </x:row>
    <x:row r="5" ht="78" customHeight="1">
      <x:c r="A5" s="6" t="s">
        <x:v>798</x:v>
      </x:c>
      <x:c r="B5" s="6" t="s">
        <x:v>799</x:v>
      </x:c>
      <x:c r="C5" s="6" t="s">
        <x:v>800</x:v>
      </x:c>
      <x:c r="D5" s="6" t="s">
        <x:v>801</x:v>
      </x:c>
      <x:c r="E5" s="6" t="s">
        <x:v>29</x:v>
      </x:c>
      <x:c r="F5" s="6" t="s">
        <x:v>787</x:v>
      </x:c>
    </x:row>
    <x:row r="6" ht="78" customHeight="1">
      <x:c r="A6" s="6" t="s">
        <x:v>802</x:v>
      </x:c>
      <x:c r="B6" s="6" t="s">
        <x:v>803</x:v>
      </x:c>
      <x:c r="C6" s="6" t="s">
        <x:v>800</x:v>
      </x:c>
      <x:c r="D6" s="6" t="s">
        <x:v>804</x:v>
      </x:c>
      <x:c r="E6" s="6" t="s">
        <x:v>36</x:v>
      </x:c>
      <x:c r="F6" s="6" t="s">
        <x:v>787</x:v>
      </x:c>
    </x:row>
    <x:row r="7" ht="78" customHeight="1">
      <x:c r="A7" s="6" t="s">
        <x:v>805</x:v>
      </x:c>
      <x:c r="B7" s="6" t="s">
        <x:v>806</x:v>
      </x:c>
      <x:c r="C7" s="6" t="s">
        <x:v>800</x:v>
      </x:c>
      <x:c r="D7" s="6" t="s">
        <x:v>807</x:v>
      </x:c>
      <x:c r="E7" s="6" t="s">
        <x:v>808</x:v>
      </x:c>
      <x:c r="F7" s="6" t="s">
        <x:v>809</x:v>
      </x:c>
    </x:row>
    <x:row r="8" ht="78" customHeight="1">
      <x:c r="A8" s="6" t="s">
        <x:v>810</x:v>
      </x:c>
      <x:c r="B8" s="6" t="s">
        <x:v>811</x:v>
      </x:c>
      <x:c r="C8" s="6" t="s">
        <x:v>812</x:v>
      </x:c>
      <x:c r="D8" s="6" t="s">
        <x:v>813</x:v>
      </x:c>
      <x:c r="E8" s="6" t="s">
        <x:v>814</x:v>
      </x:c>
      <x:c r="F8" s="6" t="s">
        <x:v>815</x:v>
      </x:c>
    </x:row>
    <x:row r="9" ht="78" customHeight="1">
      <x:c r="A9" s="6" t="s">
        <x:v>816</x:v>
      </x:c>
      <x:c r="B9" s="6" t="s">
        <x:v>817</x:v>
      </x:c>
      <x:c r="C9" s="6" t="s">
        <x:v>812</x:v>
      </x:c>
      <x:c r="D9" s="6" t="s">
        <x:v>818</x:v>
      </x:c>
      <x:c r="E9" s="6" t="s">
        <x:v>819</x:v>
      </x:c>
      <x:c r="F9" s="6" t="s">
        <x:v>815</x:v>
      </x:c>
    </x:row>
    <x:row r="10" ht="78" customHeight="1">
      <x:c r="A10" s="6" t="s">
        <x:v>820</x:v>
      </x:c>
      <x:c r="B10" s="6" t="s">
        <x:v>821</x:v>
      </x:c>
      <x:c r="C10" s="6" t="s">
        <x:v>800</x:v>
      </x:c>
      <x:c r="D10" s="6" t="s">
        <x:v>822</x:v>
      </x:c>
      <x:c r="E10" s="6" t="s">
        <x:v>823</x:v>
      </x:c>
      <x:c r="F10" s="6" t="s">
        <x:v>787</x:v>
      </x:c>
    </x:row>
    <x:row r="11" ht="78" customHeight="1">
      <x:c r="A11" s="6" t="s">
        <x:v>824</x:v>
      </x:c>
      <x:c r="B11" s="6" t="s">
        <x:v>825</x:v>
      </x:c>
      <x:c r="C11" s="6" t="s">
        <x:v>800</x:v>
      </x:c>
      <x:c r="D11" s="6" t="s">
        <x:v>826</x:v>
      </x:c>
      <x:c r="E11" s="6" t="s">
        <x:v>827</x:v>
      </x:c>
      <x:c r="F11" s="6" t="s">
        <x:v>787</x:v>
      </x:c>
    </x:row>
    <x:row r="12" ht="78" customHeight="1">
      <x:c r="A12" s="6" t="s">
        <x:v>828</x:v>
      </x:c>
      <x:c r="B12" s="6" t="s">
        <x:v>829</x:v>
      </x:c>
      <x:c r="C12" s="6" t="s">
        <x:v>812</x:v>
      </x:c>
      <x:c r="D12" s="6" t="s">
        <x:v>830</x:v>
      </x:c>
      <x:c r="E12" s="6" t="s">
        <x:v>831</x:v>
      </x:c>
      <x:c r="F12" s="6" t="s">
        <x:v>787</x:v>
      </x:c>
    </x:row>
    <x:row r="13" ht="78" customHeight="1">
      <x:c r="A13" s="6" t="s">
        <x:v>832</x:v>
      </x:c>
      <x:c r="B13" s="6" t="s">
        <x:v>833</x:v>
      </x:c>
      <x:c r="C13" s="6" t="s">
        <x:v>834</x:v>
      </x:c>
      <x:c r="D13" s="6" t="s">
        <x:v>835</x:v>
      </x:c>
      <x:c r="E13" s="6" t="s">
        <x:v>827</x:v>
      </x:c>
      <x:c r="F13" s="6" t="s">
        <x:v>815</x:v>
      </x:c>
    </x:row>
    <x:row r="14" ht="78" customHeight="1">
      <x:c r="A14" s="6" t="s">
        <x:v>836</x:v>
      </x:c>
      <x:c r="B14" s="6" t="s">
        <x:v>837</x:v>
      </x:c>
      <x:c r="C14" s="6" t="s">
        <x:v>838</x:v>
      </x:c>
      <x:c r="D14" s="6" t="s">
        <x:v>839</x:v>
      </x:c>
      <x:c r="E14" s="6" t="s">
        <x:v>840</x:v>
      </x:c>
      <x:c r="F14" s="6" t="s">
        <x:v>815</x:v>
      </x:c>
    </x:row>
    <x:row r="15" ht="78" customHeight="1">
      <x:c r="A15" s="6" t="s">
        <x:v>841</x:v>
      </x:c>
      <x:c r="B15" s="6" t="s">
        <x:v>842</x:v>
      </x:c>
      <x:c r="C15" s="6" t="s">
        <x:v>800</x:v>
      </x:c>
      <x:c r="D15" s="6" t="s">
        <x:v>843</x:v>
      </x:c>
      <x:c r="E15" s="6" t="s">
        <x:v>60</x:v>
      </x:c>
      <x:c r="F15" s="6" t="s">
        <x:v>844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3.5"/>
  <x:cols>
    <x:col min="1" max="1" width="18" customWidth="1"/>
    <x:col min="2" max="2" width="10" customWidth="1"/>
    <x:col min="3" max="3" width="24" customWidth="1"/>
    <x:col min="4" max="4" width="48" customWidth="1"/>
    <x:col min="5" max="5" width="18" customWidth="1"/>
    <x:col min="6" max="6" width="60" customWidth="1"/>
    <x:col min="7" max="7" width="9" customWidth="1"/>
    <x:col min="8" max="8" width="43" customWidth="1"/>
    <x:col min="9" max="9" width="28" customWidth="1"/>
    <x:col min="10" max="10" width="60" customWidth="1"/>
    <x:col min="11" max="11" width="32" customWidth="1"/>
    <x:col min="12" max="12" width="64" customWidth="1"/>
    <x:col min="13" max="13" width="44" customWidth="1"/>
    <x:col min="14" max="14" width="42" customWidth="1"/>
    <x:col min="15" max="15" width="34" customWidth="1"/>
    <x:col min="16" max="16" width="18" customWidth="1"/>
    <x:col min="17" max="19" width="12" customWidth="1"/>
    <x:col min="20" max="20" width="18" customWidth="1"/>
    <x:col min="21" max="21" width="16" customWidth="1"/>
    <x:col min="22" max="23" width="12" customWidth="1"/>
    <x:col min="24" max="24" width="18" customWidth="1"/>
    <x:col min="25" max="25" width="12" customWidth="1"/>
    <x:col min="26" max="26" width="14" customWidth="1"/>
    <x:col min="27" max="27" width="40" customWidth="1"/>
    <x:col min="28" max="28" width="10" customWidth="1"/>
    <x:col min="29" max="29" width="16" customWidth="1"/>
    <x:col min="30" max="30" width="12" customWidth="1"/>
    <x:col min="31" max="31" width="18" customWidth="1"/>
    <x:col min="32" max="32" width="16" customWidth="1"/>
    <x:col min="33" max="33" width="12" customWidth="1"/>
    <x:col min="34" max="34" width="20" customWidth="1"/>
    <x:col min="35" max="36" width="18" customWidth="1"/>
    <x:col min="37" max="37" width="36" customWidth="1"/>
    <x:col min="38" max="41" width="18" customWidth="1"/>
    <x:col min="42" max="42" width="16" customWidth="1"/>
    <x:col min="43" max="43" width="48" hidden="0" customWidth="1"/>
  </x:cols>
  <x:sheetData>
    <x:row r="1" ht="34" customHeight="1">
      <x:c r="A1" s="29" t="s">
        <x:v>845</x:v>
      </x:c>
      <x:c r="B1" s="29" t="s">
        <x:v>177</x:v>
      </x:c>
      <x:c r="C1" s="29" t="s">
        <x:v>22</x:v>
      </x:c>
      <x:c r="D1" s="29" t="s">
        <x:v>178</x:v>
      </x:c>
      <x:c r="E1" s="29" t="s">
        <x:v>179</x:v>
      </x:c>
      <x:c r="F1" s="29" t="s">
        <x:v>180</x:v>
      </x:c>
      <x:c r="G1" s="29" t="s">
        <x:v>846</x:v>
      </x:c>
      <x:c r="H1" s="29" t="s">
        <x:v>847</x:v>
      </x:c>
      <x:c r="I1" s="29" t="s">
        <x:v>848</x:v>
      </x:c>
      <x:c r="J1" s="29" t="s">
        <x:v>849</x:v>
      </x:c>
      <x:c r="K1" s="29" t="s">
        <x:v>850</x:v>
      </x:c>
      <x:c r="L1" s="29" t="s">
        <x:v>851</x:v>
      </x:c>
      <x:c r="M1" s="29" t="s">
        <x:v>852</x:v>
      </x:c>
      <x:c r="N1" s="29" t="s">
        <x:v>187</x:v>
      </x:c>
      <x:c r="O1" s="29" t="s">
        <x:v>853</x:v>
      </x:c>
      <x:c r="P1" s="29" t="s">
        <x:v>854</x:v>
      </x:c>
      <x:c r="Q1" s="29" t="s">
        <x:v>855</x:v>
      </x:c>
      <x:c r="R1" s="29" t="s">
        <x:v>856</x:v>
      </x:c>
      <x:c r="S1" s="29" t="s">
        <x:v>857</x:v>
      </x:c>
      <x:c r="T1" s="29" t="s">
        <x:v>858</x:v>
      </x:c>
      <x:c r="U1" s="29" t="s">
        <x:v>859</x:v>
      </x:c>
      <x:c r="V1" s="29" t="s">
        <x:v>860</x:v>
      </x:c>
      <x:c r="W1" s="29" t="s">
        <x:v>861</x:v>
      </x:c>
      <x:c r="X1" s="29" t="s">
        <x:v>862</x:v>
      </x:c>
      <x:c r="Y1" s="29" t="s">
        <x:v>863</x:v>
      </x:c>
      <x:c r="Z1" s="29" t="s">
        <x:v>864</x:v>
      </x:c>
      <x:c r="AA1" s="29" t="s">
        <x:v>865</x:v>
      </x:c>
      <x:c r="AB1" s="29" t="s">
        <x:v>866</x:v>
      </x:c>
      <x:c r="AC1" s="29" t="str">
        <x:v>Hardware RAS首检（互斥）</x:v>
      </x:c>
      <x:c r="AD1" s="29" t="str">
        <x:v>OS首检（互斥）</x:v>
      </x:c>
      <x:c r="AE1" s="29" t="str">
        <x:v>Application首检（互斥）</x:v>
      </x:c>
      <x:c r="AF1" s="29" t="str">
        <x:v>None首检（互斥）</x:v>
      </x:c>
      <x:c r="AG1" s="29" t="str">
        <x:v>Contained</x:v>
      </x:c>
      <x:c r="AH1" s="29" t="str">
        <x:v>Detected-uncontained</x:v>
      </x:c>
      <x:c r="AI1" s="29" t="str">
        <x:v>RAS-silent Crash</x:v>
      </x:c>
      <x:c r="AJ1" s="29" t="str">
        <x:v>RAS-silent Timeout</x:v>
      </x:c>
      <x:c r="AK1" s="29" t="str">
        <x:v>检测/告警证据</x:v>
      </x:c>
      <x:c r="AL1" s="29" t="str">
        <x:v>硬件RAS检测率(任意时点)</x:v>
      </x:c>
      <x:c r="AM1" s="29" t="str">
        <x:v>检测计数差额（应为0）</x:v>
      </x:c>
      <x:c r="AN1" s="29" t="str">
        <x:v>结局计数差额（应为0）</x:v>
      </x:c>
      <x:c r="AO1" s="29" t="str">
        <x:v>Hardware RAS检测（任意时点）</x:v>
      </x:c>
      <x:c r="AP1" s="29" t="str">
        <x:v>Simulator failure</x:v>
      </x:c>
      <x:c r="AQ1" s="29" t="str">
        <x:v>故障表现形式/子模型</x:v>
      </x:c>
    </x:row>
    <x:row r="2" ht="118.05000305175781" customHeight="1">
      <x:c r="A2" s="6" t="s">
        <x:v>867</x:v>
      </x:c>
      <x:c r="B2" s="6" t="s">
        <x:v>190</x:v>
      </x:c>
      <x:c r="C2" s="6" t="s">
        <x:v>29</x:v>
      </x:c>
      <x:c r="D2" s="6" t="s">
        <x:v>191</x:v>
      </x:c>
      <x:c r="E2" s="6" t="s">
        <x:v>192</x:v>
      </x:c>
      <x:c r="F2" s="6" t="s">
        <x:v>193</x:v>
      </x:c>
      <x:c r="G2" s="6" t="s">
        <x:v>696</x:v>
      </x:c>
      <x:c r="H2" s="6" t="s">
        <x:v>698</x:v>
      </x:c>
      <x:c r="I2" s="6" t="s">
        <x:v>868</x:v>
      </x:c>
      <x:c r="J2" s="6" t="s">
        <x:v>869</x:v>
      </x:c>
      <x:c r="K2" s="6" t="s">
        <x:v>197</x:v>
      </x:c>
      <x:c r="L2" s="6" t="s">
        <x:v>198</x:v>
      </x:c>
      <x:c r="M2" s="6" t="s">
        <x:v>199</x:v>
      </x:c>
      <x:c r="N2" s="6" t="s">
        <x:v>200</x:v>
      </x:c>
      <x:c r="O2" s="6" t="s">
        <x:v>201</x:v>
      </x:c>
      <x:c r="P2" s="9"/>
      <x:c r="Q2" s="9"/>
      <x:c r="R2" s="9"/>
      <x:c r="S2" s="9"/>
      <x:c r="T2" s="9"/>
      <x:c r="U2" s="9"/>
      <x:c r="V2" s="9"/>
      <x:c r="W2" s="9"/>
      <x:c r="X2" s="12" t="str">
        <x:f t="shared" ref="X2:X65" si="0">IF(OR(R2="",R2-AP2&lt;=0),"",AB2/(R2-AP2))</x:f>
      </x:c>
      <x:c r="Y2" s="12" t="str">
        <x:f t="shared" ref="Y2:Y65" si="1">IF(OR(Q2="",Q2=0),"",R2/Q2)</x:f>
      </x:c>
      <x:c r="Z2" s="9" t="s">
        <x:v>870</x:v>
      </x:c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12" t="str">
        <x:f t="shared" ref="AL2:AL65" si="2">IF(OR(R2="",R2-AP2&lt;=0),"",AO2/(R2-AP2))</x:f>
      </x:c>
      <x:c r="AM2" s="11" t="str">
        <x:f t="shared" ref="AM2:AM65" si="3">IF(R2="","",SUM(AC2:AF2)-(R2-AP2))</x:f>
      </x:c>
      <x:c r="AN2" s="11" t="str">
        <x:f t="shared" ref="AN2:AN65" si="4">IF(R2="","",SUM(S2:W2)+AP2-R2)</x:f>
      </x:c>
      <x:c r="AO2" s="9"/>
      <x:c r="AP2" s="9"/>
      <x:c r="AQ2" s="27" t="s">
        <x:v>194</x:v>
      </x:c>
    </x:row>
    <x:row r="3" ht="118.05000305175781" customHeight="1">
      <x:c r="A3" s="6" t="s">
        <x:v>871</x:v>
      </x:c>
      <x:c r="B3" s="6" t="s">
        <x:v>190</x:v>
      </x:c>
      <x:c r="C3" s="6" t="s">
        <x:v>29</x:v>
      </x:c>
      <x:c r="D3" s="6" t="s">
        <x:v>191</x:v>
      </x:c>
      <x:c r="E3" s="6" t="s">
        <x:v>192</x:v>
      </x:c>
      <x:c r="F3" s="6" t="s">
        <x:v>193</x:v>
      </x:c>
      <x:c r="G3" s="6" t="s">
        <x:v>696</x:v>
      </x:c>
      <x:c r="H3" s="6" t="s">
        <x:v>698</x:v>
      </x:c>
      <x:c r="I3" s="6" t="s">
        <x:v>872</x:v>
      </x:c>
      <x:c r="J3" s="6" t="s">
        <x:v>873</x:v>
      </x:c>
      <x:c r="K3" s="6" t="s">
        <x:v>197</x:v>
      </x:c>
      <x:c r="L3" s="6" t="s">
        <x:v>198</x:v>
      </x:c>
      <x:c r="M3" s="6" t="s">
        <x:v>199</x:v>
      </x:c>
      <x:c r="N3" s="6" t="s">
        <x:v>200</x:v>
      </x:c>
      <x:c r="O3" s="6" t="s">
        <x:v>201</x:v>
      </x:c>
      <x:c r="P3" s="9"/>
      <x:c r="Q3" s="9"/>
      <x:c r="R3" s="9"/>
      <x:c r="S3" s="9"/>
      <x:c r="T3" s="9"/>
      <x:c r="U3" s="9"/>
      <x:c r="V3" s="9"/>
      <x:c r="W3" s="9"/>
      <x:c r="X3" s="12" t="str">
        <x:f t="shared" si="0"/>
      </x:c>
      <x:c r="Y3" s="12" t="str">
        <x:f t="shared" si="1"/>
      </x:c>
      <x:c r="Z3" s="9" t="s">
        <x:v>870</x:v>
      </x:c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12" t="str">
        <x:f t="shared" si="2"/>
      </x:c>
      <x:c r="AM3" s="11" t="str">
        <x:f t="shared" si="3"/>
      </x:c>
      <x:c r="AN3" s="11" t="str">
        <x:f t="shared" si="4"/>
      </x:c>
      <x:c r="AO3" s="9"/>
      <x:c r="AP3" s="9"/>
      <x:c r="AQ3" s="27" t="s">
        <x:v>194</x:v>
      </x:c>
    </x:row>
    <x:row r="4" ht="118.05000305175781" customHeight="1">
      <x:c r="A4" s="6" t="s">
        <x:v>874</x:v>
      </x:c>
      <x:c r="B4" s="6" t="s">
        <x:v>190</x:v>
      </x:c>
      <x:c r="C4" s="6" t="s">
        <x:v>29</x:v>
      </x:c>
      <x:c r="D4" s="6" t="s">
        <x:v>191</x:v>
      </x:c>
      <x:c r="E4" s="6" t="s">
        <x:v>192</x:v>
      </x:c>
      <x:c r="F4" s="6" t="s">
        <x:v>193</x:v>
      </x:c>
      <x:c r="G4" s="6" t="s">
        <x:v>702</x:v>
      </x:c>
      <x:c r="H4" s="6" t="s">
        <x:v>704</x:v>
      </x:c>
      <x:c r="I4" s="6" t="s">
        <x:v>868</x:v>
      </x:c>
      <x:c r="J4" s="6" t="s">
        <x:v>869</x:v>
      </x:c>
      <x:c r="K4" s="6" t="s">
        <x:v>197</x:v>
      </x:c>
      <x:c r="L4" s="6" t="s">
        <x:v>198</x:v>
      </x:c>
      <x:c r="M4" s="6" t="s">
        <x:v>199</x:v>
      </x:c>
      <x:c r="N4" s="6" t="s">
        <x:v>200</x:v>
      </x:c>
      <x:c r="O4" s="6" t="s">
        <x:v>201</x:v>
      </x:c>
      <x:c r="P4" s="9"/>
      <x:c r="Q4" s="9"/>
      <x:c r="R4" s="9"/>
      <x:c r="S4" s="9"/>
      <x:c r="T4" s="9"/>
      <x:c r="U4" s="9"/>
      <x:c r="V4" s="9"/>
      <x:c r="W4" s="9"/>
      <x:c r="X4" s="12" t="str">
        <x:f t="shared" si="0"/>
      </x:c>
      <x:c r="Y4" s="12" t="str">
        <x:f t="shared" si="1"/>
      </x:c>
      <x:c r="Z4" s="9" t="s">
        <x:v>870</x:v>
      </x:c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12" t="str">
        <x:f t="shared" si="2"/>
      </x:c>
      <x:c r="AM4" s="11" t="str">
        <x:f t="shared" si="3"/>
      </x:c>
      <x:c r="AN4" s="11" t="str">
        <x:f t="shared" si="4"/>
      </x:c>
      <x:c r="AO4" s="9"/>
      <x:c r="AP4" s="9"/>
      <x:c r="AQ4" s="27" t="s">
        <x:v>194</x:v>
      </x:c>
    </x:row>
    <x:row r="5" ht="118.05000305175781" customHeight="1">
      <x:c r="A5" s="6" t="s">
        <x:v>875</x:v>
      </x:c>
      <x:c r="B5" s="6" t="s">
        <x:v>190</x:v>
      </x:c>
      <x:c r="C5" s="6" t="s">
        <x:v>29</x:v>
      </x:c>
      <x:c r="D5" s="6" t="s">
        <x:v>191</x:v>
      </x:c>
      <x:c r="E5" s="6" t="s">
        <x:v>192</x:v>
      </x:c>
      <x:c r="F5" s="6" t="s">
        <x:v>193</x:v>
      </x:c>
      <x:c r="G5" s="6" t="s">
        <x:v>702</x:v>
      </x:c>
      <x:c r="H5" s="6" t="s">
        <x:v>704</x:v>
      </x:c>
      <x:c r="I5" s="6" t="s">
        <x:v>872</x:v>
      </x:c>
      <x:c r="J5" s="6" t="s">
        <x:v>873</x:v>
      </x:c>
      <x:c r="K5" s="6" t="s">
        <x:v>197</x:v>
      </x:c>
      <x:c r="L5" s="6" t="s">
        <x:v>198</x:v>
      </x:c>
      <x:c r="M5" s="6" t="s">
        <x:v>199</x:v>
      </x:c>
      <x:c r="N5" s="6" t="s">
        <x:v>200</x:v>
      </x:c>
      <x:c r="O5" s="6" t="s">
        <x:v>201</x:v>
      </x:c>
      <x:c r="P5" s="9"/>
      <x:c r="Q5" s="9"/>
      <x:c r="R5" s="9"/>
      <x:c r="S5" s="9"/>
      <x:c r="T5" s="9"/>
      <x:c r="U5" s="9"/>
      <x:c r="V5" s="9"/>
      <x:c r="W5" s="9"/>
      <x:c r="X5" s="12" t="str">
        <x:f t="shared" si="0"/>
      </x:c>
      <x:c r="Y5" s="12" t="str">
        <x:f t="shared" si="1"/>
      </x:c>
      <x:c r="Z5" s="9" t="s">
        <x:v>870</x:v>
      </x:c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12" t="str">
        <x:f t="shared" si="2"/>
      </x:c>
      <x:c r="AM5" s="11" t="str">
        <x:f t="shared" si="3"/>
      </x:c>
      <x:c r="AN5" s="11" t="str">
        <x:f t="shared" si="4"/>
      </x:c>
      <x:c r="AO5" s="9"/>
      <x:c r="AP5" s="9"/>
      <x:c r="AQ5" s="27" t="s">
        <x:v>194</x:v>
      </x:c>
    </x:row>
    <x:row r="6" ht="118.05000305175781" customHeight="1">
      <x:c r="A6" s="6" t="s">
        <x:v>876</x:v>
      </x:c>
      <x:c r="B6" s="6" t="s">
        <x:v>190</x:v>
      </x:c>
      <x:c r="C6" s="6" t="s">
        <x:v>29</x:v>
      </x:c>
      <x:c r="D6" s="6" t="s">
        <x:v>191</x:v>
      </x:c>
      <x:c r="E6" s="6" t="s">
        <x:v>192</x:v>
      </x:c>
      <x:c r="F6" s="6" t="s">
        <x:v>193</x:v>
      </x:c>
      <x:c r="G6" s="6" t="s">
        <x:v>707</x:v>
      </x:c>
      <x:c r="H6" s="6" t="s">
        <x:v>709</x:v>
      </x:c>
      <x:c r="I6" s="6" t="s">
        <x:v>868</x:v>
      </x:c>
      <x:c r="J6" s="6" t="s">
        <x:v>869</x:v>
      </x:c>
      <x:c r="K6" s="6" t="s">
        <x:v>197</x:v>
      </x:c>
      <x:c r="L6" s="6" t="s">
        <x:v>198</x:v>
      </x:c>
      <x:c r="M6" s="6" t="s">
        <x:v>199</x:v>
      </x:c>
      <x:c r="N6" s="6" t="s">
        <x:v>200</x:v>
      </x:c>
      <x:c r="O6" s="6" t="s">
        <x:v>201</x:v>
      </x:c>
      <x:c r="P6" s="9"/>
      <x:c r="Q6" s="9"/>
      <x:c r="R6" s="9"/>
      <x:c r="S6" s="9"/>
      <x:c r="T6" s="9"/>
      <x:c r="U6" s="9"/>
      <x:c r="V6" s="9"/>
      <x:c r="W6" s="9"/>
      <x:c r="X6" s="12" t="str">
        <x:f t="shared" si="0"/>
      </x:c>
      <x:c r="Y6" s="12" t="str">
        <x:f t="shared" si="1"/>
      </x:c>
      <x:c r="Z6" s="9" t="s">
        <x:v>870</x:v>
      </x:c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12" t="str">
        <x:f t="shared" si="2"/>
      </x:c>
      <x:c r="AM6" s="11" t="str">
        <x:f t="shared" si="3"/>
      </x:c>
      <x:c r="AN6" s="11" t="str">
        <x:f t="shared" si="4"/>
      </x:c>
      <x:c r="AO6" s="9"/>
      <x:c r="AP6" s="9"/>
      <x:c r="AQ6" s="27" t="s">
        <x:v>194</x:v>
      </x:c>
    </x:row>
    <x:row r="7" ht="118.05000305175781" customHeight="1">
      <x:c r="A7" s="6" t="s">
        <x:v>877</x:v>
      </x:c>
      <x:c r="B7" s="6" t="s">
        <x:v>190</x:v>
      </x:c>
      <x:c r="C7" s="6" t="s">
        <x:v>29</x:v>
      </x:c>
      <x:c r="D7" s="6" t="s">
        <x:v>191</x:v>
      </x:c>
      <x:c r="E7" s="6" t="s">
        <x:v>192</x:v>
      </x:c>
      <x:c r="F7" s="6" t="s">
        <x:v>193</x:v>
      </x:c>
      <x:c r="G7" s="6" t="s">
        <x:v>707</x:v>
      </x:c>
      <x:c r="H7" s="6" t="s">
        <x:v>709</x:v>
      </x:c>
      <x:c r="I7" s="6" t="s">
        <x:v>872</x:v>
      </x:c>
      <x:c r="J7" s="6" t="s">
        <x:v>873</x:v>
      </x:c>
      <x:c r="K7" s="6" t="s">
        <x:v>197</x:v>
      </x:c>
      <x:c r="L7" s="6" t="s">
        <x:v>198</x:v>
      </x:c>
      <x:c r="M7" s="6" t="s">
        <x:v>199</x:v>
      </x:c>
      <x:c r="N7" s="6" t="s">
        <x:v>200</x:v>
      </x:c>
      <x:c r="O7" s="6" t="s">
        <x:v>201</x:v>
      </x:c>
      <x:c r="P7" s="9"/>
      <x:c r="Q7" s="9"/>
      <x:c r="R7" s="9"/>
      <x:c r="S7" s="9"/>
      <x:c r="T7" s="9"/>
      <x:c r="U7" s="9"/>
      <x:c r="V7" s="9"/>
      <x:c r="W7" s="9"/>
      <x:c r="X7" s="12" t="str">
        <x:f t="shared" si="0"/>
      </x:c>
      <x:c r="Y7" s="12" t="str">
        <x:f t="shared" si="1"/>
      </x:c>
      <x:c r="Z7" s="9" t="s">
        <x:v>870</x:v>
      </x:c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12" t="str">
        <x:f t="shared" si="2"/>
      </x:c>
      <x:c r="AM7" s="11" t="str">
        <x:f t="shared" si="3"/>
      </x:c>
      <x:c r="AN7" s="11" t="str">
        <x:f t="shared" si="4"/>
      </x:c>
      <x:c r="AO7" s="9"/>
      <x:c r="AP7" s="9"/>
      <x:c r="AQ7" s="27" t="s">
        <x:v>194</x:v>
      </x:c>
    </x:row>
    <x:row r="8" ht="118.05000305175781" customHeight="1">
      <x:c r="A8" s="6" t="s">
        <x:v>878</x:v>
      </x:c>
      <x:c r="B8" s="6" t="s">
        <x:v>203</x:v>
      </x:c>
      <x:c r="C8" s="6" t="s">
        <x:v>29</x:v>
      </x:c>
      <x:c r="D8" s="6" t="s">
        <x:v>204</x:v>
      </x:c>
      <x:c r="E8" s="6" t="s">
        <x:v>205</x:v>
      </x:c>
      <x:c r="F8" s="6" t="s">
        <x:v>206</x:v>
      </x:c>
      <x:c r="G8" s="6" t="s">
        <x:v>696</x:v>
      </x:c>
      <x:c r="H8" s="6" t="s">
        <x:v>698</x:v>
      </x:c>
      <x:c r="I8" s="6" t="s">
        <x:v>868</x:v>
      </x:c>
      <x:c r="J8" s="6" t="s">
        <x:v>869</x:v>
      </x:c>
      <x:c r="K8" s="6" t="s">
        <x:v>197</x:v>
      </x:c>
      <x:c r="L8" s="6" t="s">
        <x:v>198</x:v>
      </x:c>
      <x:c r="M8" s="6" t="s">
        <x:v>209</x:v>
      </x:c>
      <x:c r="N8" s="6" t="s">
        <x:v>210</x:v>
      </x:c>
      <x:c r="O8" s="6" t="s">
        <x:v>211</x:v>
      </x:c>
      <x:c r="P8" s="9"/>
      <x:c r="Q8" s="9"/>
      <x:c r="R8" s="9"/>
      <x:c r="S8" s="9"/>
      <x:c r="T8" s="9"/>
      <x:c r="U8" s="9"/>
      <x:c r="V8" s="9"/>
      <x:c r="W8" s="9"/>
      <x:c r="X8" s="12" t="str">
        <x:f t="shared" si="0"/>
      </x:c>
      <x:c r="Y8" s="12" t="str">
        <x:f t="shared" si="1"/>
      </x:c>
      <x:c r="Z8" s="9" t="s">
        <x:v>870</x:v>
      </x:c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12" t="str">
        <x:f t="shared" si="2"/>
      </x:c>
      <x:c r="AM8" s="11" t="str">
        <x:f t="shared" si="3"/>
      </x:c>
      <x:c r="AN8" s="11" t="str">
        <x:f t="shared" si="4"/>
      </x:c>
      <x:c r="AO8" s="9"/>
      <x:c r="AP8" s="9"/>
      <x:c r="AQ8" s="27" t="s">
        <x:v>207</x:v>
      </x:c>
    </x:row>
    <x:row r="9" ht="118.05000305175781" customHeight="1">
      <x:c r="A9" s="6" t="s">
        <x:v>879</x:v>
      </x:c>
      <x:c r="B9" s="6" t="s">
        <x:v>203</x:v>
      </x:c>
      <x:c r="C9" s="6" t="s">
        <x:v>29</x:v>
      </x:c>
      <x:c r="D9" s="6" t="s">
        <x:v>204</x:v>
      </x:c>
      <x:c r="E9" s="6" t="s">
        <x:v>205</x:v>
      </x:c>
      <x:c r="F9" s="6" t="s">
        <x:v>206</x:v>
      </x:c>
      <x:c r="G9" s="6" t="s">
        <x:v>696</x:v>
      </x:c>
      <x:c r="H9" s="6" t="s">
        <x:v>698</x:v>
      </x:c>
      <x:c r="I9" s="6" t="s">
        <x:v>872</x:v>
      </x:c>
      <x:c r="J9" s="6" t="s">
        <x:v>873</x:v>
      </x:c>
      <x:c r="K9" s="6" t="s">
        <x:v>197</x:v>
      </x:c>
      <x:c r="L9" s="6" t="s">
        <x:v>198</x:v>
      </x:c>
      <x:c r="M9" s="6" t="s">
        <x:v>209</x:v>
      </x:c>
      <x:c r="N9" s="6" t="s">
        <x:v>210</x:v>
      </x:c>
      <x:c r="O9" s="6" t="s">
        <x:v>211</x:v>
      </x:c>
      <x:c r="P9" s="9"/>
      <x:c r="Q9" s="9"/>
      <x:c r="R9" s="9"/>
      <x:c r="S9" s="9"/>
      <x:c r="T9" s="9"/>
      <x:c r="U9" s="9"/>
      <x:c r="V9" s="9"/>
      <x:c r="W9" s="9"/>
      <x:c r="X9" s="12" t="str">
        <x:f t="shared" si="0"/>
      </x:c>
      <x:c r="Y9" s="12" t="str">
        <x:f t="shared" si="1"/>
      </x:c>
      <x:c r="Z9" s="9" t="s">
        <x:v>870</x:v>
      </x:c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12" t="str">
        <x:f t="shared" si="2"/>
      </x:c>
      <x:c r="AM9" s="11" t="str">
        <x:f t="shared" si="3"/>
      </x:c>
      <x:c r="AN9" s="11" t="str">
        <x:f t="shared" si="4"/>
      </x:c>
      <x:c r="AO9" s="9"/>
      <x:c r="AP9" s="9"/>
      <x:c r="AQ9" s="27" t="s">
        <x:v>207</x:v>
      </x:c>
    </x:row>
    <x:row r="10" ht="118.05000305175781" customHeight="1">
      <x:c r="A10" s="6" t="s">
        <x:v>880</x:v>
      </x:c>
      <x:c r="B10" s="6" t="s">
        <x:v>203</x:v>
      </x:c>
      <x:c r="C10" s="6" t="s">
        <x:v>29</x:v>
      </x:c>
      <x:c r="D10" s="6" t="s">
        <x:v>204</x:v>
      </x:c>
      <x:c r="E10" s="6" t="s">
        <x:v>205</x:v>
      </x:c>
      <x:c r="F10" s="6" t="s">
        <x:v>206</x:v>
      </x:c>
      <x:c r="G10" s="6" t="s">
        <x:v>707</x:v>
      </x:c>
      <x:c r="H10" s="6" t="s">
        <x:v>709</x:v>
      </x:c>
      <x:c r="I10" s="6" t="s">
        <x:v>868</x:v>
      </x:c>
      <x:c r="J10" s="6" t="s">
        <x:v>869</x:v>
      </x:c>
      <x:c r="K10" s="6" t="s">
        <x:v>197</x:v>
      </x:c>
      <x:c r="L10" s="6" t="s">
        <x:v>198</x:v>
      </x:c>
      <x:c r="M10" s="6" t="s">
        <x:v>209</x:v>
      </x:c>
      <x:c r="N10" s="6" t="s">
        <x:v>210</x:v>
      </x:c>
      <x:c r="O10" s="6" t="s">
        <x:v>211</x:v>
      </x:c>
      <x:c r="P10" s="9"/>
      <x:c r="Q10" s="9"/>
      <x:c r="R10" s="9"/>
      <x:c r="S10" s="9"/>
      <x:c r="T10" s="9"/>
      <x:c r="U10" s="9"/>
      <x:c r="V10" s="9"/>
      <x:c r="W10" s="9"/>
      <x:c r="X10" s="12" t="str">
        <x:f t="shared" si="0"/>
      </x:c>
      <x:c r="Y10" s="12" t="str">
        <x:f t="shared" si="1"/>
      </x:c>
      <x:c r="Z10" s="9" t="s">
        <x:v>870</x:v>
      </x:c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12" t="str">
        <x:f t="shared" si="2"/>
      </x:c>
      <x:c r="AM10" s="11" t="str">
        <x:f t="shared" si="3"/>
      </x:c>
      <x:c r="AN10" s="11" t="str">
        <x:f t="shared" si="4"/>
      </x:c>
      <x:c r="AO10" s="9"/>
      <x:c r="AP10" s="9"/>
      <x:c r="AQ10" s="27" t="s">
        <x:v>207</x:v>
      </x:c>
    </x:row>
    <x:row r="11" ht="118.05000305175781" customHeight="1">
      <x:c r="A11" s="6" t="s">
        <x:v>881</x:v>
      </x:c>
      <x:c r="B11" s="6" t="s">
        <x:v>203</x:v>
      </x:c>
      <x:c r="C11" s="6" t="s">
        <x:v>29</x:v>
      </x:c>
      <x:c r="D11" s="6" t="s">
        <x:v>204</x:v>
      </x:c>
      <x:c r="E11" s="6" t="s">
        <x:v>205</x:v>
      </x:c>
      <x:c r="F11" s="6" t="s">
        <x:v>206</x:v>
      </x:c>
      <x:c r="G11" s="6" t="s">
        <x:v>707</x:v>
      </x:c>
      <x:c r="H11" s="6" t="s">
        <x:v>709</x:v>
      </x:c>
      <x:c r="I11" s="6" t="s">
        <x:v>872</x:v>
      </x:c>
      <x:c r="J11" s="6" t="s">
        <x:v>873</x:v>
      </x:c>
      <x:c r="K11" s="6" t="s">
        <x:v>197</x:v>
      </x:c>
      <x:c r="L11" s="6" t="s">
        <x:v>198</x:v>
      </x:c>
      <x:c r="M11" s="6" t="s">
        <x:v>209</x:v>
      </x:c>
      <x:c r="N11" s="6" t="s">
        <x:v>210</x:v>
      </x:c>
      <x:c r="O11" s="6" t="s">
        <x:v>211</x:v>
      </x:c>
      <x:c r="P11" s="9"/>
      <x:c r="Q11" s="9"/>
      <x:c r="R11" s="9"/>
      <x:c r="S11" s="9"/>
      <x:c r="T11" s="9"/>
      <x:c r="U11" s="9"/>
      <x:c r="V11" s="9"/>
      <x:c r="W11" s="9"/>
      <x:c r="X11" s="12" t="str">
        <x:f t="shared" si="0"/>
      </x:c>
      <x:c r="Y11" s="12" t="str">
        <x:f t="shared" si="1"/>
      </x:c>
      <x:c r="Z11" s="9" t="s">
        <x:v>870</x:v>
      </x:c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12" t="str">
        <x:f t="shared" si="2"/>
      </x:c>
      <x:c r="AM11" s="11" t="str">
        <x:f t="shared" si="3"/>
      </x:c>
      <x:c r="AN11" s="11" t="str">
        <x:f t="shared" si="4"/>
      </x:c>
      <x:c r="AO11" s="9"/>
      <x:c r="AP11" s="9"/>
      <x:c r="AQ11" s="27" t="s">
        <x:v>207</x:v>
      </x:c>
    </x:row>
    <x:row r="12" ht="118.05000305175781" customHeight="1">
      <x:c r="A12" s="6" t="s">
        <x:v>882</x:v>
      </x:c>
      <x:c r="B12" s="6" t="s">
        <x:v>212</x:v>
      </x:c>
      <x:c r="C12" s="6" t="s">
        <x:v>29</x:v>
      </x:c>
      <x:c r="D12" s="6" t="s">
        <x:v>213</x:v>
      </x:c>
      <x:c r="E12" s="6" t="s">
        <x:v>214</x:v>
      </x:c>
      <x:c r="F12" s="6" t="s">
        <x:v>215</x:v>
      </x:c>
      <x:c r="G12" s="6" t="s">
        <x:v>696</x:v>
      </x:c>
      <x:c r="H12" s="6" t="s">
        <x:v>698</x:v>
      </x:c>
      <x:c r="I12" s="6" t="s">
        <x:v>868</x:v>
      </x:c>
      <x:c r="J12" s="6" t="s">
        <x:v>869</x:v>
      </x:c>
      <x:c r="K12" s="6" t="s">
        <x:v>218</x:v>
      </x:c>
      <x:c r="L12" s="6" t="s">
        <x:v>198</x:v>
      </x:c>
      <x:c r="M12" s="6" t="s">
        <x:v>219</x:v>
      </x:c>
      <x:c r="N12" s="6" t="s">
        <x:v>220</x:v>
      </x:c>
      <x:c r="O12" s="6" t="s">
        <x:v>221</x:v>
      </x:c>
      <x:c r="P12" s="9"/>
      <x:c r="Q12" s="9"/>
      <x:c r="R12" s="9"/>
      <x:c r="S12" s="9"/>
      <x:c r="T12" s="9"/>
      <x:c r="U12" s="9"/>
      <x:c r="V12" s="9"/>
      <x:c r="W12" s="9"/>
      <x:c r="X12" s="12" t="str">
        <x:f t="shared" si="0"/>
      </x:c>
      <x:c r="Y12" s="12" t="str">
        <x:f t="shared" si="1"/>
      </x:c>
      <x:c r="Z12" s="9" t="s">
        <x:v>870</x:v>
      </x:c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12" t="str">
        <x:f t="shared" si="2"/>
      </x:c>
      <x:c r="AM12" s="11" t="str">
        <x:f t="shared" si="3"/>
      </x:c>
      <x:c r="AN12" s="11" t="str">
        <x:f t="shared" si="4"/>
      </x:c>
      <x:c r="AO12" s="9"/>
      <x:c r="AP12" s="9"/>
      <x:c r="AQ12" s="27" t="s">
        <x:v>216</x:v>
      </x:c>
    </x:row>
    <x:row r="13" ht="118.05000305175781" customHeight="1">
      <x:c r="A13" s="6" t="s">
        <x:v>883</x:v>
      </x:c>
      <x:c r="B13" s="6" t="s">
        <x:v>212</x:v>
      </x:c>
      <x:c r="C13" s="6" t="s">
        <x:v>29</x:v>
      </x:c>
      <x:c r="D13" s="6" t="s">
        <x:v>213</x:v>
      </x:c>
      <x:c r="E13" s="6" t="s">
        <x:v>214</x:v>
      </x:c>
      <x:c r="F13" s="6" t="s">
        <x:v>215</x:v>
      </x:c>
      <x:c r="G13" s="6" t="s">
        <x:v>696</x:v>
      </x:c>
      <x:c r="H13" s="6" t="s">
        <x:v>698</x:v>
      </x:c>
      <x:c r="I13" s="6" t="s">
        <x:v>872</x:v>
      </x:c>
      <x:c r="J13" s="6" t="s">
        <x:v>873</x:v>
      </x:c>
      <x:c r="K13" s="6" t="s">
        <x:v>218</x:v>
      </x:c>
      <x:c r="L13" s="6" t="s">
        <x:v>198</x:v>
      </x:c>
      <x:c r="M13" s="6" t="s">
        <x:v>219</x:v>
      </x:c>
      <x:c r="N13" s="6" t="s">
        <x:v>220</x:v>
      </x:c>
      <x:c r="O13" s="6" t="s">
        <x:v>221</x:v>
      </x:c>
      <x:c r="P13" s="9"/>
      <x:c r="Q13" s="9"/>
      <x:c r="R13" s="9"/>
      <x:c r="S13" s="9"/>
      <x:c r="T13" s="9"/>
      <x:c r="U13" s="9"/>
      <x:c r="V13" s="9"/>
      <x:c r="W13" s="9"/>
      <x:c r="X13" s="12" t="str">
        <x:f t="shared" si="0"/>
      </x:c>
      <x:c r="Y13" s="12" t="str">
        <x:f t="shared" si="1"/>
      </x:c>
      <x:c r="Z13" s="9" t="s">
        <x:v>870</x:v>
      </x:c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12" t="str">
        <x:f t="shared" si="2"/>
      </x:c>
      <x:c r="AM13" s="11" t="str">
        <x:f t="shared" si="3"/>
      </x:c>
      <x:c r="AN13" s="11" t="str">
        <x:f t="shared" si="4"/>
      </x:c>
      <x:c r="AO13" s="9"/>
      <x:c r="AP13" s="9"/>
      <x:c r="AQ13" s="27" t="s">
        <x:v>216</x:v>
      </x:c>
    </x:row>
    <x:row r="14" ht="118.05000305175781" customHeight="1">
      <x:c r="A14" s="6" t="s">
        <x:v>884</x:v>
      </x:c>
      <x:c r="B14" s="6" t="s">
        <x:v>212</x:v>
      </x:c>
      <x:c r="C14" s="6" t="s">
        <x:v>29</x:v>
      </x:c>
      <x:c r="D14" s="6" t="s">
        <x:v>213</x:v>
      </x:c>
      <x:c r="E14" s="6" t="s">
        <x:v>214</x:v>
      </x:c>
      <x:c r="F14" s="6" t="s">
        <x:v>215</x:v>
      </x:c>
      <x:c r="G14" s="6" t="s">
        <x:v>707</x:v>
      </x:c>
      <x:c r="H14" s="6" t="s">
        <x:v>709</x:v>
      </x:c>
      <x:c r="I14" s="6" t="s">
        <x:v>868</x:v>
      </x:c>
      <x:c r="J14" s="6" t="s">
        <x:v>869</x:v>
      </x:c>
      <x:c r="K14" s="6" t="s">
        <x:v>218</x:v>
      </x:c>
      <x:c r="L14" s="6" t="s">
        <x:v>198</x:v>
      </x:c>
      <x:c r="M14" s="6" t="s">
        <x:v>219</x:v>
      </x:c>
      <x:c r="N14" s="6" t="s">
        <x:v>220</x:v>
      </x:c>
      <x:c r="O14" s="6" t="s">
        <x:v>221</x:v>
      </x:c>
      <x:c r="P14" s="9"/>
      <x:c r="Q14" s="9"/>
      <x:c r="R14" s="9"/>
      <x:c r="S14" s="9"/>
      <x:c r="T14" s="9"/>
      <x:c r="U14" s="9"/>
      <x:c r="V14" s="9"/>
      <x:c r="W14" s="9"/>
      <x:c r="X14" s="12" t="str">
        <x:f t="shared" si="0"/>
      </x:c>
      <x:c r="Y14" s="12" t="str">
        <x:f t="shared" si="1"/>
      </x:c>
      <x:c r="Z14" s="9" t="s">
        <x:v>870</x:v>
      </x:c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12" t="str">
        <x:f t="shared" si="2"/>
      </x:c>
      <x:c r="AM14" s="11" t="str">
        <x:f t="shared" si="3"/>
      </x:c>
      <x:c r="AN14" s="11" t="str">
        <x:f t="shared" si="4"/>
      </x:c>
      <x:c r="AO14" s="9"/>
      <x:c r="AP14" s="9"/>
      <x:c r="AQ14" s="27" t="s">
        <x:v>216</x:v>
      </x:c>
    </x:row>
    <x:row r="15" ht="118.05000305175781" customHeight="1">
      <x:c r="A15" s="6" t="s">
        <x:v>885</x:v>
      </x:c>
      <x:c r="B15" s="6" t="s">
        <x:v>212</x:v>
      </x:c>
      <x:c r="C15" s="6" t="s">
        <x:v>29</x:v>
      </x:c>
      <x:c r="D15" s="6" t="s">
        <x:v>213</x:v>
      </x:c>
      <x:c r="E15" s="6" t="s">
        <x:v>214</x:v>
      </x:c>
      <x:c r="F15" s="6" t="s">
        <x:v>215</x:v>
      </x:c>
      <x:c r="G15" s="6" t="s">
        <x:v>707</x:v>
      </x:c>
      <x:c r="H15" s="6" t="s">
        <x:v>709</x:v>
      </x:c>
      <x:c r="I15" s="6" t="s">
        <x:v>872</x:v>
      </x:c>
      <x:c r="J15" s="6" t="s">
        <x:v>873</x:v>
      </x:c>
      <x:c r="K15" s="6" t="s">
        <x:v>218</x:v>
      </x:c>
      <x:c r="L15" s="6" t="s">
        <x:v>198</x:v>
      </x:c>
      <x:c r="M15" s="6" t="s">
        <x:v>219</x:v>
      </x:c>
      <x:c r="N15" s="6" t="s">
        <x:v>220</x:v>
      </x:c>
      <x:c r="O15" s="6" t="s">
        <x:v>221</x:v>
      </x:c>
      <x:c r="P15" s="9"/>
      <x:c r="Q15" s="9"/>
      <x:c r="R15" s="9"/>
      <x:c r="S15" s="9"/>
      <x:c r="T15" s="9"/>
      <x:c r="U15" s="9"/>
      <x:c r="V15" s="9"/>
      <x:c r="W15" s="9"/>
      <x:c r="X15" s="12" t="str">
        <x:f t="shared" si="0"/>
      </x:c>
      <x:c r="Y15" s="12" t="str">
        <x:f t="shared" si="1"/>
      </x:c>
      <x:c r="Z15" s="9" t="s">
        <x:v>870</x:v>
      </x:c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12" t="str">
        <x:f t="shared" si="2"/>
      </x:c>
      <x:c r="AM15" s="11" t="str">
        <x:f t="shared" si="3"/>
      </x:c>
      <x:c r="AN15" s="11" t="str">
        <x:f t="shared" si="4"/>
      </x:c>
      <x:c r="AO15" s="9"/>
      <x:c r="AP15" s="9"/>
      <x:c r="AQ15" s="27" t="s">
        <x:v>216</x:v>
      </x:c>
    </x:row>
    <x:row r="16" ht="118.05000305175781" customHeight="1">
      <x:c r="A16" s="6" t="s">
        <x:v>886</x:v>
      </x:c>
      <x:c r="B16" s="6" t="s">
        <x:v>212</x:v>
      </x:c>
      <x:c r="C16" s="6" t="s">
        <x:v>29</x:v>
      </x:c>
      <x:c r="D16" s="6" t="s">
        <x:v>213</x:v>
      </x:c>
      <x:c r="E16" s="6" t="s">
        <x:v>214</x:v>
      </x:c>
      <x:c r="F16" s="6" t="s">
        <x:v>215</x:v>
      </x:c>
      <x:c r="G16" s="6" t="s">
        <x:v>724</x:v>
      </x:c>
      <x:c r="H16" s="6" t="s">
        <x:v>726</x:v>
      </x:c>
      <x:c r="I16" s="6" t="s">
        <x:v>868</x:v>
      </x:c>
      <x:c r="J16" s="6" t="s">
        <x:v>869</x:v>
      </x:c>
      <x:c r="K16" s="6" t="s">
        <x:v>218</x:v>
      </x:c>
      <x:c r="L16" s="6" t="s">
        <x:v>198</x:v>
      </x:c>
      <x:c r="M16" s="6" t="s">
        <x:v>219</x:v>
      </x:c>
      <x:c r="N16" s="6" t="s">
        <x:v>220</x:v>
      </x:c>
      <x:c r="O16" s="6" t="s">
        <x:v>221</x:v>
      </x:c>
      <x:c r="P16" s="9"/>
      <x:c r="Q16" s="9"/>
      <x:c r="R16" s="9"/>
      <x:c r="S16" s="9"/>
      <x:c r="T16" s="9"/>
      <x:c r="U16" s="9"/>
      <x:c r="V16" s="9"/>
      <x:c r="W16" s="9"/>
      <x:c r="X16" s="12" t="str">
        <x:f t="shared" si="0"/>
      </x:c>
      <x:c r="Y16" s="12" t="str">
        <x:f t="shared" si="1"/>
      </x:c>
      <x:c r="Z16" s="9" t="s">
        <x:v>870</x:v>
      </x:c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12" t="str">
        <x:f t="shared" si="2"/>
      </x:c>
      <x:c r="AM16" s="11" t="str">
        <x:f t="shared" si="3"/>
      </x:c>
      <x:c r="AN16" s="11" t="str">
        <x:f t="shared" si="4"/>
      </x:c>
      <x:c r="AO16" s="9"/>
      <x:c r="AP16" s="9"/>
      <x:c r="AQ16" s="27" t="s">
        <x:v>216</x:v>
      </x:c>
    </x:row>
    <x:row r="17" ht="118.05000305175781" customHeight="1">
      <x:c r="A17" s="6" t="s">
        <x:v>887</x:v>
      </x:c>
      <x:c r="B17" s="6" t="s">
        <x:v>212</x:v>
      </x:c>
      <x:c r="C17" s="6" t="s">
        <x:v>29</x:v>
      </x:c>
      <x:c r="D17" s="6" t="s">
        <x:v>213</x:v>
      </x:c>
      <x:c r="E17" s="6" t="s">
        <x:v>214</x:v>
      </x:c>
      <x:c r="F17" s="6" t="s">
        <x:v>215</x:v>
      </x:c>
      <x:c r="G17" s="6" t="s">
        <x:v>724</x:v>
      </x:c>
      <x:c r="H17" s="6" t="s">
        <x:v>726</x:v>
      </x:c>
      <x:c r="I17" s="6" t="s">
        <x:v>872</x:v>
      </x:c>
      <x:c r="J17" s="6" t="s">
        <x:v>873</x:v>
      </x:c>
      <x:c r="K17" s="6" t="s">
        <x:v>218</x:v>
      </x:c>
      <x:c r="L17" s="6" t="s">
        <x:v>198</x:v>
      </x:c>
      <x:c r="M17" s="6" t="s">
        <x:v>219</x:v>
      </x:c>
      <x:c r="N17" s="6" t="s">
        <x:v>220</x:v>
      </x:c>
      <x:c r="O17" s="6" t="s">
        <x:v>221</x:v>
      </x:c>
      <x:c r="P17" s="9"/>
      <x:c r="Q17" s="9"/>
      <x:c r="R17" s="9"/>
      <x:c r="S17" s="9"/>
      <x:c r="T17" s="9"/>
      <x:c r="U17" s="9"/>
      <x:c r="V17" s="9"/>
      <x:c r="W17" s="9"/>
      <x:c r="X17" s="12" t="str">
        <x:f t="shared" si="0"/>
      </x:c>
      <x:c r="Y17" s="12" t="str">
        <x:f t="shared" si="1"/>
      </x:c>
      <x:c r="Z17" s="9" t="s">
        <x:v>870</x:v>
      </x:c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12" t="str">
        <x:f t="shared" si="2"/>
      </x:c>
      <x:c r="AM17" s="11" t="str">
        <x:f t="shared" si="3"/>
      </x:c>
      <x:c r="AN17" s="11" t="str">
        <x:f t="shared" si="4"/>
      </x:c>
      <x:c r="AO17" s="9"/>
      <x:c r="AP17" s="9"/>
      <x:c r="AQ17" s="27" t="s">
        <x:v>216</x:v>
      </x:c>
    </x:row>
    <x:row r="18" ht="118.05000305175781" customHeight="1">
      <x:c r="A18" s="6" t="s">
        <x:v>888</x:v>
      </x:c>
      <x:c r="B18" s="6" t="s">
        <x:v>222</x:v>
      </x:c>
      <x:c r="C18" s="6" t="s">
        <x:v>29</x:v>
      </x:c>
      <x:c r="D18" s="6" t="s">
        <x:v>223</x:v>
      </x:c>
      <x:c r="E18" s="6" t="s">
        <x:v>214</x:v>
      </x:c>
      <x:c r="F18" s="6" t="s">
        <x:v>224</x:v>
      </x:c>
      <x:c r="G18" s="6" t="s">
        <x:v>696</x:v>
      </x:c>
      <x:c r="H18" s="6" t="s">
        <x:v>698</x:v>
      </x:c>
      <x:c r="I18" s="6" t="s">
        <x:v>868</x:v>
      </x:c>
      <x:c r="J18" s="6" t="s">
        <x:v>869</x:v>
      </x:c>
      <x:c r="K18" s="6" t="s">
        <x:v>227</x:v>
      </x:c>
      <x:c r="L18" s="6" t="s">
        <x:v>198</x:v>
      </x:c>
      <x:c r="M18" s="6" t="s">
        <x:v>228</x:v>
      </x:c>
      <x:c r="N18" s="6" t="s">
        <x:v>229</x:v>
      </x:c>
      <x:c r="O18" s="6" t="s">
        <x:v>230</x:v>
      </x:c>
      <x:c r="P18" s="9"/>
      <x:c r="Q18" s="9"/>
      <x:c r="R18" s="9"/>
      <x:c r="S18" s="9"/>
      <x:c r="T18" s="9"/>
      <x:c r="U18" s="9"/>
      <x:c r="V18" s="9"/>
      <x:c r="W18" s="9"/>
      <x:c r="X18" s="12" t="str">
        <x:f t="shared" si="0"/>
      </x:c>
      <x:c r="Y18" s="12" t="str">
        <x:f t="shared" si="1"/>
      </x:c>
      <x:c r="Z18" s="9" t="s">
        <x:v>870</x:v>
      </x:c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12" t="str">
        <x:f t="shared" si="2"/>
      </x:c>
      <x:c r="AM18" s="11" t="str">
        <x:f t="shared" si="3"/>
      </x:c>
      <x:c r="AN18" s="11" t="str">
        <x:f t="shared" si="4"/>
      </x:c>
      <x:c r="AO18" s="9"/>
      <x:c r="AP18" s="9"/>
      <x:c r="AQ18" s="27" t="s">
        <x:v>225</x:v>
      </x:c>
    </x:row>
    <x:row r="19" ht="118.05000305175781" customHeight="1">
      <x:c r="A19" s="6" t="s">
        <x:v>889</x:v>
      </x:c>
      <x:c r="B19" s="6" t="s">
        <x:v>222</x:v>
      </x:c>
      <x:c r="C19" s="6" t="s">
        <x:v>29</x:v>
      </x:c>
      <x:c r="D19" s="6" t="s">
        <x:v>223</x:v>
      </x:c>
      <x:c r="E19" s="6" t="s">
        <x:v>214</x:v>
      </x:c>
      <x:c r="F19" s="6" t="s">
        <x:v>224</x:v>
      </x:c>
      <x:c r="G19" s="6" t="s">
        <x:v>696</x:v>
      </x:c>
      <x:c r="H19" s="6" t="s">
        <x:v>698</x:v>
      </x:c>
      <x:c r="I19" s="6" t="s">
        <x:v>890</x:v>
      </x:c>
      <x:c r="J19" s="6" t="s">
        <x:v>891</x:v>
      </x:c>
      <x:c r="K19" s="6" t="s">
        <x:v>227</x:v>
      </x:c>
      <x:c r="L19" s="6" t="s">
        <x:v>198</x:v>
      </x:c>
      <x:c r="M19" s="6" t="s">
        <x:v>228</x:v>
      </x:c>
      <x:c r="N19" s="6" t="s">
        <x:v>229</x:v>
      </x:c>
      <x:c r="O19" s="6" t="s">
        <x:v>230</x:v>
      </x:c>
      <x:c r="P19" s="9"/>
      <x:c r="Q19" s="9"/>
      <x:c r="R19" s="9"/>
      <x:c r="S19" s="9"/>
      <x:c r="T19" s="9"/>
      <x:c r="U19" s="9"/>
      <x:c r="V19" s="9"/>
      <x:c r="W19" s="9"/>
      <x:c r="X19" s="12" t="str">
        <x:f t="shared" si="0"/>
      </x:c>
      <x:c r="Y19" s="12" t="str">
        <x:f t="shared" si="1"/>
      </x:c>
      <x:c r="Z19" s="9" t="s">
        <x:v>870</x:v>
      </x:c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12" t="str">
        <x:f t="shared" si="2"/>
      </x:c>
      <x:c r="AM19" s="11" t="str">
        <x:f t="shared" si="3"/>
      </x:c>
      <x:c r="AN19" s="11" t="str">
        <x:f t="shared" si="4"/>
      </x:c>
      <x:c r="AO19" s="9"/>
      <x:c r="AP19" s="9"/>
      <x:c r="AQ19" s="27" t="s">
        <x:v>225</x:v>
      </x:c>
    </x:row>
    <x:row r="20" ht="118.05000305175781" customHeight="1">
      <x:c r="A20" s="6" t="s">
        <x:v>892</x:v>
      </x:c>
      <x:c r="B20" s="6" t="s">
        <x:v>222</x:v>
      </x:c>
      <x:c r="C20" s="6" t="s">
        <x:v>29</x:v>
      </x:c>
      <x:c r="D20" s="6" t="s">
        <x:v>223</x:v>
      </x:c>
      <x:c r="E20" s="6" t="s">
        <x:v>214</x:v>
      </x:c>
      <x:c r="F20" s="6" t="s">
        <x:v>224</x:v>
      </x:c>
      <x:c r="G20" s="6" t="s">
        <x:v>707</x:v>
      </x:c>
      <x:c r="H20" s="6" t="s">
        <x:v>709</x:v>
      </x:c>
      <x:c r="I20" s="6" t="s">
        <x:v>868</x:v>
      </x:c>
      <x:c r="J20" s="6" t="s">
        <x:v>869</x:v>
      </x:c>
      <x:c r="K20" s="6" t="s">
        <x:v>227</x:v>
      </x:c>
      <x:c r="L20" s="6" t="s">
        <x:v>198</x:v>
      </x:c>
      <x:c r="M20" s="6" t="s">
        <x:v>228</x:v>
      </x:c>
      <x:c r="N20" s="6" t="s">
        <x:v>229</x:v>
      </x:c>
      <x:c r="O20" s="6" t="s">
        <x:v>230</x:v>
      </x:c>
      <x:c r="P20" s="9"/>
      <x:c r="Q20" s="9"/>
      <x:c r="R20" s="9"/>
      <x:c r="S20" s="9"/>
      <x:c r="T20" s="9"/>
      <x:c r="U20" s="9"/>
      <x:c r="V20" s="9"/>
      <x:c r="W20" s="9"/>
      <x:c r="X20" s="12" t="str">
        <x:f t="shared" si="0"/>
      </x:c>
      <x:c r="Y20" s="12" t="str">
        <x:f t="shared" si="1"/>
      </x:c>
      <x:c r="Z20" s="9" t="s">
        <x:v>870</x:v>
      </x:c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12" t="str">
        <x:f t="shared" si="2"/>
      </x:c>
      <x:c r="AM20" s="11" t="str">
        <x:f t="shared" si="3"/>
      </x:c>
      <x:c r="AN20" s="11" t="str">
        <x:f t="shared" si="4"/>
      </x:c>
      <x:c r="AO20" s="9"/>
      <x:c r="AP20" s="9"/>
      <x:c r="AQ20" s="27" t="s">
        <x:v>225</x:v>
      </x:c>
    </x:row>
    <x:row r="21" ht="118.05000305175781" customHeight="1">
      <x:c r="A21" s="6" t="s">
        <x:v>893</x:v>
      </x:c>
      <x:c r="B21" s="6" t="s">
        <x:v>222</x:v>
      </x:c>
      <x:c r="C21" s="6" t="s">
        <x:v>29</x:v>
      </x:c>
      <x:c r="D21" s="6" t="s">
        <x:v>223</x:v>
      </x:c>
      <x:c r="E21" s="6" t="s">
        <x:v>214</x:v>
      </x:c>
      <x:c r="F21" s="6" t="s">
        <x:v>224</x:v>
      </x:c>
      <x:c r="G21" s="6" t="s">
        <x:v>707</x:v>
      </x:c>
      <x:c r="H21" s="6" t="s">
        <x:v>709</x:v>
      </x:c>
      <x:c r="I21" s="6" t="s">
        <x:v>890</x:v>
      </x:c>
      <x:c r="J21" s="6" t="s">
        <x:v>891</x:v>
      </x:c>
      <x:c r="K21" s="6" t="s">
        <x:v>227</x:v>
      </x:c>
      <x:c r="L21" s="6" t="s">
        <x:v>198</x:v>
      </x:c>
      <x:c r="M21" s="6" t="s">
        <x:v>228</x:v>
      </x:c>
      <x:c r="N21" s="6" t="s">
        <x:v>229</x:v>
      </x:c>
      <x:c r="O21" s="6" t="s">
        <x:v>230</x:v>
      </x:c>
      <x:c r="P21" s="9"/>
      <x:c r="Q21" s="9"/>
      <x:c r="R21" s="9"/>
      <x:c r="S21" s="9"/>
      <x:c r="T21" s="9"/>
      <x:c r="U21" s="9"/>
      <x:c r="V21" s="9"/>
      <x:c r="W21" s="9"/>
      <x:c r="X21" s="12" t="str">
        <x:f t="shared" si="0"/>
      </x:c>
      <x:c r="Y21" s="12" t="str">
        <x:f t="shared" si="1"/>
      </x:c>
      <x:c r="Z21" s="9" t="s">
        <x:v>870</x:v>
      </x:c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12" t="str">
        <x:f t="shared" si="2"/>
      </x:c>
      <x:c r="AM21" s="11" t="str">
        <x:f t="shared" si="3"/>
      </x:c>
      <x:c r="AN21" s="11" t="str">
        <x:f t="shared" si="4"/>
      </x:c>
      <x:c r="AO21" s="9"/>
      <x:c r="AP21" s="9"/>
      <x:c r="AQ21" s="27" t="s">
        <x:v>225</x:v>
      </x:c>
    </x:row>
    <x:row r="22" ht="118.05000305175781" customHeight="1">
      <x:c r="A22" s="6" t="s">
        <x:v>894</x:v>
      </x:c>
      <x:c r="B22" s="6" t="s">
        <x:v>222</x:v>
      </x:c>
      <x:c r="C22" s="6" t="s">
        <x:v>29</x:v>
      </x:c>
      <x:c r="D22" s="6" t="s">
        <x:v>223</x:v>
      </x:c>
      <x:c r="E22" s="6" t="s">
        <x:v>214</x:v>
      </x:c>
      <x:c r="F22" s="6" t="s">
        <x:v>224</x:v>
      </x:c>
      <x:c r="G22" s="6" t="s">
        <x:v>724</x:v>
      </x:c>
      <x:c r="H22" s="6" t="s">
        <x:v>726</x:v>
      </x:c>
      <x:c r="I22" s="6" t="s">
        <x:v>868</x:v>
      </x:c>
      <x:c r="J22" s="6" t="s">
        <x:v>869</x:v>
      </x:c>
      <x:c r="K22" s="6" t="s">
        <x:v>227</x:v>
      </x:c>
      <x:c r="L22" s="6" t="s">
        <x:v>198</x:v>
      </x:c>
      <x:c r="M22" s="6" t="s">
        <x:v>228</x:v>
      </x:c>
      <x:c r="N22" s="6" t="s">
        <x:v>229</x:v>
      </x:c>
      <x:c r="O22" s="6" t="s">
        <x:v>230</x:v>
      </x:c>
      <x:c r="P22" s="9"/>
      <x:c r="Q22" s="9"/>
      <x:c r="R22" s="9"/>
      <x:c r="S22" s="9"/>
      <x:c r="T22" s="9"/>
      <x:c r="U22" s="9"/>
      <x:c r="V22" s="9"/>
      <x:c r="W22" s="9"/>
      <x:c r="X22" s="12" t="str">
        <x:f t="shared" si="0"/>
      </x:c>
      <x:c r="Y22" s="12" t="str">
        <x:f t="shared" si="1"/>
      </x:c>
      <x:c r="Z22" s="9" t="s">
        <x:v>870</x:v>
      </x:c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12" t="str">
        <x:f t="shared" si="2"/>
      </x:c>
      <x:c r="AM22" s="11" t="str">
        <x:f t="shared" si="3"/>
      </x:c>
      <x:c r="AN22" s="11" t="str">
        <x:f t="shared" si="4"/>
      </x:c>
      <x:c r="AO22" s="9"/>
      <x:c r="AP22" s="9"/>
      <x:c r="AQ22" s="27" t="s">
        <x:v>225</x:v>
      </x:c>
    </x:row>
    <x:row r="23" ht="118.05000305175781" customHeight="1">
      <x:c r="A23" s="6" t="s">
        <x:v>895</x:v>
      </x:c>
      <x:c r="B23" s="6" t="s">
        <x:v>222</x:v>
      </x:c>
      <x:c r="C23" s="6" t="s">
        <x:v>29</x:v>
      </x:c>
      <x:c r="D23" s="6" t="s">
        <x:v>223</x:v>
      </x:c>
      <x:c r="E23" s="6" t="s">
        <x:v>214</x:v>
      </x:c>
      <x:c r="F23" s="6" t="s">
        <x:v>224</x:v>
      </x:c>
      <x:c r="G23" s="6" t="s">
        <x:v>724</x:v>
      </x:c>
      <x:c r="H23" s="6" t="s">
        <x:v>726</x:v>
      </x:c>
      <x:c r="I23" s="6" t="s">
        <x:v>890</x:v>
      </x:c>
      <x:c r="J23" s="6" t="s">
        <x:v>891</x:v>
      </x:c>
      <x:c r="K23" s="6" t="s">
        <x:v>227</x:v>
      </x:c>
      <x:c r="L23" s="6" t="s">
        <x:v>198</x:v>
      </x:c>
      <x:c r="M23" s="6" t="s">
        <x:v>228</x:v>
      </x:c>
      <x:c r="N23" s="6" t="s">
        <x:v>229</x:v>
      </x:c>
      <x:c r="O23" s="6" t="s">
        <x:v>230</x:v>
      </x:c>
      <x:c r="P23" s="9"/>
      <x:c r="Q23" s="9"/>
      <x:c r="R23" s="9"/>
      <x:c r="S23" s="9"/>
      <x:c r="T23" s="9"/>
      <x:c r="U23" s="9"/>
      <x:c r="V23" s="9"/>
      <x:c r="W23" s="9"/>
      <x:c r="X23" s="12" t="str">
        <x:f t="shared" si="0"/>
      </x:c>
      <x:c r="Y23" s="12" t="str">
        <x:f t="shared" si="1"/>
      </x:c>
      <x:c r="Z23" s="9" t="s">
        <x:v>870</x:v>
      </x:c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12" t="str">
        <x:f t="shared" si="2"/>
      </x:c>
      <x:c r="AM23" s="11" t="str">
        <x:f t="shared" si="3"/>
      </x:c>
      <x:c r="AN23" s="11" t="str">
        <x:f t="shared" si="4"/>
      </x:c>
      <x:c r="AO23" s="9"/>
      <x:c r="AP23" s="9"/>
      <x:c r="AQ23" s="27" t="s">
        <x:v>225</x:v>
      </x:c>
    </x:row>
    <x:row r="24" ht="118.05000305175781" customHeight="1">
      <x:c r="A24" s="6" t="s">
        <x:v>896</x:v>
      </x:c>
      <x:c r="B24" s="6" t="s">
        <x:v>231</x:v>
      </x:c>
      <x:c r="C24" s="6" t="s">
        <x:v>29</x:v>
      </x:c>
      <x:c r="D24" s="6" t="s">
        <x:v>232</x:v>
      </x:c>
      <x:c r="E24" s="6" t="s">
        <x:v>233</x:v>
      </x:c>
      <x:c r="F24" s="6" t="s">
        <x:v>234</x:v>
      </x:c>
      <x:c r="G24" s="6" t="s">
        <x:v>696</x:v>
      </x:c>
      <x:c r="H24" s="6" t="s">
        <x:v>698</x:v>
      </x:c>
      <x:c r="I24" s="6" t="s">
        <x:v>868</x:v>
      </x:c>
      <x:c r="J24" s="6" t="s">
        <x:v>869</x:v>
      </x:c>
      <x:c r="K24" s="6" t="s">
        <x:v>236</x:v>
      </x:c>
      <x:c r="L24" s="6" t="s">
        <x:v>198</x:v>
      </x:c>
      <x:c r="M24" s="6" t="s">
        <x:v>237</x:v>
      </x:c>
      <x:c r="N24" s="6" t="s">
        <x:v>238</x:v>
      </x:c>
      <x:c r="O24" s="6" t="s">
        <x:v>230</x:v>
      </x:c>
      <x:c r="P24" s="9"/>
      <x:c r="Q24" s="9"/>
      <x:c r="R24" s="9"/>
      <x:c r="S24" s="9"/>
      <x:c r="T24" s="9"/>
      <x:c r="U24" s="9"/>
      <x:c r="V24" s="9"/>
      <x:c r="W24" s="9"/>
      <x:c r="X24" s="12" t="str">
        <x:f t="shared" si="0"/>
      </x:c>
      <x:c r="Y24" s="12" t="str">
        <x:f t="shared" si="1"/>
      </x:c>
      <x:c r="Z24" s="9" t="s">
        <x:v>870</x:v>
      </x:c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12" t="str">
        <x:f t="shared" si="2"/>
      </x:c>
      <x:c r="AM24" s="11" t="str">
        <x:f t="shared" si="3"/>
      </x:c>
      <x:c r="AN24" s="11" t="str">
        <x:f t="shared" si="4"/>
      </x:c>
      <x:c r="AO24" s="9"/>
      <x:c r="AP24" s="9"/>
      <x:c r="AQ24" s="27" t="s">
        <x:v>235</x:v>
      </x:c>
    </x:row>
    <x:row r="25" ht="118.05000305175781" customHeight="1">
      <x:c r="A25" s="6" t="s">
        <x:v>897</x:v>
      </x:c>
      <x:c r="B25" s="6" t="s">
        <x:v>231</x:v>
      </x:c>
      <x:c r="C25" s="6" t="s">
        <x:v>29</x:v>
      </x:c>
      <x:c r="D25" s="6" t="s">
        <x:v>232</x:v>
      </x:c>
      <x:c r="E25" s="6" t="s">
        <x:v>233</x:v>
      </x:c>
      <x:c r="F25" s="6" t="s">
        <x:v>234</x:v>
      </x:c>
      <x:c r="G25" s="6" t="s">
        <x:v>696</x:v>
      </x:c>
      <x:c r="H25" s="6" t="s">
        <x:v>698</x:v>
      </x:c>
      <x:c r="I25" s="6" t="s">
        <x:v>872</x:v>
      </x:c>
      <x:c r="J25" s="6" t="s">
        <x:v>873</x:v>
      </x:c>
      <x:c r="K25" s="6" t="s">
        <x:v>236</x:v>
      </x:c>
      <x:c r="L25" s="6" t="s">
        <x:v>198</x:v>
      </x:c>
      <x:c r="M25" s="6" t="s">
        <x:v>237</x:v>
      </x:c>
      <x:c r="N25" s="6" t="s">
        <x:v>238</x:v>
      </x:c>
      <x:c r="O25" s="6" t="s">
        <x:v>230</x:v>
      </x:c>
      <x:c r="P25" s="9"/>
      <x:c r="Q25" s="9"/>
      <x:c r="R25" s="9"/>
      <x:c r="S25" s="9"/>
      <x:c r="T25" s="9"/>
      <x:c r="U25" s="9"/>
      <x:c r="V25" s="9"/>
      <x:c r="W25" s="9"/>
      <x:c r="X25" s="12" t="str">
        <x:f t="shared" si="0"/>
      </x:c>
      <x:c r="Y25" s="12" t="str">
        <x:f t="shared" si="1"/>
      </x:c>
      <x:c r="Z25" s="9" t="s">
        <x:v>870</x:v>
      </x:c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12" t="str">
        <x:f t="shared" si="2"/>
      </x:c>
      <x:c r="AM25" s="11" t="str">
        <x:f t="shared" si="3"/>
      </x:c>
      <x:c r="AN25" s="11" t="str">
        <x:f t="shared" si="4"/>
      </x:c>
      <x:c r="AO25" s="9"/>
      <x:c r="AP25" s="9"/>
      <x:c r="AQ25" s="27" t="s">
        <x:v>235</x:v>
      </x:c>
    </x:row>
    <x:row r="26" ht="118.05000305175781" customHeight="1">
      <x:c r="A26" s="6" t="s">
        <x:v>898</x:v>
      </x:c>
      <x:c r="B26" s="6" t="s">
        <x:v>231</x:v>
      </x:c>
      <x:c r="C26" s="6" t="s">
        <x:v>29</x:v>
      </x:c>
      <x:c r="D26" s="6" t="s">
        <x:v>232</x:v>
      </x:c>
      <x:c r="E26" s="6" t="s">
        <x:v>233</x:v>
      </x:c>
      <x:c r="F26" s="6" t="s">
        <x:v>234</x:v>
      </x:c>
      <x:c r="G26" s="6" t="s">
        <x:v>707</x:v>
      </x:c>
      <x:c r="H26" s="6" t="s">
        <x:v>709</x:v>
      </x:c>
      <x:c r="I26" s="6" t="s">
        <x:v>868</x:v>
      </x:c>
      <x:c r="J26" s="6" t="s">
        <x:v>869</x:v>
      </x:c>
      <x:c r="K26" s="6" t="s">
        <x:v>236</x:v>
      </x:c>
      <x:c r="L26" s="6" t="s">
        <x:v>198</x:v>
      </x:c>
      <x:c r="M26" s="6" t="s">
        <x:v>237</x:v>
      </x:c>
      <x:c r="N26" s="6" t="s">
        <x:v>238</x:v>
      </x:c>
      <x:c r="O26" s="6" t="s">
        <x:v>230</x:v>
      </x:c>
      <x:c r="P26" s="9"/>
      <x:c r="Q26" s="9"/>
      <x:c r="R26" s="9"/>
      <x:c r="S26" s="9"/>
      <x:c r="T26" s="9"/>
      <x:c r="U26" s="9"/>
      <x:c r="V26" s="9"/>
      <x:c r="W26" s="9"/>
      <x:c r="X26" s="12" t="str">
        <x:f t="shared" si="0"/>
      </x:c>
      <x:c r="Y26" s="12" t="str">
        <x:f t="shared" si="1"/>
      </x:c>
      <x:c r="Z26" s="9" t="s">
        <x:v>870</x:v>
      </x:c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12" t="str">
        <x:f t="shared" si="2"/>
      </x:c>
      <x:c r="AM26" s="11" t="str">
        <x:f t="shared" si="3"/>
      </x:c>
      <x:c r="AN26" s="11" t="str">
        <x:f t="shared" si="4"/>
      </x:c>
      <x:c r="AO26" s="9"/>
      <x:c r="AP26" s="9"/>
      <x:c r="AQ26" s="27" t="s">
        <x:v>235</x:v>
      </x:c>
    </x:row>
    <x:row r="27" ht="118.05000305175781" customHeight="1">
      <x:c r="A27" s="6" t="s">
        <x:v>899</x:v>
      </x:c>
      <x:c r="B27" s="6" t="s">
        <x:v>231</x:v>
      </x:c>
      <x:c r="C27" s="6" t="s">
        <x:v>29</x:v>
      </x:c>
      <x:c r="D27" s="6" t="s">
        <x:v>232</x:v>
      </x:c>
      <x:c r="E27" s="6" t="s">
        <x:v>233</x:v>
      </x:c>
      <x:c r="F27" s="6" t="s">
        <x:v>234</x:v>
      </x:c>
      <x:c r="G27" s="6" t="s">
        <x:v>707</x:v>
      </x:c>
      <x:c r="H27" s="6" t="s">
        <x:v>709</x:v>
      </x:c>
      <x:c r="I27" s="6" t="s">
        <x:v>872</x:v>
      </x:c>
      <x:c r="J27" s="6" t="s">
        <x:v>873</x:v>
      </x:c>
      <x:c r="K27" s="6" t="s">
        <x:v>236</x:v>
      </x:c>
      <x:c r="L27" s="6" t="s">
        <x:v>198</x:v>
      </x:c>
      <x:c r="M27" s="6" t="s">
        <x:v>237</x:v>
      </x:c>
      <x:c r="N27" s="6" t="s">
        <x:v>238</x:v>
      </x:c>
      <x:c r="O27" s="6" t="s">
        <x:v>230</x:v>
      </x:c>
      <x:c r="P27" s="9"/>
      <x:c r="Q27" s="9"/>
      <x:c r="R27" s="9"/>
      <x:c r="S27" s="9"/>
      <x:c r="T27" s="9"/>
      <x:c r="U27" s="9"/>
      <x:c r="V27" s="9"/>
      <x:c r="W27" s="9"/>
      <x:c r="X27" s="12" t="str">
        <x:f t="shared" si="0"/>
      </x:c>
      <x:c r="Y27" s="12" t="str">
        <x:f t="shared" si="1"/>
      </x:c>
      <x:c r="Z27" s="9" t="s">
        <x:v>870</x:v>
      </x:c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12" t="str">
        <x:f t="shared" si="2"/>
      </x:c>
      <x:c r="AM27" s="11" t="str">
        <x:f t="shared" si="3"/>
      </x:c>
      <x:c r="AN27" s="11" t="str">
        <x:f t="shared" si="4"/>
      </x:c>
      <x:c r="AO27" s="9"/>
      <x:c r="AP27" s="9"/>
      <x:c r="AQ27" s="27" t="s">
        <x:v>235</x:v>
      </x:c>
    </x:row>
    <x:row r="28" ht="118.05000305175781" customHeight="1">
      <x:c r="A28" s="6" t="s">
        <x:v>900</x:v>
      </x:c>
      <x:c r="B28" s="6" t="s">
        <x:v>231</x:v>
      </x:c>
      <x:c r="C28" s="6" t="s">
        <x:v>29</x:v>
      </x:c>
      <x:c r="D28" s="6" t="s">
        <x:v>232</x:v>
      </x:c>
      <x:c r="E28" s="6" t="s">
        <x:v>233</x:v>
      </x:c>
      <x:c r="F28" s="6" t="s">
        <x:v>234</x:v>
      </x:c>
      <x:c r="G28" s="6" t="s">
        <x:v>724</x:v>
      </x:c>
      <x:c r="H28" s="6" t="s">
        <x:v>726</x:v>
      </x:c>
      <x:c r="I28" s="6" t="s">
        <x:v>868</x:v>
      </x:c>
      <x:c r="J28" s="6" t="s">
        <x:v>869</x:v>
      </x:c>
      <x:c r="K28" s="6" t="s">
        <x:v>236</x:v>
      </x:c>
      <x:c r="L28" s="6" t="s">
        <x:v>198</x:v>
      </x:c>
      <x:c r="M28" s="6" t="s">
        <x:v>237</x:v>
      </x:c>
      <x:c r="N28" s="6" t="s">
        <x:v>238</x:v>
      </x:c>
      <x:c r="O28" s="6" t="s">
        <x:v>230</x:v>
      </x:c>
      <x:c r="P28" s="9"/>
      <x:c r="Q28" s="9"/>
      <x:c r="R28" s="9"/>
      <x:c r="S28" s="9"/>
      <x:c r="T28" s="9"/>
      <x:c r="U28" s="9"/>
      <x:c r="V28" s="9"/>
      <x:c r="W28" s="9"/>
      <x:c r="X28" s="12" t="str">
        <x:f t="shared" si="0"/>
      </x:c>
      <x:c r="Y28" s="12" t="str">
        <x:f t="shared" si="1"/>
      </x:c>
      <x:c r="Z28" s="9" t="s">
        <x:v>870</x:v>
      </x:c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12" t="str">
        <x:f t="shared" si="2"/>
      </x:c>
      <x:c r="AM28" s="11" t="str">
        <x:f t="shared" si="3"/>
      </x:c>
      <x:c r="AN28" s="11" t="str">
        <x:f t="shared" si="4"/>
      </x:c>
      <x:c r="AO28" s="9"/>
      <x:c r="AP28" s="9"/>
      <x:c r="AQ28" s="27" t="s">
        <x:v>235</x:v>
      </x:c>
    </x:row>
    <x:row r="29" ht="118.05000305175781" customHeight="1">
      <x:c r="A29" s="6" t="s">
        <x:v>901</x:v>
      </x:c>
      <x:c r="B29" s="6" t="s">
        <x:v>231</x:v>
      </x:c>
      <x:c r="C29" s="6" t="s">
        <x:v>29</x:v>
      </x:c>
      <x:c r="D29" s="6" t="s">
        <x:v>232</x:v>
      </x:c>
      <x:c r="E29" s="6" t="s">
        <x:v>233</x:v>
      </x:c>
      <x:c r="F29" s="6" t="s">
        <x:v>234</x:v>
      </x:c>
      <x:c r="G29" s="6" t="s">
        <x:v>724</x:v>
      </x:c>
      <x:c r="H29" s="6" t="s">
        <x:v>726</x:v>
      </x:c>
      <x:c r="I29" s="6" t="s">
        <x:v>872</x:v>
      </x:c>
      <x:c r="J29" s="6" t="s">
        <x:v>873</x:v>
      </x:c>
      <x:c r="K29" s="6" t="s">
        <x:v>236</x:v>
      </x:c>
      <x:c r="L29" s="6" t="s">
        <x:v>198</x:v>
      </x:c>
      <x:c r="M29" s="6" t="s">
        <x:v>237</x:v>
      </x:c>
      <x:c r="N29" s="6" t="s">
        <x:v>238</x:v>
      </x:c>
      <x:c r="O29" s="6" t="s">
        <x:v>230</x:v>
      </x:c>
      <x:c r="P29" s="9"/>
      <x:c r="Q29" s="9"/>
      <x:c r="R29" s="9"/>
      <x:c r="S29" s="9"/>
      <x:c r="T29" s="9"/>
      <x:c r="U29" s="9"/>
      <x:c r="V29" s="9"/>
      <x:c r="W29" s="9"/>
      <x:c r="X29" s="12" t="str">
        <x:f t="shared" si="0"/>
      </x:c>
      <x:c r="Y29" s="12" t="str">
        <x:f t="shared" si="1"/>
      </x:c>
      <x:c r="Z29" s="9" t="s">
        <x:v>870</x:v>
      </x:c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12" t="str">
        <x:f t="shared" si="2"/>
      </x:c>
      <x:c r="AM29" s="11" t="str">
        <x:f t="shared" si="3"/>
      </x:c>
      <x:c r="AN29" s="11" t="str">
        <x:f t="shared" si="4"/>
      </x:c>
      <x:c r="AO29" s="9"/>
      <x:c r="AP29" s="9"/>
      <x:c r="AQ29" s="27" t="s">
        <x:v>235</x:v>
      </x:c>
    </x:row>
    <x:row r="30" ht="118.05000305175781" customHeight="1">
      <x:c r="A30" s="6" t="s">
        <x:v>902</x:v>
      </x:c>
      <x:c r="B30" s="6" t="s">
        <x:v>239</x:v>
      </x:c>
      <x:c r="C30" s="6" t="s">
        <x:v>29</x:v>
      </x:c>
      <x:c r="D30" s="6" t="s">
        <x:v>240</x:v>
      </x:c>
      <x:c r="E30" s="6" t="s">
        <x:v>241</x:v>
      </x:c>
      <x:c r="F30" s="6" t="s">
        <x:v>242</x:v>
      </x:c>
      <x:c r="G30" s="6" t="s">
        <x:v>696</x:v>
      </x:c>
      <x:c r="H30" s="6" t="s">
        <x:v>698</x:v>
      </x:c>
      <x:c r="I30" s="6" t="s">
        <x:v>868</x:v>
      </x:c>
      <x:c r="J30" s="6" t="s">
        <x:v>869</x:v>
      </x:c>
      <x:c r="K30" s="6" t="s">
        <x:v>244</x:v>
      </x:c>
      <x:c r="L30" s="6" t="s">
        <x:v>198</x:v>
      </x:c>
      <x:c r="M30" s="6" t="s">
        <x:v>245</x:v>
      </x:c>
      <x:c r="N30" s="6" t="s">
        <x:v>246</x:v>
      </x:c>
      <x:c r="O30" s="6" t="s">
        <x:v>230</x:v>
      </x:c>
      <x:c r="P30" s="9"/>
      <x:c r="Q30" s="9"/>
      <x:c r="R30" s="9"/>
      <x:c r="S30" s="9"/>
      <x:c r="T30" s="9"/>
      <x:c r="U30" s="9"/>
      <x:c r="V30" s="9"/>
      <x:c r="W30" s="9"/>
      <x:c r="X30" s="12" t="str">
        <x:f t="shared" si="0"/>
      </x:c>
      <x:c r="Y30" s="12" t="str">
        <x:f t="shared" si="1"/>
      </x:c>
      <x:c r="Z30" s="9" t="s">
        <x:v>870</x:v>
      </x:c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12" t="str">
        <x:f t="shared" si="2"/>
      </x:c>
      <x:c r="AM30" s="11" t="str">
        <x:f t="shared" si="3"/>
      </x:c>
      <x:c r="AN30" s="11" t="str">
        <x:f t="shared" si="4"/>
      </x:c>
      <x:c r="AO30" s="9"/>
      <x:c r="AP30" s="9"/>
      <x:c r="AQ30" s="27" t="s">
        <x:v>243</x:v>
      </x:c>
    </x:row>
    <x:row r="31" ht="118.05000305175781" customHeight="1">
      <x:c r="A31" s="6" t="s">
        <x:v>903</x:v>
      </x:c>
      <x:c r="B31" s="6" t="s">
        <x:v>239</x:v>
      </x:c>
      <x:c r="C31" s="6" t="s">
        <x:v>29</x:v>
      </x:c>
      <x:c r="D31" s="6" t="s">
        <x:v>240</x:v>
      </x:c>
      <x:c r="E31" s="6" t="s">
        <x:v>241</x:v>
      </x:c>
      <x:c r="F31" s="6" t="s">
        <x:v>242</x:v>
      </x:c>
      <x:c r="G31" s="6" t="s">
        <x:v>696</x:v>
      </x:c>
      <x:c r="H31" s="6" t="s">
        <x:v>698</x:v>
      </x:c>
      <x:c r="I31" s="6" t="s">
        <x:v>872</x:v>
      </x:c>
      <x:c r="J31" s="6" t="s">
        <x:v>873</x:v>
      </x:c>
      <x:c r="K31" s="6" t="s">
        <x:v>244</x:v>
      </x:c>
      <x:c r="L31" s="6" t="s">
        <x:v>198</x:v>
      </x:c>
      <x:c r="M31" s="6" t="s">
        <x:v>245</x:v>
      </x:c>
      <x:c r="N31" s="6" t="s">
        <x:v>246</x:v>
      </x:c>
      <x:c r="O31" s="6" t="s">
        <x:v>230</x:v>
      </x:c>
      <x:c r="P31" s="9"/>
      <x:c r="Q31" s="9"/>
      <x:c r="R31" s="9"/>
      <x:c r="S31" s="9"/>
      <x:c r="T31" s="9"/>
      <x:c r="U31" s="9"/>
      <x:c r="V31" s="9"/>
      <x:c r="W31" s="9"/>
      <x:c r="X31" s="12" t="str">
        <x:f t="shared" si="0"/>
      </x:c>
      <x:c r="Y31" s="12" t="str">
        <x:f t="shared" si="1"/>
      </x:c>
      <x:c r="Z31" s="9" t="s">
        <x:v>870</x:v>
      </x:c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12" t="str">
        <x:f t="shared" si="2"/>
      </x:c>
      <x:c r="AM31" s="11" t="str">
        <x:f t="shared" si="3"/>
      </x:c>
      <x:c r="AN31" s="11" t="str">
        <x:f t="shared" si="4"/>
      </x:c>
      <x:c r="AO31" s="9"/>
      <x:c r="AP31" s="9"/>
      <x:c r="AQ31" s="27" t="s">
        <x:v>243</x:v>
      </x:c>
    </x:row>
    <x:row r="32" ht="118.05000305175781" customHeight="1">
      <x:c r="A32" s="6" t="s">
        <x:v>904</x:v>
      </x:c>
      <x:c r="B32" s="6" t="s">
        <x:v>239</x:v>
      </x:c>
      <x:c r="C32" s="6" t="s">
        <x:v>29</x:v>
      </x:c>
      <x:c r="D32" s="6" t="s">
        <x:v>240</x:v>
      </x:c>
      <x:c r="E32" s="6" t="s">
        <x:v>241</x:v>
      </x:c>
      <x:c r="F32" s="6" t="s">
        <x:v>242</x:v>
      </x:c>
      <x:c r="G32" s="6" t="s">
        <x:v>707</x:v>
      </x:c>
      <x:c r="H32" s="6" t="s">
        <x:v>709</x:v>
      </x:c>
      <x:c r="I32" s="6" t="s">
        <x:v>868</x:v>
      </x:c>
      <x:c r="J32" s="6" t="s">
        <x:v>869</x:v>
      </x:c>
      <x:c r="K32" s="6" t="s">
        <x:v>244</x:v>
      </x:c>
      <x:c r="L32" s="6" t="s">
        <x:v>198</x:v>
      </x:c>
      <x:c r="M32" s="6" t="s">
        <x:v>245</x:v>
      </x:c>
      <x:c r="N32" s="6" t="s">
        <x:v>246</x:v>
      </x:c>
      <x:c r="O32" s="6" t="s">
        <x:v>230</x:v>
      </x:c>
      <x:c r="P32" s="9"/>
      <x:c r="Q32" s="9"/>
      <x:c r="R32" s="9"/>
      <x:c r="S32" s="9"/>
      <x:c r="T32" s="9"/>
      <x:c r="U32" s="9"/>
      <x:c r="V32" s="9"/>
      <x:c r="W32" s="9"/>
      <x:c r="X32" s="12" t="str">
        <x:f t="shared" si="0"/>
      </x:c>
      <x:c r="Y32" s="12" t="str">
        <x:f t="shared" si="1"/>
      </x:c>
      <x:c r="Z32" s="9" t="s">
        <x:v>870</x:v>
      </x:c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12" t="str">
        <x:f t="shared" si="2"/>
      </x:c>
      <x:c r="AM32" s="11" t="str">
        <x:f t="shared" si="3"/>
      </x:c>
      <x:c r="AN32" s="11" t="str">
        <x:f t="shared" si="4"/>
      </x:c>
      <x:c r="AO32" s="9"/>
      <x:c r="AP32" s="9"/>
      <x:c r="AQ32" s="27" t="s">
        <x:v>243</x:v>
      </x:c>
    </x:row>
    <x:row r="33" ht="118.05000305175781" customHeight="1">
      <x:c r="A33" s="6" t="s">
        <x:v>905</x:v>
      </x:c>
      <x:c r="B33" s="6" t="s">
        <x:v>239</x:v>
      </x:c>
      <x:c r="C33" s="6" t="s">
        <x:v>29</x:v>
      </x:c>
      <x:c r="D33" s="6" t="s">
        <x:v>240</x:v>
      </x:c>
      <x:c r="E33" s="6" t="s">
        <x:v>241</x:v>
      </x:c>
      <x:c r="F33" s="6" t="s">
        <x:v>242</x:v>
      </x:c>
      <x:c r="G33" s="6" t="s">
        <x:v>707</x:v>
      </x:c>
      <x:c r="H33" s="6" t="s">
        <x:v>709</x:v>
      </x:c>
      <x:c r="I33" s="6" t="s">
        <x:v>872</x:v>
      </x:c>
      <x:c r="J33" s="6" t="s">
        <x:v>873</x:v>
      </x:c>
      <x:c r="K33" s="6" t="s">
        <x:v>244</x:v>
      </x:c>
      <x:c r="L33" s="6" t="s">
        <x:v>198</x:v>
      </x:c>
      <x:c r="M33" s="6" t="s">
        <x:v>245</x:v>
      </x:c>
      <x:c r="N33" s="6" t="s">
        <x:v>246</x:v>
      </x:c>
      <x:c r="O33" s="6" t="s">
        <x:v>230</x:v>
      </x:c>
      <x:c r="P33" s="9"/>
      <x:c r="Q33" s="9"/>
      <x:c r="R33" s="9"/>
      <x:c r="S33" s="9"/>
      <x:c r="T33" s="9"/>
      <x:c r="U33" s="9"/>
      <x:c r="V33" s="9"/>
      <x:c r="W33" s="9"/>
      <x:c r="X33" s="12" t="str">
        <x:f t="shared" si="0"/>
      </x:c>
      <x:c r="Y33" s="12" t="str">
        <x:f t="shared" si="1"/>
      </x:c>
      <x:c r="Z33" s="9" t="s">
        <x:v>870</x:v>
      </x:c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12" t="str">
        <x:f t="shared" si="2"/>
      </x:c>
      <x:c r="AM33" s="11" t="str">
        <x:f t="shared" si="3"/>
      </x:c>
      <x:c r="AN33" s="11" t="str">
        <x:f t="shared" si="4"/>
      </x:c>
      <x:c r="AO33" s="9"/>
      <x:c r="AP33" s="9"/>
      <x:c r="AQ33" s="27" t="s">
        <x:v>243</x:v>
      </x:c>
    </x:row>
    <x:row r="34" ht="118.05000305175781" customHeight="1">
      <x:c r="A34" s="6" t="s">
        <x:v>906</x:v>
      </x:c>
      <x:c r="B34" s="6" t="s">
        <x:v>239</x:v>
      </x:c>
      <x:c r="C34" s="6" t="s">
        <x:v>29</x:v>
      </x:c>
      <x:c r="D34" s="6" t="s">
        <x:v>240</x:v>
      </x:c>
      <x:c r="E34" s="6" t="s">
        <x:v>241</x:v>
      </x:c>
      <x:c r="F34" s="6" t="s">
        <x:v>242</x:v>
      </x:c>
      <x:c r="G34" s="6" t="s">
        <x:v>724</x:v>
      </x:c>
      <x:c r="H34" s="6" t="s">
        <x:v>726</x:v>
      </x:c>
      <x:c r="I34" s="6" t="s">
        <x:v>868</x:v>
      </x:c>
      <x:c r="J34" s="6" t="s">
        <x:v>869</x:v>
      </x:c>
      <x:c r="K34" s="6" t="s">
        <x:v>244</x:v>
      </x:c>
      <x:c r="L34" s="6" t="s">
        <x:v>198</x:v>
      </x:c>
      <x:c r="M34" s="6" t="s">
        <x:v>245</x:v>
      </x:c>
      <x:c r="N34" s="6" t="s">
        <x:v>246</x:v>
      </x:c>
      <x:c r="O34" s="6" t="s">
        <x:v>230</x:v>
      </x:c>
      <x:c r="P34" s="9"/>
      <x:c r="Q34" s="9"/>
      <x:c r="R34" s="9"/>
      <x:c r="S34" s="9"/>
      <x:c r="T34" s="9"/>
      <x:c r="U34" s="9"/>
      <x:c r="V34" s="9"/>
      <x:c r="W34" s="9"/>
      <x:c r="X34" s="12" t="str">
        <x:f t="shared" si="0"/>
      </x:c>
      <x:c r="Y34" s="12" t="str">
        <x:f t="shared" si="1"/>
      </x:c>
      <x:c r="Z34" s="9" t="s">
        <x:v>870</x:v>
      </x:c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12" t="str">
        <x:f t="shared" si="2"/>
      </x:c>
      <x:c r="AM34" s="11" t="str">
        <x:f t="shared" si="3"/>
      </x:c>
      <x:c r="AN34" s="11" t="str">
        <x:f t="shared" si="4"/>
      </x:c>
      <x:c r="AO34" s="9"/>
      <x:c r="AP34" s="9"/>
      <x:c r="AQ34" s="27" t="s">
        <x:v>243</x:v>
      </x:c>
    </x:row>
    <x:row r="35" ht="118.05000305175781" customHeight="1">
      <x:c r="A35" s="6" t="s">
        <x:v>907</x:v>
      </x:c>
      <x:c r="B35" s="6" t="s">
        <x:v>239</x:v>
      </x:c>
      <x:c r="C35" s="6" t="s">
        <x:v>29</x:v>
      </x:c>
      <x:c r="D35" s="6" t="s">
        <x:v>240</x:v>
      </x:c>
      <x:c r="E35" s="6" t="s">
        <x:v>241</x:v>
      </x:c>
      <x:c r="F35" s="6" t="s">
        <x:v>242</x:v>
      </x:c>
      <x:c r="G35" s="6" t="s">
        <x:v>724</x:v>
      </x:c>
      <x:c r="H35" s="6" t="s">
        <x:v>726</x:v>
      </x:c>
      <x:c r="I35" s="6" t="s">
        <x:v>872</x:v>
      </x:c>
      <x:c r="J35" s="6" t="s">
        <x:v>873</x:v>
      </x:c>
      <x:c r="K35" s="6" t="s">
        <x:v>244</x:v>
      </x:c>
      <x:c r="L35" s="6" t="s">
        <x:v>198</x:v>
      </x:c>
      <x:c r="M35" s="6" t="s">
        <x:v>245</x:v>
      </x:c>
      <x:c r="N35" s="6" t="s">
        <x:v>246</x:v>
      </x:c>
      <x:c r="O35" s="6" t="s">
        <x:v>230</x:v>
      </x:c>
      <x:c r="P35" s="9"/>
      <x:c r="Q35" s="9"/>
      <x:c r="R35" s="9"/>
      <x:c r="S35" s="9"/>
      <x:c r="T35" s="9"/>
      <x:c r="U35" s="9"/>
      <x:c r="V35" s="9"/>
      <x:c r="W35" s="9"/>
      <x:c r="X35" s="12" t="str">
        <x:f t="shared" si="0"/>
      </x:c>
      <x:c r="Y35" s="12" t="str">
        <x:f t="shared" si="1"/>
      </x:c>
      <x:c r="Z35" s="9" t="s">
        <x:v>870</x:v>
      </x:c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12" t="str">
        <x:f t="shared" si="2"/>
      </x:c>
      <x:c r="AM35" s="11" t="str">
        <x:f t="shared" si="3"/>
      </x:c>
      <x:c r="AN35" s="11" t="str">
        <x:f t="shared" si="4"/>
      </x:c>
      <x:c r="AO35" s="9"/>
      <x:c r="AP35" s="9"/>
      <x:c r="AQ35" s="27" t="s">
        <x:v>243</x:v>
      </x:c>
    </x:row>
    <x:row r="36" ht="118.05000305175781" customHeight="1">
      <x:c r="A36" s="6" t="s">
        <x:v>908</x:v>
      </x:c>
      <x:c r="B36" s="6" t="s">
        <x:v>247</x:v>
      </x:c>
      <x:c r="C36" s="6" t="s">
        <x:v>29</x:v>
      </x:c>
      <x:c r="D36" s="6" t="s">
        <x:v>248</x:v>
      </x:c>
      <x:c r="E36" s="6" t="s">
        <x:v>249</x:v>
      </x:c>
      <x:c r="F36" s="6" t="s">
        <x:v>250</x:v>
      </x:c>
      <x:c r="G36" s="6" t="s">
        <x:v>696</x:v>
      </x:c>
      <x:c r="H36" s="6" t="s">
        <x:v>698</x:v>
      </x:c>
      <x:c r="I36" s="6" t="s">
        <x:v>868</x:v>
      </x:c>
      <x:c r="J36" s="6" t="s">
        <x:v>869</x:v>
      </x:c>
      <x:c r="K36" s="6" t="s">
        <x:v>254</x:v>
      </x:c>
      <x:c r="L36" s="6" t="s">
        <x:v>198</x:v>
      </x:c>
      <x:c r="M36" s="6" t="s">
        <x:v>255</x:v>
      </x:c>
      <x:c r="N36" s="6" t="s">
        <x:v>256</x:v>
      </x:c>
      <x:c r="O36" s="6" t="s">
        <x:v>257</x:v>
      </x:c>
      <x:c r="P36" s="9"/>
      <x:c r="Q36" s="9"/>
      <x:c r="R36" s="9"/>
      <x:c r="S36" s="9"/>
      <x:c r="T36" s="9"/>
      <x:c r="U36" s="9"/>
      <x:c r="V36" s="9"/>
      <x:c r="W36" s="9"/>
      <x:c r="X36" s="12" t="str">
        <x:f t="shared" si="0"/>
      </x:c>
      <x:c r="Y36" s="12" t="str">
        <x:f t="shared" si="1"/>
      </x:c>
      <x:c r="Z36" s="9" t="s">
        <x:v>870</x:v>
      </x:c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12" t="str">
        <x:f t="shared" si="2"/>
      </x:c>
      <x:c r="AM36" s="11" t="str">
        <x:f t="shared" si="3"/>
      </x:c>
      <x:c r="AN36" s="11" t="str">
        <x:f t="shared" si="4"/>
      </x:c>
      <x:c r="AO36" s="9"/>
      <x:c r="AP36" s="9"/>
      <x:c r="AQ36" s="27" t="s">
        <x:v>251</x:v>
      </x:c>
    </x:row>
    <x:row r="37" ht="118.05000305175781" customHeight="1">
      <x:c r="A37" s="6" t="s">
        <x:v>909</x:v>
      </x:c>
      <x:c r="B37" s="6" t="s">
        <x:v>247</x:v>
      </x:c>
      <x:c r="C37" s="6" t="s">
        <x:v>29</x:v>
      </x:c>
      <x:c r="D37" s="6" t="s">
        <x:v>248</x:v>
      </x:c>
      <x:c r="E37" s="6" t="s">
        <x:v>249</x:v>
      </x:c>
      <x:c r="F37" s="6" t="s">
        <x:v>250</x:v>
      </x:c>
      <x:c r="G37" s="6" t="s">
        <x:v>696</x:v>
      </x:c>
      <x:c r="H37" s="6" t="s">
        <x:v>698</x:v>
      </x:c>
      <x:c r="I37" s="6" t="s">
        <x:v>910</x:v>
      </x:c>
      <x:c r="J37" s="6" t="s">
        <x:v>911</x:v>
      </x:c>
      <x:c r="K37" s="6" t="s">
        <x:v>254</x:v>
      </x:c>
      <x:c r="L37" s="6" t="s">
        <x:v>198</x:v>
      </x:c>
      <x:c r="M37" s="6" t="s">
        <x:v>255</x:v>
      </x:c>
      <x:c r="N37" s="6" t="s">
        <x:v>256</x:v>
      </x:c>
      <x:c r="O37" s="6" t="s">
        <x:v>257</x:v>
      </x:c>
      <x:c r="P37" s="9"/>
      <x:c r="Q37" s="9"/>
      <x:c r="R37" s="9"/>
      <x:c r="S37" s="9"/>
      <x:c r="T37" s="9"/>
      <x:c r="U37" s="9"/>
      <x:c r="V37" s="9"/>
      <x:c r="W37" s="9"/>
      <x:c r="X37" s="12" t="str">
        <x:f t="shared" si="0"/>
      </x:c>
      <x:c r="Y37" s="12" t="str">
        <x:f t="shared" si="1"/>
      </x:c>
      <x:c r="Z37" s="9" t="s">
        <x:v>870</x:v>
      </x:c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12" t="str">
        <x:f t="shared" si="2"/>
      </x:c>
      <x:c r="AM37" s="11" t="str">
        <x:f t="shared" si="3"/>
      </x:c>
      <x:c r="AN37" s="11" t="str">
        <x:f t="shared" si="4"/>
      </x:c>
      <x:c r="AO37" s="9"/>
      <x:c r="AP37" s="9"/>
      <x:c r="AQ37" s="27" t="s">
        <x:v>251</x:v>
      </x:c>
    </x:row>
    <x:row r="38" ht="118.05000305175781" customHeight="1">
      <x:c r="A38" s="6" t="s">
        <x:v>912</x:v>
      </x:c>
      <x:c r="B38" s="6" t="s">
        <x:v>247</x:v>
      </x:c>
      <x:c r="C38" s="6" t="s">
        <x:v>29</x:v>
      </x:c>
      <x:c r="D38" s="6" t="s">
        <x:v>248</x:v>
      </x:c>
      <x:c r="E38" s="6" t="s">
        <x:v>249</x:v>
      </x:c>
      <x:c r="F38" s="6" t="s">
        <x:v>250</x:v>
      </x:c>
      <x:c r="G38" s="6" t="s">
        <x:v>715</x:v>
      </x:c>
      <x:c r="H38" s="6" t="s">
        <x:v>717</x:v>
      </x:c>
      <x:c r="I38" s="6" t="s">
        <x:v>868</x:v>
      </x:c>
      <x:c r="J38" s="6" t="s">
        <x:v>869</x:v>
      </x:c>
      <x:c r="K38" s="6" t="s">
        <x:v>254</x:v>
      </x:c>
      <x:c r="L38" s="6" t="s">
        <x:v>198</x:v>
      </x:c>
      <x:c r="M38" s="6" t="s">
        <x:v>255</x:v>
      </x:c>
      <x:c r="N38" s="6" t="s">
        <x:v>256</x:v>
      </x:c>
      <x:c r="O38" s="6" t="s">
        <x:v>257</x:v>
      </x:c>
      <x:c r="P38" s="9"/>
      <x:c r="Q38" s="9"/>
      <x:c r="R38" s="9"/>
      <x:c r="S38" s="9"/>
      <x:c r="T38" s="9"/>
      <x:c r="U38" s="9"/>
      <x:c r="V38" s="9"/>
      <x:c r="W38" s="9"/>
      <x:c r="X38" s="12" t="str">
        <x:f t="shared" si="0"/>
      </x:c>
      <x:c r="Y38" s="12" t="str">
        <x:f t="shared" si="1"/>
      </x:c>
      <x:c r="Z38" s="9" t="s">
        <x:v>870</x:v>
      </x:c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12" t="str">
        <x:f t="shared" si="2"/>
      </x:c>
      <x:c r="AM38" s="11" t="str">
        <x:f t="shared" si="3"/>
      </x:c>
      <x:c r="AN38" s="11" t="str">
        <x:f t="shared" si="4"/>
      </x:c>
      <x:c r="AO38" s="9"/>
      <x:c r="AP38" s="9"/>
      <x:c r="AQ38" s="27" t="s">
        <x:v>251</x:v>
      </x:c>
    </x:row>
    <x:row r="39" ht="118.05000305175781" customHeight="1">
      <x:c r="A39" s="6" t="s">
        <x:v>913</x:v>
      </x:c>
      <x:c r="B39" s="6" t="s">
        <x:v>247</x:v>
      </x:c>
      <x:c r="C39" s="6" t="s">
        <x:v>29</x:v>
      </x:c>
      <x:c r="D39" s="6" t="s">
        <x:v>248</x:v>
      </x:c>
      <x:c r="E39" s="6" t="s">
        <x:v>249</x:v>
      </x:c>
      <x:c r="F39" s="6" t="s">
        <x:v>250</x:v>
      </x:c>
      <x:c r="G39" s="6" t="s">
        <x:v>715</x:v>
      </x:c>
      <x:c r="H39" s="6" t="s">
        <x:v>717</x:v>
      </x:c>
      <x:c r="I39" s="6" t="s">
        <x:v>910</x:v>
      </x:c>
      <x:c r="J39" s="6" t="s">
        <x:v>911</x:v>
      </x:c>
      <x:c r="K39" s="6" t="s">
        <x:v>254</x:v>
      </x:c>
      <x:c r="L39" s="6" t="s">
        <x:v>198</x:v>
      </x:c>
      <x:c r="M39" s="6" t="s">
        <x:v>255</x:v>
      </x:c>
      <x:c r="N39" s="6" t="s">
        <x:v>256</x:v>
      </x:c>
      <x:c r="O39" s="6" t="s">
        <x:v>257</x:v>
      </x:c>
      <x:c r="P39" s="9"/>
      <x:c r="Q39" s="9"/>
      <x:c r="R39" s="9"/>
      <x:c r="S39" s="9"/>
      <x:c r="T39" s="9"/>
      <x:c r="U39" s="9"/>
      <x:c r="V39" s="9"/>
      <x:c r="W39" s="9"/>
      <x:c r="X39" s="12" t="str">
        <x:f t="shared" si="0"/>
      </x:c>
      <x:c r="Y39" s="12" t="str">
        <x:f t="shared" si="1"/>
      </x:c>
      <x:c r="Z39" s="9" t="s">
        <x:v>870</x:v>
      </x:c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12" t="str">
        <x:f t="shared" si="2"/>
      </x:c>
      <x:c r="AM39" s="11" t="str">
        <x:f t="shared" si="3"/>
      </x:c>
      <x:c r="AN39" s="11" t="str">
        <x:f t="shared" si="4"/>
      </x:c>
      <x:c r="AO39" s="9"/>
      <x:c r="AP39" s="9"/>
      <x:c r="AQ39" s="27" t="s">
        <x:v>251</x:v>
      </x:c>
    </x:row>
    <x:row r="40" ht="118.05000305175781" customHeight="1">
      <x:c r="A40" s="6" t="s">
        <x:v>914</x:v>
      </x:c>
      <x:c r="B40" s="6" t="s">
        <x:v>247</x:v>
      </x:c>
      <x:c r="C40" s="6" t="s">
        <x:v>29</x:v>
      </x:c>
      <x:c r="D40" s="6" t="s">
        <x:v>248</x:v>
      </x:c>
      <x:c r="E40" s="6" t="s">
        <x:v>249</x:v>
      </x:c>
      <x:c r="F40" s="6" t="s">
        <x:v>250</x:v>
      </x:c>
      <x:c r="G40" s="6" t="s">
        <x:v>724</x:v>
      </x:c>
      <x:c r="H40" s="6" t="s">
        <x:v>726</x:v>
      </x:c>
      <x:c r="I40" s="6" t="s">
        <x:v>868</x:v>
      </x:c>
      <x:c r="J40" s="6" t="s">
        <x:v>869</x:v>
      </x:c>
      <x:c r="K40" s="6" t="s">
        <x:v>254</x:v>
      </x:c>
      <x:c r="L40" s="6" t="s">
        <x:v>198</x:v>
      </x:c>
      <x:c r="M40" s="6" t="s">
        <x:v>255</x:v>
      </x:c>
      <x:c r="N40" s="6" t="s">
        <x:v>256</x:v>
      </x:c>
      <x:c r="O40" s="6" t="s">
        <x:v>257</x:v>
      </x:c>
      <x:c r="P40" s="9"/>
      <x:c r="Q40" s="9"/>
      <x:c r="R40" s="9"/>
      <x:c r="S40" s="9"/>
      <x:c r="T40" s="9"/>
      <x:c r="U40" s="9"/>
      <x:c r="V40" s="9"/>
      <x:c r="W40" s="9"/>
      <x:c r="X40" s="12" t="str">
        <x:f t="shared" si="0"/>
      </x:c>
      <x:c r="Y40" s="12" t="str">
        <x:f t="shared" si="1"/>
      </x:c>
      <x:c r="Z40" s="9" t="s">
        <x:v>870</x:v>
      </x:c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12" t="str">
        <x:f t="shared" si="2"/>
      </x:c>
      <x:c r="AM40" s="11" t="str">
        <x:f t="shared" si="3"/>
      </x:c>
      <x:c r="AN40" s="11" t="str">
        <x:f t="shared" si="4"/>
      </x:c>
      <x:c r="AO40" s="9"/>
      <x:c r="AP40" s="9"/>
      <x:c r="AQ40" s="27" t="s">
        <x:v>251</x:v>
      </x:c>
    </x:row>
    <x:row r="41" ht="118.05000305175781" customHeight="1">
      <x:c r="A41" s="6" t="s">
        <x:v>915</x:v>
      </x:c>
      <x:c r="B41" s="6" t="s">
        <x:v>247</x:v>
      </x:c>
      <x:c r="C41" s="6" t="s">
        <x:v>29</x:v>
      </x:c>
      <x:c r="D41" s="6" t="s">
        <x:v>248</x:v>
      </x:c>
      <x:c r="E41" s="6" t="s">
        <x:v>249</x:v>
      </x:c>
      <x:c r="F41" s="6" t="s">
        <x:v>250</x:v>
      </x:c>
      <x:c r="G41" s="6" t="s">
        <x:v>724</x:v>
      </x:c>
      <x:c r="H41" s="6" t="s">
        <x:v>726</x:v>
      </x:c>
      <x:c r="I41" s="6" t="s">
        <x:v>910</x:v>
      </x:c>
      <x:c r="J41" s="6" t="s">
        <x:v>911</x:v>
      </x:c>
      <x:c r="K41" s="6" t="s">
        <x:v>254</x:v>
      </x:c>
      <x:c r="L41" s="6" t="s">
        <x:v>198</x:v>
      </x:c>
      <x:c r="M41" s="6" t="s">
        <x:v>255</x:v>
      </x:c>
      <x:c r="N41" s="6" t="s">
        <x:v>256</x:v>
      </x:c>
      <x:c r="O41" s="6" t="s">
        <x:v>257</x:v>
      </x:c>
      <x:c r="P41" s="9"/>
      <x:c r="Q41" s="9"/>
      <x:c r="R41" s="9"/>
      <x:c r="S41" s="9"/>
      <x:c r="T41" s="9"/>
      <x:c r="U41" s="9"/>
      <x:c r="V41" s="9"/>
      <x:c r="W41" s="9"/>
      <x:c r="X41" s="12" t="str">
        <x:f t="shared" si="0"/>
      </x:c>
      <x:c r="Y41" s="12" t="str">
        <x:f t="shared" si="1"/>
      </x:c>
      <x:c r="Z41" s="9" t="s">
        <x:v>870</x:v>
      </x:c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12" t="str">
        <x:f t="shared" si="2"/>
      </x:c>
      <x:c r="AM41" s="11" t="str">
        <x:f t="shared" si="3"/>
      </x:c>
      <x:c r="AN41" s="11" t="str">
        <x:f t="shared" si="4"/>
      </x:c>
      <x:c r="AO41" s="9"/>
      <x:c r="AP41" s="9"/>
      <x:c r="AQ41" s="27" t="s">
        <x:v>251</x:v>
      </x:c>
    </x:row>
    <x:row r="42" ht="118.05000305175781" customHeight="1">
      <x:c r="A42" s="6" t="s">
        <x:v>916</x:v>
      </x:c>
      <x:c r="B42" s="6" t="s">
        <x:v>258</x:v>
      </x:c>
      <x:c r="C42" s="6" t="s">
        <x:v>29</x:v>
      </x:c>
      <x:c r="D42" s="6" t="s">
        <x:v>259</x:v>
      </x:c>
      <x:c r="E42" s="6" t="s">
        <x:v>260</x:v>
      </x:c>
      <x:c r="F42" s="6" t="s">
        <x:v>261</x:v>
      </x:c>
      <x:c r="G42" s="6" t="s">
        <x:v>696</x:v>
      </x:c>
      <x:c r="H42" s="6" t="s">
        <x:v>698</x:v>
      </x:c>
      <x:c r="I42" s="6" t="s">
        <x:v>868</x:v>
      </x:c>
      <x:c r="J42" s="6" t="s">
        <x:v>869</x:v>
      </x:c>
      <x:c r="K42" s="6" t="s">
        <x:v>263</x:v>
      </x:c>
      <x:c r="L42" s="6" t="s">
        <x:v>198</x:v>
      </x:c>
      <x:c r="M42" s="6" t="s">
        <x:v>264</x:v>
      </x:c>
      <x:c r="N42" s="6" t="s">
        <x:v>265</x:v>
      </x:c>
      <x:c r="O42" s="6" t="s">
        <x:v>230</x:v>
      </x:c>
      <x:c r="P42" s="9"/>
      <x:c r="Q42" s="9"/>
      <x:c r="R42" s="9"/>
      <x:c r="S42" s="9"/>
      <x:c r="T42" s="9"/>
      <x:c r="U42" s="9"/>
      <x:c r="V42" s="9"/>
      <x:c r="W42" s="9"/>
      <x:c r="X42" s="12" t="str">
        <x:f t="shared" si="0"/>
      </x:c>
      <x:c r="Y42" s="12" t="str">
        <x:f t="shared" si="1"/>
      </x:c>
      <x:c r="Z42" s="9" t="s">
        <x:v>870</x:v>
      </x:c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12" t="str">
        <x:f t="shared" si="2"/>
      </x:c>
      <x:c r="AM42" s="11" t="str">
        <x:f t="shared" si="3"/>
      </x:c>
      <x:c r="AN42" s="11" t="str">
        <x:f t="shared" si="4"/>
      </x:c>
      <x:c r="AO42" s="9"/>
      <x:c r="AP42" s="9"/>
      <x:c r="AQ42" s="27" t="s">
        <x:v>262</x:v>
      </x:c>
    </x:row>
    <x:row r="43" ht="118.05000305175781" customHeight="1">
      <x:c r="A43" s="6" t="s">
        <x:v>917</x:v>
      </x:c>
      <x:c r="B43" s="6" t="s">
        <x:v>258</x:v>
      </x:c>
      <x:c r="C43" s="6" t="s">
        <x:v>29</x:v>
      </x:c>
      <x:c r="D43" s="6" t="s">
        <x:v>259</x:v>
      </x:c>
      <x:c r="E43" s="6" t="s">
        <x:v>260</x:v>
      </x:c>
      <x:c r="F43" s="6" t="s">
        <x:v>261</x:v>
      </x:c>
      <x:c r="G43" s="6" t="s">
        <x:v>696</x:v>
      </x:c>
      <x:c r="H43" s="6" t="s">
        <x:v>698</x:v>
      </x:c>
      <x:c r="I43" s="6" t="s">
        <x:v>910</x:v>
      </x:c>
      <x:c r="J43" s="6" t="s">
        <x:v>911</x:v>
      </x:c>
      <x:c r="K43" s="6" t="s">
        <x:v>263</x:v>
      </x:c>
      <x:c r="L43" s="6" t="s">
        <x:v>198</x:v>
      </x:c>
      <x:c r="M43" s="6" t="s">
        <x:v>264</x:v>
      </x:c>
      <x:c r="N43" s="6" t="s">
        <x:v>265</x:v>
      </x:c>
      <x:c r="O43" s="6" t="s">
        <x:v>230</x:v>
      </x:c>
      <x:c r="P43" s="9"/>
      <x:c r="Q43" s="9"/>
      <x:c r="R43" s="9"/>
      <x:c r="S43" s="9"/>
      <x:c r="T43" s="9"/>
      <x:c r="U43" s="9"/>
      <x:c r="V43" s="9"/>
      <x:c r="W43" s="9"/>
      <x:c r="X43" s="12" t="str">
        <x:f t="shared" si="0"/>
      </x:c>
      <x:c r="Y43" s="12" t="str">
        <x:f t="shared" si="1"/>
      </x:c>
      <x:c r="Z43" s="9" t="s">
        <x:v>870</x:v>
      </x:c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12" t="str">
        <x:f t="shared" si="2"/>
      </x:c>
      <x:c r="AM43" s="11" t="str">
        <x:f t="shared" si="3"/>
      </x:c>
      <x:c r="AN43" s="11" t="str">
        <x:f t="shared" si="4"/>
      </x:c>
      <x:c r="AO43" s="9"/>
      <x:c r="AP43" s="9"/>
      <x:c r="AQ43" s="27" t="s">
        <x:v>262</x:v>
      </x:c>
    </x:row>
    <x:row r="44" ht="118.05000305175781" customHeight="1">
      <x:c r="A44" s="6" t="s">
        <x:v>918</x:v>
      </x:c>
      <x:c r="B44" s="6" t="s">
        <x:v>258</x:v>
      </x:c>
      <x:c r="C44" s="6" t="s">
        <x:v>29</x:v>
      </x:c>
      <x:c r="D44" s="6" t="s">
        <x:v>259</x:v>
      </x:c>
      <x:c r="E44" s="6" t="s">
        <x:v>260</x:v>
      </x:c>
      <x:c r="F44" s="6" t="s">
        <x:v>261</x:v>
      </x:c>
      <x:c r="G44" s="6" t="s">
        <x:v>715</x:v>
      </x:c>
      <x:c r="H44" s="6" t="s">
        <x:v>717</x:v>
      </x:c>
      <x:c r="I44" s="6" t="s">
        <x:v>868</x:v>
      </x:c>
      <x:c r="J44" s="6" t="s">
        <x:v>869</x:v>
      </x:c>
      <x:c r="K44" s="6" t="s">
        <x:v>263</x:v>
      </x:c>
      <x:c r="L44" s="6" t="s">
        <x:v>198</x:v>
      </x:c>
      <x:c r="M44" s="6" t="s">
        <x:v>264</x:v>
      </x:c>
      <x:c r="N44" s="6" t="s">
        <x:v>265</x:v>
      </x:c>
      <x:c r="O44" s="6" t="s">
        <x:v>230</x:v>
      </x:c>
      <x:c r="P44" s="9"/>
      <x:c r="Q44" s="9"/>
      <x:c r="R44" s="9"/>
      <x:c r="S44" s="9"/>
      <x:c r="T44" s="9"/>
      <x:c r="U44" s="9"/>
      <x:c r="V44" s="9"/>
      <x:c r="W44" s="9"/>
      <x:c r="X44" s="12" t="str">
        <x:f t="shared" si="0"/>
      </x:c>
      <x:c r="Y44" s="12" t="str">
        <x:f t="shared" si="1"/>
      </x:c>
      <x:c r="Z44" s="9" t="s">
        <x:v>870</x:v>
      </x:c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12" t="str">
        <x:f t="shared" si="2"/>
      </x:c>
      <x:c r="AM44" s="11" t="str">
        <x:f t="shared" si="3"/>
      </x:c>
      <x:c r="AN44" s="11" t="str">
        <x:f t="shared" si="4"/>
      </x:c>
      <x:c r="AO44" s="9"/>
      <x:c r="AP44" s="9"/>
      <x:c r="AQ44" s="27" t="s">
        <x:v>262</x:v>
      </x:c>
    </x:row>
    <x:row r="45" ht="118.05000305175781" customHeight="1">
      <x:c r="A45" s="6" t="s">
        <x:v>919</x:v>
      </x:c>
      <x:c r="B45" s="6" t="s">
        <x:v>258</x:v>
      </x:c>
      <x:c r="C45" s="6" t="s">
        <x:v>29</x:v>
      </x:c>
      <x:c r="D45" s="6" t="s">
        <x:v>259</x:v>
      </x:c>
      <x:c r="E45" s="6" t="s">
        <x:v>260</x:v>
      </x:c>
      <x:c r="F45" s="6" t="s">
        <x:v>261</x:v>
      </x:c>
      <x:c r="G45" s="6" t="s">
        <x:v>715</x:v>
      </x:c>
      <x:c r="H45" s="6" t="s">
        <x:v>717</x:v>
      </x:c>
      <x:c r="I45" s="6" t="s">
        <x:v>910</x:v>
      </x:c>
      <x:c r="J45" s="6" t="s">
        <x:v>911</x:v>
      </x:c>
      <x:c r="K45" s="6" t="s">
        <x:v>263</x:v>
      </x:c>
      <x:c r="L45" s="6" t="s">
        <x:v>198</x:v>
      </x:c>
      <x:c r="M45" s="6" t="s">
        <x:v>264</x:v>
      </x:c>
      <x:c r="N45" s="6" t="s">
        <x:v>265</x:v>
      </x:c>
      <x:c r="O45" s="6" t="s">
        <x:v>230</x:v>
      </x:c>
      <x:c r="P45" s="9"/>
      <x:c r="Q45" s="9"/>
      <x:c r="R45" s="9"/>
      <x:c r="S45" s="9"/>
      <x:c r="T45" s="9"/>
      <x:c r="U45" s="9"/>
      <x:c r="V45" s="9"/>
      <x:c r="W45" s="9"/>
      <x:c r="X45" s="12" t="str">
        <x:f t="shared" si="0"/>
      </x:c>
      <x:c r="Y45" s="12" t="str">
        <x:f t="shared" si="1"/>
      </x:c>
      <x:c r="Z45" s="9" t="s">
        <x:v>870</x:v>
      </x:c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12" t="str">
        <x:f t="shared" si="2"/>
      </x:c>
      <x:c r="AM45" s="11" t="str">
        <x:f t="shared" si="3"/>
      </x:c>
      <x:c r="AN45" s="11" t="str">
        <x:f t="shared" si="4"/>
      </x:c>
      <x:c r="AO45" s="9"/>
      <x:c r="AP45" s="9"/>
      <x:c r="AQ45" s="27" t="s">
        <x:v>262</x:v>
      </x:c>
    </x:row>
    <x:row r="46" ht="118.05000305175781" customHeight="1">
      <x:c r="A46" s="6" t="s">
        <x:v>920</x:v>
      </x:c>
      <x:c r="B46" s="6" t="s">
        <x:v>258</x:v>
      </x:c>
      <x:c r="C46" s="6" t="s">
        <x:v>29</x:v>
      </x:c>
      <x:c r="D46" s="6" t="s">
        <x:v>259</x:v>
      </x:c>
      <x:c r="E46" s="6" t="s">
        <x:v>260</x:v>
      </x:c>
      <x:c r="F46" s="6" t="s">
        <x:v>261</x:v>
      </x:c>
      <x:c r="G46" s="6" t="s">
        <x:v>724</x:v>
      </x:c>
      <x:c r="H46" s="6" t="s">
        <x:v>726</x:v>
      </x:c>
      <x:c r="I46" s="6" t="s">
        <x:v>868</x:v>
      </x:c>
      <x:c r="J46" s="6" t="s">
        <x:v>869</x:v>
      </x:c>
      <x:c r="K46" s="6" t="s">
        <x:v>263</x:v>
      </x:c>
      <x:c r="L46" s="6" t="s">
        <x:v>198</x:v>
      </x:c>
      <x:c r="M46" s="6" t="s">
        <x:v>264</x:v>
      </x:c>
      <x:c r="N46" s="6" t="s">
        <x:v>265</x:v>
      </x:c>
      <x:c r="O46" s="6" t="s">
        <x:v>230</x:v>
      </x:c>
      <x:c r="P46" s="9"/>
      <x:c r="Q46" s="9"/>
      <x:c r="R46" s="9"/>
      <x:c r="S46" s="9"/>
      <x:c r="T46" s="9"/>
      <x:c r="U46" s="9"/>
      <x:c r="V46" s="9"/>
      <x:c r="W46" s="9"/>
      <x:c r="X46" s="12" t="str">
        <x:f t="shared" si="0"/>
      </x:c>
      <x:c r="Y46" s="12" t="str">
        <x:f t="shared" si="1"/>
      </x:c>
      <x:c r="Z46" s="9" t="s">
        <x:v>870</x:v>
      </x:c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12" t="str">
        <x:f t="shared" si="2"/>
      </x:c>
      <x:c r="AM46" s="11" t="str">
        <x:f t="shared" si="3"/>
      </x:c>
      <x:c r="AN46" s="11" t="str">
        <x:f t="shared" si="4"/>
      </x:c>
      <x:c r="AO46" s="9"/>
      <x:c r="AP46" s="9"/>
      <x:c r="AQ46" s="27" t="s">
        <x:v>262</x:v>
      </x:c>
    </x:row>
    <x:row r="47" ht="118.05000305175781" customHeight="1">
      <x:c r="A47" s="6" t="s">
        <x:v>921</x:v>
      </x:c>
      <x:c r="B47" s="6" t="s">
        <x:v>258</x:v>
      </x:c>
      <x:c r="C47" s="6" t="s">
        <x:v>29</x:v>
      </x:c>
      <x:c r="D47" s="6" t="s">
        <x:v>259</x:v>
      </x:c>
      <x:c r="E47" s="6" t="s">
        <x:v>260</x:v>
      </x:c>
      <x:c r="F47" s="6" t="s">
        <x:v>261</x:v>
      </x:c>
      <x:c r="G47" s="6" t="s">
        <x:v>724</x:v>
      </x:c>
      <x:c r="H47" s="6" t="s">
        <x:v>726</x:v>
      </x:c>
      <x:c r="I47" s="6" t="s">
        <x:v>910</x:v>
      </x:c>
      <x:c r="J47" s="6" t="s">
        <x:v>911</x:v>
      </x:c>
      <x:c r="K47" s="6" t="s">
        <x:v>263</x:v>
      </x:c>
      <x:c r="L47" s="6" t="s">
        <x:v>198</x:v>
      </x:c>
      <x:c r="M47" s="6" t="s">
        <x:v>264</x:v>
      </x:c>
      <x:c r="N47" s="6" t="s">
        <x:v>265</x:v>
      </x:c>
      <x:c r="O47" s="6" t="s">
        <x:v>230</x:v>
      </x:c>
      <x:c r="P47" s="9"/>
      <x:c r="Q47" s="9"/>
      <x:c r="R47" s="9"/>
      <x:c r="S47" s="9"/>
      <x:c r="T47" s="9"/>
      <x:c r="U47" s="9"/>
      <x:c r="V47" s="9"/>
      <x:c r="W47" s="9"/>
      <x:c r="X47" s="12" t="str">
        <x:f t="shared" si="0"/>
      </x:c>
      <x:c r="Y47" s="12" t="str">
        <x:f t="shared" si="1"/>
      </x:c>
      <x:c r="Z47" s="9" t="s">
        <x:v>870</x:v>
      </x:c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12" t="str">
        <x:f t="shared" si="2"/>
      </x:c>
      <x:c r="AM47" s="11" t="str">
        <x:f t="shared" si="3"/>
      </x:c>
      <x:c r="AN47" s="11" t="str">
        <x:f t="shared" si="4"/>
      </x:c>
      <x:c r="AO47" s="9"/>
      <x:c r="AP47" s="9"/>
      <x:c r="AQ47" s="27" t="s">
        <x:v>262</x:v>
      </x:c>
    </x:row>
    <x:row r="48" ht="118.05000305175781" customHeight="1">
      <x:c r="A48" s="6" t="s">
        <x:v>922</x:v>
      </x:c>
      <x:c r="B48" s="6" t="s">
        <x:v>266</x:v>
      </x:c>
      <x:c r="C48" s="6" t="s">
        <x:v>29</x:v>
      </x:c>
      <x:c r="D48" s="6" t="s">
        <x:v>267</x:v>
      </x:c>
      <x:c r="E48" s="6" t="s">
        <x:v>268</x:v>
      </x:c>
      <x:c r="F48" s="6" t="s">
        <x:v>269</x:v>
      </x:c>
      <x:c r="G48" s="6" t="s">
        <x:v>271</x:v>
      </x:c>
      <x:c r="H48" s="6" t="s">
        <x:v>721</x:v>
      </x:c>
      <x:c r="I48" s="6" t="s">
        <x:v>868</x:v>
      </x:c>
      <x:c r="J48" s="6" t="s">
        <x:v>869</x:v>
      </x:c>
      <x:c r="K48" s="6" t="s">
        <x:v>272</x:v>
      </x:c>
      <x:c r="L48" s="6" t="s">
        <x:v>198</x:v>
      </x:c>
      <x:c r="M48" s="6" t="s">
        <x:v>273</x:v>
      </x:c>
      <x:c r="N48" s="6" t="s">
        <x:v>274</x:v>
      </x:c>
      <x:c r="O48" s="6" t="s">
        <x:v>275</x:v>
      </x:c>
      <x:c r="P48" s="9"/>
      <x:c r="Q48" s="9"/>
      <x:c r="R48" s="9"/>
      <x:c r="S48" s="9"/>
      <x:c r="T48" s="9"/>
      <x:c r="U48" s="9"/>
      <x:c r="V48" s="9"/>
      <x:c r="W48" s="9"/>
      <x:c r="X48" s="12" t="str">
        <x:f t="shared" si="0"/>
      </x:c>
      <x:c r="Y48" s="12" t="str">
        <x:f t="shared" si="1"/>
      </x:c>
      <x:c r="Z48" s="9" t="s">
        <x:v>870</x:v>
      </x:c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12" t="str">
        <x:f t="shared" si="2"/>
      </x:c>
      <x:c r="AM48" s="11" t="str">
        <x:f t="shared" si="3"/>
      </x:c>
      <x:c r="AN48" s="11" t="str">
        <x:f t="shared" si="4"/>
      </x:c>
      <x:c r="AO48" s="9"/>
      <x:c r="AP48" s="9"/>
      <x:c r="AQ48" s="27" t="s">
        <x:v>270</x:v>
      </x:c>
    </x:row>
    <x:row r="49" ht="118.05000305175781" customHeight="1">
      <x:c r="A49" s="6" t="s">
        <x:v>923</x:v>
      </x:c>
      <x:c r="B49" s="6" t="s">
        <x:v>266</x:v>
      </x:c>
      <x:c r="C49" s="6" t="s">
        <x:v>29</x:v>
      </x:c>
      <x:c r="D49" s="6" t="s">
        <x:v>267</x:v>
      </x:c>
      <x:c r="E49" s="6" t="s">
        <x:v>268</x:v>
      </x:c>
      <x:c r="F49" s="6" t="s">
        <x:v>269</x:v>
      </x:c>
      <x:c r="G49" s="6" t="s">
        <x:v>271</x:v>
      </x:c>
      <x:c r="H49" s="6" t="s">
        <x:v>721</x:v>
      </x:c>
      <x:c r="I49" s="6" t="s">
        <x:v>872</x:v>
      </x:c>
      <x:c r="J49" s="6" t="s">
        <x:v>873</x:v>
      </x:c>
      <x:c r="K49" s="6" t="s">
        <x:v>272</x:v>
      </x:c>
      <x:c r="L49" s="6" t="s">
        <x:v>198</x:v>
      </x:c>
      <x:c r="M49" s="6" t="s">
        <x:v>273</x:v>
      </x:c>
      <x:c r="N49" s="6" t="s">
        <x:v>274</x:v>
      </x:c>
      <x:c r="O49" s="6" t="s">
        <x:v>275</x:v>
      </x:c>
      <x:c r="P49" s="9"/>
      <x:c r="Q49" s="9"/>
      <x:c r="R49" s="9"/>
      <x:c r="S49" s="9"/>
      <x:c r="T49" s="9"/>
      <x:c r="U49" s="9"/>
      <x:c r="V49" s="9"/>
      <x:c r="W49" s="9"/>
      <x:c r="X49" s="12" t="str">
        <x:f t="shared" si="0"/>
      </x:c>
      <x:c r="Y49" s="12" t="str">
        <x:f t="shared" si="1"/>
      </x:c>
      <x:c r="Z49" s="9" t="s">
        <x:v>870</x:v>
      </x:c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12" t="str">
        <x:f t="shared" si="2"/>
      </x:c>
      <x:c r="AM49" s="11" t="str">
        <x:f t="shared" si="3"/>
      </x:c>
      <x:c r="AN49" s="11" t="str">
        <x:f t="shared" si="4"/>
      </x:c>
      <x:c r="AO49" s="9"/>
      <x:c r="AP49" s="9"/>
      <x:c r="AQ49" s="27" t="s">
        <x:v>270</x:v>
      </x:c>
    </x:row>
    <x:row r="50" ht="118.05000305175781" customHeight="1">
      <x:c r="A50" s="6" t="s">
        <x:v>924</x:v>
      </x:c>
      <x:c r="B50" s="6" t="s">
        <x:v>276</x:v>
      </x:c>
      <x:c r="C50" s="6" t="s">
        <x:v>36</x:v>
      </x:c>
      <x:c r="D50" s="6" t="s">
        <x:v>277</x:v>
      </x:c>
      <x:c r="E50" s="6" t="s">
        <x:v>192</x:v>
      </x:c>
      <x:c r="F50" s="6" t="s">
        <x:v>278</x:v>
      </x:c>
      <x:c r="G50" s="6" t="s">
        <x:v>696</x:v>
      </x:c>
      <x:c r="H50" s="6" t="s">
        <x:v>698</x:v>
      </x:c>
      <x:c r="I50" s="6" t="s">
        <x:v>890</x:v>
      </x:c>
      <x:c r="J50" s="6" t="s">
        <x:v>891</x:v>
      </x:c>
      <x:c r="K50" s="6" t="s">
        <x:v>281</x:v>
      </x:c>
      <x:c r="L50" s="6" t="s">
        <x:v>282</x:v>
      </x:c>
      <x:c r="M50" s="6" t="s">
        <x:v>283</x:v>
      </x:c>
      <x:c r="N50" s="6" t="s">
        <x:v>284</x:v>
      </x:c>
      <x:c r="O50" s="6" t="s">
        <x:v>285</x:v>
      </x:c>
      <x:c r="P50" s="9"/>
      <x:c r="Q50" s="9"/>
      <x:c r="R50" s="9"/>
      <x:c r="S50" s="9"/>
      <x:c r="T50" s="9"/>
      <x:c r="U50" s="9"/>
      <x:c r="V50" s="9"/>
      <x:c r="W50" s="9"/>
      <x:c r="X50" s="12" t="str">
        <x:f t="shared" si="0"/>
      </x:c>
      <x:c r="Y50" s="12" t="str">
        <x:f t="shared" si="1"/>
      </x:c>
      <x:c r="Z50" s="9" t="s">
        <x:v>870</x:v>
      </x:c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12" t="str">
        <x:f t="shared" si="2"/>
      </x:c>
      <x:c r="AM50" s="11" t="str">
        <x:f t="shared" si="3"/>
      </x:c>
      <x:c r="AN50" s="11" t="str">
        <x:f t="shared" si="4"/>
      </x:c>
      <x:c r="AO50" s="9"/>
      <x:c r="AP50" s="9"/>
      <x:c r="AQ50" s="27" t="s">
        <x:v>279</x:v>
      </x:c>
    </x:row>
    <x:row r="51" ht="118.05000305175781" customHeight="1">
      <x:c r="A51" s="6" t="s">
        <x:v>925</x:v>
      </x:c>
      <x:c r="B51" s="6" t="s">
        <x:v>276</x:v>
      </x:c>
      <x:c r="C51" s="6" t="s">
        <x:v>36</x:v>
      </x:c>
      <x:c r="D51" s="6" t="s">
        <x:v>277</x:v>
      </x:c>
      <x:c r="E51" s="6" t="s">
        <x:v>192</x:v>
      </x:c>
      <x:c r="F51" s="6" t="s">
        <x:v>278</x:v>
      </x:c>
      <x:c r="G51" s="6" t="s">
        <x:v>696</x:v>
      </x:c>
      <x:c r="H51" s="6" t="s">
        <x:v>698</x:v>
      </x:c>
      <x:c r="I51" s="6" t="s">
        <x:v>872</x:v>
      </x:c>
      <x:c r="J51" s="6" t="s">
        <x:v>873</x:v>
      </x:c>
      <x:c r="K51" s="6" t="s">
        <x:v>281</x:v>
      </x:c>
      <x:c r="L51" s="6" t="s">
        <x:v>282</x:v>
      </x:c>
      <x:c r="M51" s="6" t="s">
        <x:v>283</x:v>
      </x:c>
      <x:c r="N51" s="6" t="s">
        <x:v>284</x:v>
      </x:c>
      <x:c r="O51" s="6" t="s">
        <x:v>285</x:v>
      </x:c>
      <x:c r="P51" s="9"/>
      <x:c r="Q51" s="9"/>
      <x:c r="R51" s="9"/>
      <x:c r="S51" s="9"/>
      <x:c r="T51" s="9"/>
      <x:c r="U51" s="9"/>
      <x:c r="V51" s="9"/>
      <x:c r="W51" s="9"/>
      <x:c r="X51" s="12" t="str">
        <x:f t="shared" si="0"/>
      </x:c>
      <x:c r="Y51" s="12" t="str">
        <x:f t="shared" si="1"/>
      </x:c>
      <x:c r="Z51" s="9" t="s">
        <x:v>870</x:v>
      </x:c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12" t="str">
        <x:f t="shared" si="2"/>
      </x:c>
      <x:c r="AM51" s="11" t="str">
        <x:f t="shared" si="3"/>
      </x:c>
      <x:c r="AN51" s="11" t="str">
        <x:f t="shared" si="4"/>
      </x:c>
      <x:c r="AO51" s="9"/>
      <x:c r="AP51" s="9"/>
      <x:c r="AQ51" s="27" t="s">
        <x:v>279</x:v>
      </x:c>
    </x:row>
    <x:row r="52" ht="118.05000305175781" customHeight="1">
      <x:c r="A52" s="6" t="s">
        <x:v>926</x:v>
      </x:c>
      <x:c r="B52" s="6" t="s">
        <x:v>276</x:v>
      </x:c>
      <x:c r="C52" s="6" t="s">
        <x:v>36</x:v>
      </x:c>
      <x:c r="D52" s="6" t="s">
        <x:v>277</x:v>
      </x:c>
      <x:c r="E52" s="6" t="s">
        <x:v>192</x:v>
      </x:c>
      <x:c r="F52" s="6" t="s">
        <x:v>278</x:v>
      </x:c>
      <x:c r="G52" s="6" t="s">
        <x:v>702</x:v>
      </x:c>
      <x:c r="H52" s="6" t="s">
        <x:v>704</x:v>
      </x:c>
      <x:c r="I52" s="6" t="s">
        <x:v>890</x:v>
      </x:c>
      <x:c r="J52" s="6" t="s">
        <x:v>891</x:v>
      </x:c>
      <x:c r="K52" s="6" t="s">
        <x:v>281</x:v>
      </x:c>
      <x:c r="L52" s="6" t="s">
        <x:v>282</x:v>
      </x:c>
      <x:c r="M52" s="6" t="s">
        <x:v>283</x:v>
      </x:c>
      <x:c r="N52" s="6" t="s">
        <x:v>284</x:v>
      </x:c>
      <x:c r="O52" s="6" t="s">
        <x:v>285</x:v>
      </x:c>
      <x:c r="P52" s="9"/>
      <x:c r="Q52" s="9"/>
      <x:c r="R52" s="9"/>
      <x:c r="S52" s="9"/>
      <x:c r="T52" s="9"/>
      <x:c r="U52" s="9"/>
      <x:c r="V52" s="9"/>
      <x:c r="W52" s="9"/>
      <x:c r="X52" s="12" t="str">
        <x:f t="shared" si="0"/>
      </x:c>
      <x:c r="Y52" s="12" t="str">
        <x:f t="shared" si="1"/>
      </x:c>
      <x:c r="Z52" s="9" t="s">
        <x:v>870</x:v>
      </x:c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12" t="str">
        <x:f t="shared" si="2"/>
      </x:c>
      <x:c r="AM52" s="11" t="str">
        <x:f t="shared" si="3"/>
      </x:c>
      <x:c r="AN52" s="11" t="str">
        <x:f t="shared" si="4"/>
      </x:c>
      <x:c r="AO52" s="9"/>
      <x:c r="AP52" s="9"/>
      <x:c r="AQ52" s="27" t="s">
        <x:v>279</x:v>
      </x:c>
    </x:row>
    <x:row r="53" ht="118.05000305175781" customHeight="1">
      <x:c r="A53" s="6" t="s">
        <x:v>927</x:v>
      </x:c>
      <x:c r="B53" s="6" t="s">
        <x:v>276</x:v>
      </x:c>
      <x:c r="C53" s="6" t="s">
        <x:v>36</x:v>
      </x:c>
      <x:c r="D53" s="6" t="s">
        <x:v>277</x:v>
      </x:c>
      <x:c r="E53" s="6" t="s">
        <x:v>192</x:v>
      </x:c>
      <x:c r="F53" s="6" t="s">
        <x:v>278</x:v>
      </x:c>
      <x:c r="G53" s="6" t="s">
        <x:v>702</x:v>
      </x:c>
      <x:c r="H53" s="6" t="s">
        <x:v>704</x:v>
      </x:c>
      <x:c r="I53" s="6" t="s">
        <x:v>872</x:v>
      </x:c>
      <x:c r="J53" s="6" t="s">
        <x:v>873</x:v>
      </x:c>
      <x:c r="K53" s="6" t="s">
        <x:v>281</x:v>
      </x:c>
      <x:c r="L53" s="6" t="s">
        <x:v>282</x:v>
      </x:c>
      <x:c r="M53" s="6" t="s">
        <x:v>283</x:v>
      </x:c>
      <x:c r="N53" s="6" t="s">
        <x:v>284</x:v>
      </x:c>
      <x:c r="O53" s="6" t="s">
        <x:v>285</x:v>
      </x:c>
      <x:c r="P53" s="9"/>
      <x:c r="Q53" s="9"/>
      <x:c r="R53" s="9"/>
      <x:c r="S53" s="9"/>
      <x:c r="T53" s="9"/>
      <x:c r="U53" s="9"/>
      <x:c r="V53" s="9"/>
      <x:c r="W53" s="9"/>
      <x:c r="X53" s="12" t="str">
        <x:f t="shared" si="0"/>
      </x:c>
      <x:c r="Y53" s="12" t="str">
        <x:f t="shared" si="1"/>
      </x:c>
      <x:c r="Z53" s="9" t="s">
        <x:v>870</x:v>
      </x:c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12" t="str">
        <x:f t="shared" si="2"/>
      </x:c>
      <x:c r="AM53" s="11" t="str">
        <x:f t="shared" si="3"/>
      </x:c>
      <x:c r="AN53" s="11" t="str">
        <x:f t="shared" si="4"/>
      </x:c>
      <x:c r="AO53" s="9"/>
      <x:c r="AP53" s="9"/>
      <x:c r="AQ53" s="27" t="s">
        <x:v>279</x:v>
      </x:c>
    </x:row>
    <x:row r="54" ht="118.05000305175781" customHeight="1">
      <x:c r="A54" s="6" t="s">
        <x:v>928</x:v>
      </x:c>
      <x:c r="B54" s="6" t="s">
        <x:v>276</x:v>
      </x:c>
      <x:c r="C54" s="6" t="s">
        <x:v>36</x:v>
      </x:c>
      <x:c r="D54" s="6" t="s">
        <x:v>277</x:v>
      </x:c>
      <x:c r="E54" s="6" t="s">
        <x:v>192</x:v>
      </x:c>
      <x:c r="F54" s="6" t="s">
        <x:v>278</x:v>
      </x:c>
      <x:c r="G54" s="6" t="s">
        <x:v>707</x:v>
      </x:c>
      <x:c r="H54" s="6" t="s">
        <x:v>709</x:v>
      </x:c>
      <x:c r="I54" s="6" t="s">
        <x:v>890</x:v>
      </x:c>
      <x:c r="J54" s="6" t="s">
        <x:v>891</x:v>
      </x:c>
      <x:c r="K54" s="6" t="s">
        <x:v>281</x:v>
      </x:c>
      <x:c r="L54" s="6" t="s">
        <x:v>282</x:v>
      </x:c>
      <x:c r="M54" s="6" t="s">
        <x:v>283</x:v>
      </x:c>
      <x:c r="N54" s="6" t="s">
        <x:v>284</x:v>
      </x:c>
      <x:c r="O54" s="6" t="s">
        <x:v>285</x:v>
      </x:c>
      <x:c r="P54" s="9"/>
      <x:c r="Q54" s="9"/>
      <x:c r="R54" s="9"/>
      <x:c r="S54" s="9"/>
      <x:c r="T54" s="9"/>
      <x:c r="U54" s="9"/>
      <x:c r="V54" s="9"/>
      <x:c r="W54" s="9"/>
      <x:c r="X54" s="12" t="str">
        <x:f t="shared" si="0"/>
      </x:c>
      <x:c r="Y54" s="12" t="str">
        <x:f t="shared" si="1"/>
      </x:c>
      <x:c r="Z54" s="9" t="s">
        <x:v>870</x:v>
      </x:c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12" t="str">
        <x:f t="shared" si="2"/>
      </x:c>
      <x:c r="AM54" s="11" t="str">
        <x:f t="shared" si="3"/>
      </x:c>
      <x:c r="AN54" s="11" t="str">
        <x:f t="shared" si="4"/>
      </x:c>
      <x:c r="AO54" s="9"/>
      <x:c r="AP54" s="9"/>
      <x:c r="AQ54" s="27" t="s">
        <x:v>279</x:v>
      </x:c>
    </x:row>
    <x:row r="55" ht="118.05000305175781" customHeight="1">
      <x:c r="A55" s="6" t="s">
        <x:v>929</x:v>
      </x:c>
      <x:c r="B55" s="6" t="s">
        <x:v>276</x:v>
      </x:c>
      <x:c r="C55" s="6" t="s">
        <x:v>36</x:v>
      </x:c>
      <x:c r="D55" s="6" t="s">
        <x:v>277</x:v>
      </x:c>
      <x:c r="E55" s="6" t="s">
        <x:v>192</x:v>
      </x:c>
      <x:c r="F55" s="6" t="s">
        <x:v>278</x:v>
      </x:c>
      <x:c r="G55" s="6" t="s">
        <x:v>707</x:v>
      </x:c>
      <x:c r="H55" s="6" t="s">
        <x:v>709</x:v>
      </x:c>
      <x:c r="I55" s="6" t="s">
        <x:v>872</x:v>
      </x:c>
      <x:c r="J55" s="6" t="s">
        <x:v>873</x:v>
      </x:c>
      <x:c r="K55" s="6" t="s">
        <x:v>281</x:v>
      </x:c>
      <x:c r="L55" s="6" t="s">
        <x:v>282</x:v>
      </x:c>
      <x:c r="M55" s="6" t="s">
        <x:v>283</x:v>
      </x:c>
      <x:c r="N55" s="6" t="s">
        <x:v>284</x:v>
      </x:c>
      <x:c r="O55" s="6" t="s">
        <x:v>285</x:v>
      </x:c>
      <x:c r="P55" s="9"/>
      <x:c r="Q55" s="9"/>
      <x:c r="R55" s="9"/>
      <x:c r="S55" s="9"/>
      <x:c r="T55" s="9"/>
      <x:c r="U55" s="9"/>
      <x:c r="V55" s="9"/>
      <x:c r="W55" s="9"/>
      <x:c r="X55" s="12" t="str">
        <x:f t="shared" si="0"/>
      </x:c>
      <x:c r="Y55" s="12" t="str">
        <x:f t="shared" si="1"/>
      </x:c>
      <x:c r="Z55" s="9" t="s">
        <x:v>870</x:v>
      </x:c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12" t="str">
        <x:f t="shared" si="2"/>
      </x:c>
      <x:c r="AM55" s="11" t="str">
        <x:f t="shared" si="3"/>
      </x:c>
      <x:c r="AN55" s="11" t="str">
        <x:f t="shared" si="4"/>
      </x:c>
      <x:c r="AO55" s="9"/>
      <x:c r="AP55" s="9"/>
      <x:c r="AQ55" s="27" t="s">
        <x:v>279</x:v>
      </x:c>
    </x:row>
    <x:row r="56" ht="118.05000305175781" customHeight="1">
      <x:c r="A56" s="6" t="s">
        <x:v>930</x:v>
      </x:c>
      <x:c r="B56" s="6" t="s">
        <x:v>287</x:v>
      </x:c>
      <x:c r="C56" s="6" t="s">
        <x:v>36</x:v>
      </x:c>
      <x:c r="D56" s="6" t="s">
        <x:v>288</x:v>
      </x:c>
      <x:c r="E56" s="6" t="s">
        <x:v>205</x:v>
      </x:c>
      <x:c r="F56" s="6" t="s">
        <x:v>289</x:v>
      </x:c>
      <x:c r="G56" s="6" t="s">
        <x:v>696</x:v>
      </x:c>
      <x:c r="H56" s="6" t="s">
        <x:v>698</x:v>
      </x:c>
      <x:c r="I56" s="6" t="s">
        <x:v>890</x:v>
      </x:c>
      <x:c r="J56" s="6" t="s">
        <x:v>891</x:v>
      </x:c>
      <x:c r="K56" s="6" t="s">
        <x:v>292</x:v>
      </x:c>
      <x:c r="L56" s="6" t="s">
        <x:v>282</x:v>
      </x:c>
      <x:c r="M56" s="6" t="s">
        <x:v>293</x:v>
      </x:c>
      <x:c r="N56" s="6" t="s">
        <x:v>294</x:v>
      </x:c>
      <x:c r="O56" s="6" t="s">
        <x:v>295</x:v>
      </x:c>
      <x:c r="P56" s="9"/>
      <x:c r="Q56" s="9"/>
      <x:c r="R56" s="9"/>
      <x:c r="S56" s="9"/>
      <x:c r="T56" s="9"/>
      <x:c r="U56" s="9"/>
      <x:c r="V56" s="9"/>
      <x:c r="W56" s="9"/>
      <x:c r="X56" s="12" t="str">
        <x:f t="shared" si="0"/>
      </x:c>
      <x:c r="Y56" s="12" t="str">
        <x:f t="shared" si="1"/>
      </x:c>
      <x:c r="Z56" s="9" t="s">
        <x:v>870</x:v>
      </x:c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12" t="str">
        <x:f t="shared" si="2"/>
      </x:c>
      <x:c r="AM56" s="11" t="str">
        <x:f t="shared" si="3"/>
      </x:c>
      <x:c r="AN56" s="11" t="str">
        <x:f t="shared" si="4"/>
      </x:c>
      <x:c r="AO56" s="9"/>
      <x:c r="AP56" s="9"/>
      <x:c r="AQ56" s="27" t="s">
        <x:v>290</x:v>
      </x:c>
    </x:row>
    <x:row r="57" ht="118.05000305175781" customHeight="1">
      <x:c r="A57" s="6" t="s">
        <x:v>931</x:v>
      </x:c>
      <x:c r="B57" s="6" t="s">
        <x:v>287</x:v>
      </x:c>
      <x:c r="C57" s="6" t="s">
        <x:v>36</x:v>
      </x:c>
      <x:c r="D57" s="6" t="s">
        <x:v>288</x:v>
      </x:c>
      <x:c r="E57" s="6" t="s">
        <x:v>205</x:v>
      </x:c>
      <x:c r="F57" s="6" t="s">
        <x:v>289</x:v>
      </x:c>
      <x:c r="G57" s="6" t="s">
        <x:v>696</x:v>
      </x:c>
      <x:c r="H57" s="6" t="s">
        <x:v>698</x:v>
      </x:c>
      <x:c r="I57" s="6" t="s">
        <x:v>932</x:v>
      </x:c>
      <x:c r="J57" s="6" t="s">
        <x:v>933</x:v>
      </x:c>
      <x:c r="K57" s="6" t="s">
        <x:v>292</x:v>
      </x:c>
      <x:c r="L57" s="6" t="s">
        <x:v>282</x:v>
      </x:c>
      <x:c r="M57" s="6" t="s">
        <x:v>293</x:v>
      </x:c>
      <x:c r="N57" s="6" t="s">
        <x:v>294</x:v>
      </x:c>
      <x:c r="O57" s="6" t="s">
        <x:v>295</x:v>
      </x:c>
      <x:c r="P57" s="9"/>
      <x:c r="Q57" s="9"/>
      <x:c r="R57" s="9"/>
      <x:c r="S57" s="9"/>
      <x:c r="T57" s="9"/>
      <x:c r="U57" s="9"/>
      <x:c r="V57" s="9"/>
      <x:c r="W57" s="9"/>
      <x:c r="X57" s="12" t="str">
        <x:f t="shared" si="0"/>
      </x:c>
      <x:c r="Y57" s="12" t="str">
        <x:f t="shared" si="1"/>
      </x:c>
      <x:c r="Z57" s="9" t="s">
        <x:v>870</x:v>
      </x:c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12" t="str">
        <x:f t="shared" si="2"/>
      </x:c>
      <x:c r="AM57" s="11" t="str">
        <x:f t="shared" si="3"/>
      </x:c>
      <x:c r="AN57" s="11" t="str">
        <x:f t="shared" si="4"/>
      </x:c>
      <x:c r="AO57" s="9"/>
      <x:c r="AP57" s="9"/>
      <x:c r="AQ57" s="27" t="s">
        <x:v>290</x:v>
      </x:c>
    </x:row>
    <x:row r="58" ht="118.05000305175781" customHeight="1">
      <x:c r="A58" s="6" t="s">
        <x:v>934</x:v>
      </x:c>
      <x:c r="B58" s="6" t="s">
        <x:v>287</x:v>
      </x:c>
      <x:c r="C58" s="6" t="s">
        <x:v>36</x:v>
      </x:c>
      <x:c r="D58" s="6" t="s">
        <x:v>288</x:v>
      </x:c>
      <x:c r="E58" s="6" t="s">
        <x:v>205</x:v>
      </x:c>
      <x:c r="F58" s="6" t="s">
        <x:v>289</x:v>
      </x:c>
      <x:c r="G58" s="6" t="s">
        <x:v>707</x:v>
      </x:c>
      <x:c r="H58" s="6" t="s">
        <x:v>709</x:v>
      </x:c>
      <x:c r="I58" s="6" t="s">
        <x:v>890</x:v>
      </x:c>
      <x:c r="J58" s="6" t="s">
        <x:v>891</x:v>
      </x:c>
      <x:c r="K58" s="6" t="s">
        <x:v>292</x:v>
      </x:c>
      <x:c r="L58" s="6" t="s">
        <x:v>282</x:v>
      </x:c>
      <x:c r="M58" s="6" t="s">
        <x:v>293</x:v>
      </x:c>
      <x:c r="N58" s="6" t="s">
        <x:v>294</x:v>
      </x:c>
      <x:c r="O58" s="6" t="s">
        <x:v>295</x:v>
      </x:c>
      <x:c r="P58" s="9"/>
      <x:c r="Q58" s="9"/>
      <x:c r="R58" s="9"/>
      <x:c r="S58" s="9"/>
      <x:c r="T58" s="9"/>
      <x:c r="U58" s="9"/>
      <x:c r="V58" s="9"/>
      <x:c r="W58" s="9"/>
      <x:c r="X58" s="12" t="str">
        <x:f t="shared" si="0"/>
      </x:c>
      <x:c r="Y58" s="12" t="str">
        <x:f t="shared" si="1"/>
      </x:c>
      <x:c r="Z58" s="9" t="s">
        <x:v>870</x:v>
      </x:c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12" t="str">
        <x:f t="shared" si="2"/>
      </x:c>
      <x:c r="AM58" s="11" t="str">
        <x:f t="shared" si="3"/>
      </x:c>
      <x:c r="AN58" s="11" t="str">
        <x:f t="shared" si="4"/>
      </x:c>
      <x:c r="AO58" s="9"/>
      <x:c r="AP58" s="9"/>
      <x:c r="AQ58" s="27" t="s">
        <x:v>290</x:v>
      </x:c>
    </x:row>
    <x:row r="59" ht="118.05000305175781" customHeight="1">
      <x:c r="A59" s="6" t="s">
        <x:v>935</x:v>
      </x:c>
      <x:c r="B59" s="6" t="s">
        <x:v>287</x:v>
      </x:c>
      <x:c r="C59" s="6" t="s">
        <x:v>36</x:v>
      </x:c>
      <x:c r="D59" s="6" t="s">
        <x:v>288</x:v>
      </x:c>
      <x:c r="E59" s="6" t="s">
        <x:v>205</x:v>
      </x:c>
      <x:c r="F59" s="6" t="s">
        <x:v>289</x:v>
      </x:c>
      <x:c r="G59" s="6" t="s">
        <x:v>707</x:v>
      </x:c>
      <x:c r="H59" s="6" t="s">
        <x:v>709</x:v>
      </x:c>
      <x:c r="I59" s="6" t="s">
        <x:v>932</x:v>
      </x:c>
      <x:c r="J59" s="6" t="s">
        <x:v>933</x:v>
      </x:c>
      <x:c r="K59" s="6" t="s">
        <x:v>292</x:v>
      </x:c>
      <x:c r="L59" s="6" t="s">
        <x:v>282</x:v>
      </x:c>
      <x:c r="M59" s="6" t="s">
        <x:v>293</x:v>
      </x:c>
      <x:c r="N59" s="6" t="s">
        <x:v>294</x:v>
      </x:c>
      <x:c r="O59" s="6" t="s">
        <x:v>295</x:v>
      </x:c>
      <x:c r="P59" s="9"/>
      <x:c r="Q59" s="9"/>
      <x:c r="R59" s="9"/>
      <x:c r="S59" s="9"/>
      <x:c r="T59" s="9"/>
      <x:c r="U59" s="9"/>
      <x:c r="V59" s="9"/>
      <x:c r="W59" s="9"/>
      <x:c r="X59" s="12" t="str">
        <x:f t="shared" si="0"/>
      </x:c>
      <x:c r="Y59" s="12" t="str">
        <x:f t="shared" si="1"/>
      </x:c>
      <x:c r="Z59" s="9" t="s">
        <x:v>870</x:v>
      </x:c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12" t="str">
        <x:f t="shared" si="2"/>
      </x:c>
      <x:c r="AM59" s="11" t="str">
        <x:f t="shared" si="3"/>
      </x:c>
      <x:c r="AN59" s="11" t="str">
        <x:f t="shared" si="4"/>
      </x:c>
      <x:c r="AO59" s="9"/>
      <x:c r="AP59" s="9"/>
      <x:c r="AQ59" s="27" t="s">
        <x:v>290</x:v>
      </x:c>
    </x:row>
    <x:row r="60" ht="118.05000305175781" customHeight="1">
      <x:c r="A60" s="6" t="s">
        <x:v>936</x:v>
      </x:c>
      <x:c r="B60" s="6" t="s">
        <x:v>296</x:v>
      </x:c>
      <x:c r="C60" s="6" t="s">
        <x:v>36</x:v>
      </x:c>
      <x:c r="D60" s="6" t="s">
        <x:v>297</x:v>
      </x:c>
      <x:c r="E60" s="6" t="s">
        <x:v>214</x:v>
      </x:c>
      <x:c r="F60" s="6" t="s">
        <x:v>298</x:v>
      </x:c>
      <x:c r="G60" s="6" t="s">
        <x:v>696</x:v>
      </x:c>
      <x:c r="H60" s="6" t="s">
        <x:v>698</x:v>
      </x:c>
      <x:c r="I60" s="6" t="s">
        <x:v>890</x:v>
      </x:c>
      <x:c r="J60" s="6" t="s">
        <x:v>891</x:v>
      </x:c>
      <x:c r="K60" s="6" t="s">
        <x:v>300</x:v>
      </x:c>
      <x:c r="L60" s="6" t="s">
        <x:v>282</x:v>
      </x:c>
      <x:c r="M60" s="6" t="s">
        <x:v>301</x:v>
      </x:c>
      <x:c r="N60" s="6" t="s">
        <x:v>302</x:v>
      </x:c>
      <x:c r="O60" s="6" t="s">
        <x:v>303</x:v>
      </x:c>
      <x:c r="P60" s="9"/>
      <x:c r="Q60" s="9"/>
      <x:c r="R60" s="9"/>
      <x:c r="S60" s="9"/>
      <x:c r="T60" s="9"/>
      <x:c r="U60" s="9"/>
      <x:c r="V60" s="9"/>
      <x:c r="W60" s="9"/>
      <x:c r="X60" s="12" t="str">
        <x:f t="shared" si="0"/>
      </x:c>
      <x:c r="Y60" s="12" t="str">
        <x:f t="shared" si="1"/>
      </x:c>
      <x:c r="Z60" s="9" t="s">
        <x:v>870</x:v>
      </x:c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12" t="str">
        <x:f t="shared" si="2"/>
      </x:c>
      <x:c r="AM60" s="11" t="str">
        <x:f t="shared" si="3"/>
      </x:c>
      <x:c r="AN60" s="11" t="str">
        <x:f t="shared" si="4"/>
      </x:c>
      <x:c r="AO60" s="9"/>
      <x:c r="AP60" s="9"/>
      <x:c r="AQ60" s="27" t="s">
        <x:v>299</x:v>
      </x:c>
    </x:row>
    <x:row r="61" ht="118.05000305175781" customHeight="1">
      <x:c r="A61" s="6" t="s">
        <x:v>937</x:v>
      </x:c>
      <x:c r="B61" s="6" t="s">
        <x:v>296</x:v>
      </x:c>
      <x:c r="C61" s="6" t="s">
        <x:v>36</x:v>
      </x:c>
      <x:c r="D61" s="6" t="s">
        <x:v>297</x:v>
      </x:c>
      <x:c r="E61" s="6" t="s">
        <x:v>214</x:v>
      </x:c>
      <x:c r="F61" s="6" t="s">
        <x:v>298</x:v>
      </x:c>
      <x:c r="G61" s="6" t="s">
        <x:v>696</x:v>
      </x:c>
      <x:c r="H61" s="6" t="s">
        <x:v>698</x:v>
      </x:c>
      <x:c r="I61" s="6" t="s">
        <x:v>872</x:v>
      </x:c>
      <x:c r="J61" s="6" t="s">
        <x:v>873</x:v>
      </x:c>
      <x:c r="K61" s="6" t="s">
        <x:v>300</x:v>
      </x:c>
      <x:c r="L61" s="6" t="s">
        <x:v>282</x:v>
      </x:c>
      <x:c r="M61" s="6" t="s">
        <x:v>301</x:v>
      </x:c>
      <x:c r="N61" s="6" t="s">
        <x:v>302</x:v>
      </x:c>
      <x:c r="O61" s="6" t="s">
        <x:v>303</x:v>
      </x:c>
      <x:c r="P61" s="9"/>
      <x:c r="Q61" s="9"/>
      <x:c r="R61" s="9"/>
      <x:c r="S61" s="9"/>
      <x:c r="T61" s="9"/>
      <x:c r="U61" s="9"/>
      <x:c r="V61" s="9"/>
      <x:c r="W61" s="9"/>
      <x:c r="X61" s="12" t="str">
        <x:f t="shared" si="0"/>
      </x:c>
      <x:c r="Y61" s="12" t="str">
        <x:f t="shared" si="1"/>
      </x:c>
      <x:c r="Z61" s="9" t="s">
        <x:v>870</x:v>
      </x:c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12" t="str">
        <x:f t="shared" si="2"/>
      </x:c>
      <x:c r="AM61" s="11" t="str">
        <x:f t="shared" si="3"/>
      </x:c>
      <x:c r="AN61" s="11" t="str">
        <x:f t="shared" si="4"/>
      </x:c>
      <x:c r="AO61" s="9"/>
      <x:c r="AP61" s="9"/>
      <x:c r="AQ61" s="27" t="s">
        <x:v>299</x:v>
      </x:c>
    </x:row>
    <x:row r="62" ht="118.05000305175781" customHeight="1">
      <x:c r="A62" s="6" t="s">
        <x:v>938</x:v>
      </x:c>
      <x:c r="B62" s="6" t="s">
        <x:v>296</x:v>
      </x:c>
      <x:c r="C62" s="6" t="s">
        <x:v>36</x:v>
      </x:c>
      <x:c r="D62" s="6" t="s">
        <x:v>297</x:v>
      </x:c>
      <x:c r="E62" s="6" t="s">
        <x:v>214</x:v>
      </x:c>
      <x:c r="F62" s="6" t="s">
        <x:v>298</x:v>
      </x:c>
      <x:c r="G62" s="6" t="s">
        <x:v>707</x:v>
      </x:c>
      <x:c r="H62" s="6" t="s">
        <x:v>709</x:v>
      </x:c>
      <x:c r="I62" s="6" t="s">
        <x:v>890</x:v>
      </x:c>
      <x:c r="J62" s="6" t="s">
        <x:v>891</x:v>
      </x:c>
      <x:c r="K62" s="6" t="s">
        <x:v>300</x:v>
      </x:c>
      <x:c r="L62" s="6" t="s">
        <x:v>282</x:v>
      </x:c>
      <x:c r="M62" s="6" t="s">
        <x:v>301</x:v>
      </x:c>
      <x:c r="N62" s="6" t="s">
        <x:v>302</x:v>
      </x:c>
      <x:c r="O62" s="6" t="s">
        <x:v>303</x:v>
      </x:c>
      <x:c r="P62" s="9"/>
      <x:c r="Q62" s="9"/>
      <x:c r="R62" s="9"/>
      <x:c r="S62" s="9"/>
      <x:c r="T62" s="9"/>
      <x:c r="U62" s="9"/>
      <x:c r="V62" s="9"/>
      <x:c r="W62" s="9"/>
      <x:c r="X62" s="12" t="str">
        <x:f t="shared" si="0"/>
      </x:c>
      <x:c r="Y62" s="12" t="str">
        <x:f t="shared" si="1"/>
      </x:c>
      <x:c r="Z62" s="9" t="s">
        <x:v>870</x:v>
      </x:c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12" t="str">
        <x:f t="shared" si="2"/>
      </x:c>
      <x:c r="AM62" s="11" t="str">
        <x:f t="shared" si="3"/>
      </x:c>
      <x:c r="AN62" s="11" t="str">
        <x:f t="shared" si="4"/>
      </x:c>
      <x:c r="AO62" s="9"/>
      <x:c r="AP62" s="9"/>
      <x:c r="AQ62" s="27" t="s">
        <x:v>299</x:v>
      </x:c>
    </x:row>
    <x:row r="63" ht="118.05000305175781" customHeight="1">
      <x:c r="A63" s="6" t="s">
        <x:v>939</x:v>
      </x:c>
      <x:c r="B63" s="6" t="s">
        <x:v>296</x:v>
      </x:c>
      <x:c r="C63" s="6" t="s">
        <x:v>36</x:v>
      </x:c>
      <x:c r="D63" s="6" t="s">
        <x:v>297</x:v>
      </x:c>
      <x:c r="E63" s="6" t="s">
        <x:v>214</x:v>
      </x:c>
      <x:c r="F63" s="6" t="s">
        <x:v>298</x:v>
      </x:c>
      <x:c r="G63" s="6" t="s">
        <x:v>707</x:v>
      </x:c>
      <x:c r="H63" s="6" t="s">
        <x:v>709</x:v>
      </x:c>
      <x:c r="I63" s="6" t="s">
        <x:v>872</x:v>
      </x:c>
      <x:c r="J63" s="6" t="s">
        <x:v>873</x:v>
      </x:c>
      <x:c r="K63" s="6" t="s">
        <x:v>300</x:v>
      </x:c>
      <x:c r="L63" s="6" t="s">
        <x:v>282</x:v>
      </x:c>
      <x:c r="M63" s="6" t="s">
        <x:v>301</x:v>
      </x:c>
      <x:c r="N63" s="6" t="s">
        <x:v>302</x:v>
      </x:c>
      <x:c r="O63" s="6" t="s">
        <x:v>303</x:v>
      </x:c>
      <x:c r="P63" s="9"/>
      <x:c r="Q63" s="9"/>
      <x:c r="R63" s="9"/>
      <x:c r="S63" s="9"/>
      <x:c r="T63" s="9"/>
      <x:c r="U63" s="9"/>
      <x:c r="V63" s="9"/>
      <x:c r="W63" s="9"/>
      <x:c r="X63" s="12" t="str">
        <x:f t="shared" si="0"/>
      </x:c>
      <x:c r="Y63" s="12" t="str">
        <x:f t="shared" si="1"/>
      </x:c>
      <x:c r="Z63" s="9" t="s">
        <x:v>870</x:v>
      </x:c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12" t="str">
        <x:f t="shared" si="2"/>
      </x:c>
      <x:c r="AM63" s="11" t="str">
        <x:f t="shared" si="3"/>
      </x:c>
      <x:c r="AN63" s="11" t="str">
        <x:f t="shared" si="4"/>
      </x:c>
      <x:c r="AO63" s="9"/>
      <x:c r="AP63" s="9"/>
      <x:c r="AQ63" s="27" t="s">
        <x:v>299</x:v>
      </x:c>
    </x:row>
    <x:row r="64" ht="118.05000305175781" customHeight="1">
      <x:c r="A64" s="6" t="s">
        <x:v>940</x:v>
      </x:c>
      <x:c r="B64" s="6" t="s">
        <x:v>296</x:v>
      </x:c>
      <x:c r="C64" s="6" t="s">
        <x:v>36</x:v>
      </x:c>
      <x:c r="D64" s="6" t="s">
        <x:v>297</x:v>
      </x:c>
      <x:c r="E64" s="6" t="s">
        <x:v>214</x:v>
      </x:c>
      <x:c r="F64" s="6" t="s">
        <x:v>298</x:v>
      </x:c>
      <x:c r="G64" s="6" t="s">
        <x:v>724</x:v>
      </x:c>
      <x:c r="H64" s="6" t="s">
        <x:v>726</x:v>
      </x:c>
      <x:c r="I64" s="6" t="s">
        <x:v>890</x:v>
      </x:c>
      <x:c r="J64" s="6" t="s">
        <x:v>891</x:v>
      </x:c>
      <x:c r="K64" s="6" t="s">
        <x:v>300</x:v>
      </x:c>
      <x:c r="L64" s="6" t="s">
        <x:v>282</x:v>
      </x:c>
      <x:c r="M64" s="6" t="s">
        <x:v>301</x:v>
      </x:c>
      <x:c r="N64" s="6" t="s">
        <x:v>302</x:v>
      </x:c>
      <x:c r="O64" s="6" t="s">
        <x:v>303</x:v>
      </x:c>
      <x:c r="P64" s="9"/>
      <x:c r="Q64" s="9"/>
      <x:c r="R64" s="9"/>
      <x:c r="S64" s="9"/>
      <x:c r="T64" s="9"/>
      <x:c r="U64" s="9"/>
      <x:c r="V64" s="9"/>
      <x:c r="W64" s="9"/>
      <x:c r="X64" s="12" t="str">
        <x:f t="shared" si="0"/>
      </x:c>
      <x:c r="Y64" s="12" t="str">
        <x:f t="shared" si="1"/>
      </x:c>
      <x:c r="Z64" s="9" t="s">
        <x:v>870</x:v>
      </x:c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12" t="str">
        <x:f t="shared" si="2"/>
      </x:c>
      <x:c r="AM64" s="11" t="str">
        <x:f t="shared" si="3"/>
      </x:c>
      <x:c r="AN64" s="11" t="str">
        <x:f t="shared" si="4"/>
      </x:c>
      <x:c r="AO64" s="9"/>
      <x:c r="AP64" s="9"/>
      <x:c r="AQ64" s="27" t="s">
        <x:v>299</x:v>
      </x:c>
    </x:row>
    <x:row r="65" ht="118.05000305175781" customHeight="1">
      <x:c r="A65" s="6" t="s">
        <x:v>941</x:v>
      </x:c>
      <x:c r="B65" s="6" t="s">
        <x:v>296</x:v>
      </x:c>
      <x:c r="C65" s="6" t="s">
        <x:v>36</x:v>
      </x:c>
      <x:c r="D65" s="6" t="s">
        <x:v>297</x:v>
      </x:c>
      <x:c r="E65" s="6" t="s">
        <x:v>214</x:v>
      </x:c>
      <x:c r="F65" s="6" t="s">
        <x:v>298</x:v>
      </x:c>
      <x:c r="G65" s="6" t="s">
        <x:v>724</x:v>
      </x:c>
      <x:c r="H65" s="6" t="s">
        <x:v>726</x:v>
      </x:c>
      <x:c r="I65" s="6" t="s">
        <x:v>872</x:v>
      </x:c>
      <x:c r="J65" s="6" t="s">
        <x:v>873</x:v>
      </x:c>
      <x:c r="K65" s="6" t="s">
        <x:v>300</x:v>
      </x:c>
      <x:c r="L65" s="6" t="s">
        <x:v>282</x:v>
      </x:c>
      <x:c r="M65" s="6" t="s">
        <x:v>301</x:v>
      </x:c>
      <x:c r="N65" s="6" t="s">
        <x:v>302</x:v>
      </x:c>
      <x:c r="O65" s="6" t="s">
        <x:v>303</x:v>
      </x:c>
      <x:c r="P65" s="9"/>
      <x:c r="Q65" s="9"/>
      <x:c r="R65" s="9"/>
      <x:c r="S65" s="9"/>
      <x:c r="T65" s="9"/>
      <x:c r="U65" s="9"/>
      <x:c r="V65" s="9"/>
      <x:c r="W65" s="9"/>
      <x:c r="X65" s="12" t="str">
        <x:f t="shared" si="0"/>
      </x:c>
      <x:c r="Y65" s="12" t="str">
        <x:f t="shared" si="1"/>
      </x:c>
      <x:c r="Z65" s="9" t="s">
        <x:v>870</x:v>
      </x:c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12" t="str">
        <x:f t="shared" si="2"/>
      </x:c>
      <x:c r="AM65" s="11" t="str">
        <x:f t="shared" si="3"/>
      </x:c>
      <x:c r="AN65" s="11" t="str">
        <x:f t="shared" si="4"/>
      </x:c>
      <x:c r="AO65" s="9"/>
      <x:c r="AP65" s="9"/>
      <x:c r="AQ65" s="27" t="s">
        <x:v>299</x:v>
      </x:c>
    </x:row>
    <x:row r="66" ht="118.05000305175781" customHeight="1">
      <x:c r="A66" s="6" t="s">
        <x:v>942</x:v>
      </x:c>
      <x:c r="B66" s="6" t="s">
        <x:v>304</x:v>
      </x:c>
      <x:c r="C66" s="6" t="s">
        <x:v>36</x:v>
      </x:c>
      <x:c r="D66" s="6" t="s">
        <x:v>305</x:v>
      </x:c>
      <x:c r="E66" s="6" t="s">
        <x:v>214</x:v>
      </x:c>
      <x:c r="F66" s="6" t="s">
        <x:v>306</x:v>
      </x:c>
      <x:c r="G66" s="6" t="s">
        <x:v>696</x:v>
      </x:c>
      <x:c r="H66" s="6" t="s">
        <x:v>698</x:v>
      </x:c>
      <x:c r="I66" s="6" t="s">
        <x:v>890</x:v>
      </x:c>
      <x:c r="J66" s="6" t="s">
        <x:v>891</x:v>
      </x:c>
      <x:c r="K66" s="6" t="s">
        <x:v>308</x:v>
      </x:c>
      <x:c r="L66" s="6" t="s">
        <x:v>282</x:v>
      </x:c>
      <x:c r="M66" s="6" t="s">
        <x:v>309</x:v>
      </x:c>
      <x:c r="N66" s="6" t="s">
        <x:v>310</x:v>
      </x:c>
      <x:c r="O66" s="6" t="s">
        <x:v>230</x:v>
      </x:c>
      <x:c r="P66" s="9"/>
      <x:c r="Q66" s="9"/>
      <x:c r="R66" s="9"/>
      <x:c r="S66" s="9"/>
      <x:c r="T66" s="9"/>
      <x:c r="U66" s="9"/>
      <x:c r="V66" s="9"/>
      <x:c r="W66" s="9"/>
      <x:c r="X66" s="12" t="str">
        <x:f t="shared" ref="X66:X129" si="5">IF(OR(R66="",R66-AP66&lt;=0),"",AB66/(R66-AP66))</x:f>
      </x:c>
      <x:c r="Y66" s="12" t="str">
        <x:f t="shared" ref="Y66:Y129" si="6">IF(OR(Q66="",Q66=0),"",R66/Q66)</x:f>
      </x:c>
      <x:c r="Z66" s="9" t="s">
        <x:v>870</x:v>
      </x:c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12" t="str">
        <x:f t="shared" ref="AL66:AL129" si="7">IF(OR(R66="",R66-AP66&lt;=0),"",AO66/(R66-AP66))</x:f>
      </x:c>
      <x:c r="AM66" s="11" t="str">
        <x:f t="shared" ref="AM66:AM129" si="8">IF(R66="","",SUM(AC66:AF66)-(R66-AP66))</x:f>
      </x:c>
      <x:c r="AN66" s="11" t="str">
        <x:f t="shared" ref="AN66:AN129" si="9">IF(R66="","",SUM(S66:W66)+AP66-R66)</x:f>
      </x:c>
      <x:c r="AO66" s="9"/>
      <x:c r="AP66" s="9"/>
      <x:c r="AQ66" s="27" t="s">
        <x:v>307</x:v>
      </x:c>
    </x:row>
    <x:row r="67" ht="118.05000305175781" customHeight="1">
      <x:c r="A67" s="6" t="s">
        <x:v>943</x:v>
      </x:c>
      <x:c r="B67" s="6" t="s">
        <x:v>304</x:v>
      </x:c>
      <x:c r="C67" s="6" t="s">
        <x:v>36</x:v>
      </x:c>
      <x:c r="D67" s="6" t="s">
        <x:v>305</x:v>
      </x:c>
      <x:c r="E67" s="6" t="s">
        <x:v>214</x:v>
      </x:c>
      <x:c r="F67" s="6" t="s">
        <x:v>306</x:v>
      </x:c>
      <x:c r="G67" s="6" t="s">
        <x:v>696</x:v>
      </x:c>
      <x:c r="H67" s="6" t="s">
        <x:v>698</x:v>
      </x:c>
      <x:c r="I67" s="6" t="s">
        <x:v>932</x:v>
      </x:c>
      <x:c r="J67" s="6" t="s">
        <x:v>933</x:v>
      </x:c>
      <x:c r="K67" s="6" t="s">
        <x:v>308</x:v>
      </x:c>
      <x:c r="L67" s="6" t="s">
        <x:v>282</x:v>
      </x:c>
      <x:c r="M67" s="6" t="s">
        <x:v>309</x:v>
      </x:c>
      <x:c r="N67" s="6" t="s">
        <x:v>310</x:v>
      </x:c>
      <x:c r="O67" s="6" t="s">
        <x:v>230</x:v>
      </x:c>
      <x:c r="P67" s="9"/>
      <x:c r="Q67" s="9"/>
      <x:c r="R67" s="9"/>
      <x:c r="S67" s="9"/>
      <x:c r="T67" s="9"/>
      <x:c r="U67" s="9"/>
      <x:c r="V67" s="9"/>
      <x:c r="W67" s="9"/>
      <x:c r="X67" s="12" t="str">
        <x:f t="shared" si="5"/>
      </x:c>
      <x:c r="Y67" s="12" t="str">
        <x:f t="shared" si="6"/>
      </x:c>
      <x:c r="Z67" s="9" t="s">
        <x:v>870</x:v>
      </x:c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12" t="str">
        <x:f t="shared" si="7"/>
      </x:c>
      <x:c r="AM67" s="11" t="str">
        <x:f t="shared" si="8"/>
      </x:c>
      <x:c r="AN67" s="11" t="str">
        <x:f t="shared" si="9"/>
      </x:c>
      <x:c r="AO67" s="9"/>
      <x:c r="AP67" s="9"/>
      <x:c r="AQ67" s="27" t="s">
        <x:v>307</x:v>
      </x:c>
    </x:row>
    <x:row r="68" ht="118.05000305175781" customHeight="1">
      <x:c r="A68" s="6" t="s">
        <x:v>944</x:v>
      </x:c>
      <x:c r="B68" s="6" t="s">
        <x:v>304</x:v>
      </x:c>
      <x:c r="C68" s="6" t="s">
        <x:v>36</x:v>
      </x:c>
      <x:c r="D68" s="6" t="s">
        <x:v>305</x:v>
      </x:c>
      <x:c r="E68" s="6" t="s">
        <x:v>214</x:v>
      </x:c>
      <x:c r="F68" s="6" t="s">
        <x:v>306</x:v>
      </x:c>
      <x:c r="G68" s="6" t="s">
        <x:v>707</x:v>
      </x:c>
      <x:c r="H68" s="6" t="s">
        <x:v>709</x:v>
      </x:c>
      <x:c r="I68" s="6" t="s">
        <x:v>890</x:v>
      </x:c>
      <x:c r="J68" s="6" t="s">
        <x:v>891</x:v>
      </x:c>
      <x:c r="K68" s="6" t="s">
        <x:v>308</x:v>
      </x:c>
      <x:c r="L68" s="6" t="s">
        <x:v>282</x:v>
      </x:c>
      <x:c r="M68" s="6" t="s">
        <x:v>309</x:v>
      </x:c>
      <x:c r="N68" s="6" t="s">
        <x:v>310</x:v>
      </x:c>
      <x:c r="O68" s="6" t="s">
        <x:v>230</x:v>
      </x:c>
      <x:c r="P68" s="9"/>
      <x:c r="Q68" s="9"/>
      <x:c r="R68" s="9"/>
      <x:c r="S68" s="9"/>
      <x:c r="T68" s="9"/>
      <x:c r="U68" s="9"/>
      <x:c r="V68" s="9"/>
      <x:c r="W68" s="9"/>
      <x:c r="X68" s="12" t="str">
        <x:f t="shared" si="5"/>
      </x:c>
      <x:c r="Y68" s="12" t="str">
        <x:f t="shared" si="6"/>
      </x:c>
      <x:c r="Z68" s="9" t="s">
        <x:v>870</x:v>
      </x:c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12" t="str">
        <x:f t="shared" si="7"/>
      </x:c>
      <x:c r="AM68" s="11" t="str">
        <x:f t="shared" si="8"/>
      </x:c>
      <x:c r="AN68" s="11" t="str">
        <x:f t="shared" si="9"/>
      </x:c>
      <x:c r="AO68" s="9"/>
      <x:c r="AP68" s="9"/>
      <x:c r="AQ68" s="27" t="s">
        <x:v>307</x:v>
      </x:c>
    </x:row>
    <x:row r="69" ht="118.05000305175781" customHeight="1">
      <x:c r="A69" s="6" t="s">
        <x:v>945</x:v>
      </x:c>
      <x:c r="B69" s="6" t="s">
        <x:v>304</x:v>
      </x:c>
      <x:c r="C69" s="6" t="s">
        <x:v>36</x:v>
      </x:c>
      <x:c r="D69" s="6" t="s">
        <x:v>305</x:v>
      </x:c>
      <x:c r="E69" s="6" t="s">
        <x:v>214</x:v>
      </x:c>
      <x:c r="F69" s="6" t="s">
        <x:v>306</x:v>
      </x:c>
      <x:c r="G69" s="6" t="s">
        <x:v>707</x:v>
      </x:c>
      <x:c r="H69" s="6" t="s">
        <x:v>709</x:v>
      </x:c>
      <x:c r="I69" s="6" t="s">
        <x:v>932</x:v>
      </x:c>
      <x:c r="J69" s="6" t="s">
        <x:v>933</x:v>
      </x:c>
      <x:c r="K69" s="6" t="s">
        <x:v>308</x:v>
      </x:c>
      <x:c r="L69" s="6" t="s">
        <x:v>282</x:v>
      </x:c>
      <x:c r="M69" s="6" t="s">
        <x:v>309</x:v>
      </x:c>
      <x:c r="N69" s="6" t="s">
        <x:v>310</x:v>
      </x:c>
      <x:c r="O69" s="6" t="s">
        <x:v>230</x:v>
      </x:c>
      <x:c r="P69" s="9"/>
      <x:c r="Q69" s="9"/>
      <x:c r="R69" s="9"/>
      <x:c r="S69" s="9"/>
      <x:c r="T69" s="9"/>
      <x:c r="U69" s="9"/>
      <x:c r="V69" s="9"/>
      <x:c r="W69" s="9"/>
      <x:c r="X69" s="12" t="str">
        <x:f t="shared" si="5"/>
      </x:c>
      <x:c r="Y69" s="12" t="str">
        <x:f t="shared" si="6"/>
      </x:c>
      <x:c r="Z69" s="9" t="s">
        <x:v>870</x:v>
      </x:c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12" t="str">
        <x:f t="shared" si="7"/>
      </x:c>
      <x:c r="AM69" s="11" t="str">
        <x:f t="shared" si="8"/>
      </x:c>
      <x:c r="AN69" s="11" t="str">
        <x:f t="shared" si="9"/>
      </x:c>
      <x:c r="AO69" s="9"/>
      <x:c r="AP69" s="9"/>
      <x:c r="AQ69" s="27" t="s">
        <x:v>307</x:v>
      </x:c>
    </x:row>
    <x:row r="70" ht="118.05000305175781" customHeight="1">
      <x:c r="A70" s="6" t="s">
        <x:v>946</x:v>
      </x:c>
      <x:c r="B70" s="6" t="s">
        <x:v>304</x:v>
      </x:c>
      <x:c r="C70" s="6" t="s">
        <x:v>36</x:v>
      </x:c>
      <x:c r="D70" s="6" t="s">
        <x:v>305</x:v>
      </x:c>
      <x:c r="E70" s="6" t="s">
        <x:v>214</x:v>
      </x:c>
      <x:c r="F70" s="6" t="s">
        <x:v>306</x:v>
      </x:c>
      <x:c r="G70" s="6" t="s">
        <x:v>724</x:v>
      </x:c>
      <x:c r="H70" s="6" t="s">
        <x:v>726</x:v>
      </x:c>
      <x:c r="I70" s="6" t="s">
        <x:v>890</x:v>
      </x:c>
      <x:c r="J70" s="6" t="s">
        <x:v>891</x:v>
      </x:c>
      <x:c r="K70" s="6" t="s">
        <x:v>308</x:v>
      </x:c>
      <x:c r="L70" s="6" t="s">
        <x:v>282</x:v>
      </x:c>
      <x:c r="M70" s="6" t="s">
        <x:v>309</x:v>
      </x:c>
      <x:c r="N70" s="6" t="s">
        <x:v>310</x:v>
      </x:c>
      <x:c r="O70" s="6" t="s">
        <x:v>230</x:v>
      </x:c>
      <x:c r="P70" s="9"/>
      <x:c r="Q70" s="9"/>
      <x:c r="R70" s="9"/>
      <x:c r="S70" s="9"/>
      <x:c r="T70" s="9"/>
      <x:c r="U70" s="9"/>
      <x:c r="V70" s="9"/>
      <x:c r="W70" s="9"/>
      <x:c r="X70" s="12" t="str">
        <x:f t="shared" si="5"/>
      </x:c>
      <x:c r="Y70" s="12" t="str">
        <x:f t="shared" si="6"/>
      </x:c>
      <x:c r="Z70" s="9" t="s">
        <x:v>870</x:v>
      </x:c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  <x:c r="AL70" s="12" t="str">
        <x:f t="shared" si="7"/>
      </x:c>
      <x:c r="AM70" s="11" t="str">
        <x:f t="shared" si="8"/>
      </x:c>
      <x:c r="AN70" s="11" t="str">
        <x:f t="shared" si="9"/>
      </x:c>
      <x:c r="AO70" s="9"/>
      <x:c r="AP70" s="9"/>
      <x:c r="AQ70" s="27" t="s">
        <x:v>307</x:v>
      </x:c>
    </x:row>
    <x:row r="71" ht="118.05000305175781" customHeight="1">
      <x:c r="A71" s="6" t="s">
        <x:v>947</x:v>
      </x:c>
      <x:c r="B71" s="6" t="s">
        <x:v>304</x:v>
      </x:c>
      <x:c r="C71" s="6" t="s">
        <x:v>36</x:v>
      </x:c>
      <x:c r="D71" s="6" t="s">
        <x:v>305</x:v>
      </x:c>
      <x:c r="E71" s="6" t="s">
        <x:v>214</x:v>
      </x:c>
      <x:c r="F71" s="6" t="s">
        <x:v>306</x:v>
      </x:c>
      <x:c r="G71" s="6" t="s">
        <x:v>724</x:v>
      </x:c>
      <x:c r="H71" s="6" t="s">
        <x:v>726</x:v>
      </x:c>
      <x:c r="I71" s="6" t="s">
        <x:v>932</x:v>
      </x:c>
      <x:c r="J71" s="6" t="s">
        <x:v>933</x:v>
      </x:c>
      <x:c r="K71" s="6" t="s">
        <x:v>308</x:v>
      </x:c>
      <x:c r="L71" s="6" t="s">
        <x:v>282</x:v>
      </x:c>
      <x:c r="M71" s="6" t="s">
        <x:v>309</x:v>
      </x:c>
      <x:c r="N71" s="6" t="s">
        <x:v>310</x:v>
      </x:c>
      <x:c r="O71" s="6" t="s">
        <x:v>230</x:v>
      </x:c>
      <x:c r="P71" s="9"/>
      <x:c r="Q71" s="9"/>
      <x:c r="R71" s="9"/>
      <x:c r="S71" s="9"/>
      <x:c r="T71" s="9"/>
      <x:c r="U71" s="9"/>
      <x:c r="V71" s="9"/>
      <x:c r="W71" s="9"/>
      <x:c r="X71" s="12" t="str">
        <x:f t="shared" si="5"/>
      </x:c>
      <x:c r="Y71" s="12" t="str">
        <x:f t="shared" si="6"/>
      </x:c>
      <x:c r="Z71" s="9" t="s">
        <x:v>870</x:v>
      </x:c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12" t="str">
        <x:f t="shared" si="7"/>
      </x:c>
      <x:c r="AM71" s="11" t="str">
        <x:f t="shared" si="8"/>
      </x:c>
      <x:c r="AN71" s="11" t="str">
        <x:f t="shared" si="9"/>
      </x:c>
      <x:c r="AO71" s="9"/>
      <x:c r="AP71" s="9"/>
      <x:c r="AQ71" s="27" t="s">
        <x:v>307</x:v>
      </x:c>
    </x:row>
    <x:row r="72" ht="118.05000305175781" customHeight="1">
      <x:c r="A72" s="6" t="s">
        <x:v>948</x:v>
      </x:c>
      <x:c r="B72" s="6" t="s">
        <x:v>311</x:v>
      </x:c>
      <x:c r="C72" s="6" t="s">
        <x:v>36</x:v>
      </x:c>
      <x:c r="D72" s="6" t="s">
        <x:v>312</x:v>
      </x:c>
      <x:c r="E72" s="6" t="s">
        <x:v>241</x:v>
      </x:c>
      <x:c r="F72" s="6" t="s">
        <x:v>313</x:v>
      </x:c>
      <x:c r="G72" s="6" t="s">
        <x:v>696</x:v>
      </x:c>
      <x:c r="H72" s="6" t="s">
        <x:v>698</x:v>
      </x:c>
      <x:c r="I72" s="6" t="s">
        <x:v>890</x:v>
      </x:c>
      <x:c r="J72" s="6" t="s">
        <x:v>891</x:v>
      </x:c>
      <x:c r="K72" s="6" t="s">
        <x:v>315</x:v>
      </x:c>
      <x:c r="L72" s="6" t="s">
        <x:v>282</x:v>
      </x:c>
      <x:c r="M72" s="6" t="s">
        <x:v>316</x:v>
      </x:c>
      <x:c r="N72" s="6" t="s">
        <x:v>317</x:v>
      </x:c>
      <x:c r="O72" s="6" t="s">
        <x:v>318</x:v>
      </x:c>
      <x:c r="P72" s="9"/>
      <x:c r="Q72" s="9"/>
      <x:c r="R72" s="9"/>
      <x:c r="S72" s="9"/>
      <x:c r="T72" s="9"/>
      <x:c r="U72" s="9"/>
      <x:c r="V72" s="9"/>
      <x:c r="W72" s="9"/>
      <x:c r="X72" s="12" t="str">
        <x:f t="shared" si="5"/>
      </x:c>
      <x:c r="Y72" s="12" t="str">
        <x:f t="shared" si="6"/>
      </x:c>
      <x:c r="Z72" s="9" t="s">
        <x:v>870</x:v>
      </x:c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12" t="str">
        <x:f t="shared" si="7"/>
      </x:c>
      <x:c r="AM72" s="11" t="str">
        <x:f t="shared" si="8"/>
      </x:c>
      <x:c r="AN72" s="11" t="str">
        <x:f t="shared" si="9"/>
      </x:c>
      <x:c r="AO72" s="9"/>
      <x:c r="AP72" s="9"/>
      <x:c r="AQ72" s="27" t="s">
        <x:v>314</x:v>
      </x:c>
    </x:row>
    <x:row r="73" ht="118.05000305175781" customHeight="1">
      <x:c r="A73" s="6" t="s">
        <x:v>949</x:v>
      </x:c>
      <x:c r="B73" s="6" t="s">
        <x:v>311</x:v>
      </x:c>
      <x:c r="C73" s="6" t="s">
        <x:v>36</x:v>
      </x:c>
      <x:c r="D73" s="6" t="s">
        <x:v>312</x:v>
      </x:c>
      <x:c r="E73" s="6" t="s">
        <x:v>241</x:v>
      </x:c>
      <x:c r="F73" s="6" t="s">
        <x:v>313</x:v>
      </x:c>
      <x:c r="G73" s="6" t="s">
        <x:v>696</x:v>
      </x:c>
      <x:c r="H73" s="6" t="s">
        <x:v>698</x:v>
      </x:c>
      <x:c r="I73" s="6" t="s">
        <x:v>932</x:v>
      </x:c>
      <x:c r="J73" s="6" t="s">
        <x:v>933</x:v>
      </x:c>
      <x:c r="K73" s="6" t="s">
        <x:v>315</x:v>
      </x:c>
      <x:c r="L73" s="6" t="s">
        <x:v>282</x:v>
      </x:c>
      <x:c r="M73" s="6" t="s">
        <x:v>316</x:v>
      </x:c>
      <x:c r="N73" s="6" t="s">
        <x:v>317</x:v>
      </x:c>
      <x:c r="O73" s="6" t="s">
        <x:v>318</x:v>
      </x:c>
      <x:c r="P73" s="9"/>
      <x:c r="Q73" s="9"/>
      <x:c r="R73" s="9"/>
      <x:c r="S73" s="9"/>
      <x:c r="T73" s="9"/>
      <x:c r="U73" s="9"/>
      <x:c r="V73" s="9"/>
      <x:c r="W73" s="9"/>
      <x:c r="X73" s="12" t="str">
        <x:f t="shared" si="5"/>
      </x:c>
      <x:c r="Y73" s="12" t="str">
        <x:f t="shared" si="6"/>
      </x:c>
      <x:c r="Z73" s="9" t="s">
        <x:v>870</x:v>
      </x:c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12" t="str">
        <x:f t="shared" si="7"/>
      </x:c>
      <x:c r="AM73" s="11" t="str">
        <x:f t="shared" si="8"/>
      </x:c>
      <x:c r="AN73" s="11" t="str">
        <x:f t="shared" si="9"/>
      </x:c>
      <x:c r="AO73" s="9"/>
      <x:c r="AP73" s="9"/>
      <x:c r="AQ73" s="27" t="s">
        <x:v>314</x:v>
      </x:c>
    </x:row>
    <x:row r="74" ht="118.05000305175781" customHeight="1">
      <x:c r="A74" s="6" t="s">
        <x:v>950</x:v>
      </x:c>
      <x:c r="B74" s="6" t="s">
        <x:v>311</x:v>
      </x:c>
      <x:c r="C74" s="6" t="s">
        <x:v>36</x:v>
      </x:c>
      <x:c r="D74" s="6" t="s">
        <x:v>312</x:v>
      </x:c>
      <x:c r="E74" s="6" t="s">
        <x:v>241</x:v>
      </x:c>
      <x:c r="F74" s="6" t="s">
        <x:v>313</x:v>
      </x:c>
      <x:c r="G74" s="6" t="s">
        <x:v>707</x:v>
      </x:c>
      <x:c r="H74" s="6" t="s">
        <x:v>709</x:v>
      </x:c>
      <x:c r="I74" s="6" t="s">
        <x:v>890</x:v>
      </x:c>
      <x:c r="J74" s="6" t="s">
        <x:v>891</x:v>
      </x:c>
      <x:c r="K74" s="6" t="s">
        <x:v>315</x:v>
      </x:c>
      <x:c r="L74" s="6" t="s">
        <x:v>282</x:v>
      </x:c>
      <x:c r="M74" s="6" t="s">
        <x:v>316</x:v>
      </x:c>
      <x:c r="N74" s="6" t="s">
        <x:v>317</x:v>
      </x:c>
      <x:c r="O74" s="6" t="s">
        <x:v>318</x:v>
      </x:c>
      <x:c r="P74" s="9"/>
      <x:c r="Q74" s="9"/>
      <x:c r="R74" s="9"/>
      <x:c r="S74" s="9"/>
      <x:c r="T74" s="9"/>
      <x:c r="U74" s="9"/>
      <x:c r="V74" s="9"/>
      <x:c r="W74" s="9"/>
      <x:c r="X74" s="12" t="str">
        <x:f t="shared" si="5"/>
      </x:c>
      <x:c r="Y74" s="12" t="str">
        <x:f t="shared" si="6"/>
      </x:c>
      <x:c r="Z74" s="9" t="s">
        <x:v>870</x:v>
      </x:c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12" t="str">
        <x:f t="shared" si="7"/>
      </x:c>
      <x:c r="AM74" s="11" t="str">
        <x:f t="shared" si="8"/>
      </x:c>
      <x:c r="AN74" s="11" t="str">
        <x:f t="shared" si="9"/>
      </x:c>
      <x:c r="AO74" s="9"/>
      <x:c r="AP74" s="9"/>
      <x:c r="AQ74" s="27" t="s">
        <x:v>314</x:v>
      </x:c>
    </x:row>
    <x:row r="75" ht="118.05000305175781" customHeight="1">
      <x:c r="A75" s="6" t="s">
        <x:v>951</x:v>
      </x:c>
      <x:c r="B75" s="6" t="s">
        <x:v>311</x:v>
      </x:c>
      <x:c r="C75" s="6" t="s">
        <x:v>36</x:v>
      </x:c>
      <x:c r="D75" s="6" t="s">
        <x:v>312</x:v>
      </x:c>
      <x:c r="E75" s="6" t="s">
        <x:v>241</x:v>
      </x:c>
      <x:c r="F75" s="6" t="s">
        <x:v>313</x:v>
      </x:c>
      <x:c r="G75" s="6" t="s">
        <x:v>707</x:v>
      </x:c>
      <x:c r="H75" s="6" t="s">
        <x:v>709</x:v>
      </x:c>
      <x:c r="I75" s="6" t="s">
        <x:v>932</x:v>
      </x:c>
      <x:c r="J75" s="6" t="s">
        <x:v>933</x:v>
      </x:c>
      <x:c r="K75" s="6" t="s">
        <x:v>315</x:v>
      </x:c>
      <x:c r="L75" s="6" t="s">
        <x:v>282</x:v>
      </x:c>
      <x:c r="M75" s="6" t="s">
        <x:v>316</x:v>
      </x:c>
      <x:c r="N75" s="6" t="s">
        <x:v>317</x:v>
      </x:c>
      <x:c r="O75" s="6" t="s">
        <x:v>318</x:v>
      </x:c>
      <x:c r="P75" s="9"/>
      <x:c r="Q75" s="9"/>
      <x:c r="R75" s="9"/>
      <x:c r="S75" s="9"/>
      <x:c r="T75" s="9"/>
      <x:c r="U75" s="9"/>
      <x:c r="V75" s="9"/>
      <x:c r="W75" s="9"/>
      <x:c r="X75" s="12" t="str">
        <x:f t="shared" si="5"/>
      </x:c>
      <x:c r="Y75" s="12" t="str">
        <x:f t="shared" si="6"/>
      </x:c>
      <x:c r="Z75" s="9" t="s">
        <x:v>870</x:v>
      </x:c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12" t="str">
        <x:f t="shared" si="7"/>
      </x:c>
      <x:c r="AM75" s="11" t="str">
        <x:f t="shared" si="8"/>
      </x:c>
      <x:c r="AN75" s="11" t="str">
        <x:f t="shared" si="9"/>
      </x:c>
      <x:c r="AO75" s="9"/>
      <x:c r="AP75" s="9"/>
      <x:c r="AQ75" s="27" t="s">
        <x:v>314</x:v>
      </x:c>
    </x:row>
    <x:row r="76" ht="118.05000305175781" customHeight="1">
      <x:c r="A76" s="6" t="s">
        <x:v>952</x:v>
      </x:c>
      <x:c r="B76" s="6" t="s">
        <x:v>311</x:v>
      </x:c>
      <x:c r="C76" s="6" t="s">
        <x:v>36</x:v>
      </x:c>
      <x:c r="D76" s="6" t="s">
        <x:v>312</x:v>
      </x:c>
      <x:c r="E76" s="6" t="s">
        <x:v>241</x:v>
      </x:c>
      <x:c r="F76" s="6" t="s">
        <x:v>313</x:v>
      </x:c>
      <x:c r="G76" s="6" t="s">
        <x:v>724</x:v>
      </x:c>
      <x:c r="H76" s="6" t="s">
        <x:v>726</x:v>
      </x:c>
      <x:c r="I76" s="6" t="s">
        <x:v>890</x:v>
      </x:c>
      <x:c r="J76" s="6" t="s">
        <x:v>891</x:v>
      </x:c>
      <x:c r="K76" s="6" t="s">
        <x:v>315</x:v>
      </x:c>
      <x:c r="L76" s="6" t="s">
        <x:v>282</x:v>
      </x:c>
      <x:c r="M76" s="6" t="s">
        <x:v>316</x:v>
      </x:c>
      <x:c r="N76" s="6" t="s">
        <x:v>317</x:v>
      </x:c>
      <x:c r="O76" s="6" t="s">
        <x:v>318</x:v>
      </x:c>
      <x:c r="P76" s="9"/>
      <x:c r="Q76" s="9"/>
      <x:c r="R76" s="9"/>
      <x:c r="S76" s="9"/>
      <x:c r="T76" s="9"/>
      <x:c r="U76" s="9"/>
      <x:c r="V76" s="9"/>
      <x:c r="W76" s="9"/>
      <x:c r="X76" s="12" t="str">
        <x:f t="shared" si="5"/>
      </x:c>
      <x:c r="Y76" s="12" t="str">
        <x:f t="shared" si="6"/>
      </x:c>
      <x:c r="Z76" s="9" t="s">
        <x:v>870</x:v>
      </x:c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12" t="str">
        <x:f t="shared" si="7"/>
      </x:c>
      <x:c r="AM76" s="11" t="str">
        <x:f t="shared" si="8"/>
      </x:c>
      <x:c r="AN76" s="11" t="str">
        <x:f t="shared" si="9"/>
      </x:c>
      <x:c r="AO76" s="9"/>
      <x:c r="AP76" s="9"/>
      <x:c r="AQ76" s="27" t="s">
        <x:v>314</x:v>
      </x:c>
    </x:row>
    <x:row r="77" ht="118.05000305175781" customHeight="1">
      <x:c r="A77" s="6" t="s">
        <x:v>953</x:v>
      </x:c>
      <x:c r="B77" s="6" t="s">
        <x:v>311</x:v>
      </x:c>
      <x:c r="C77" s="6" t="s">
        <x:v>36</x:v>
      </x:c>
      <x:c r="D77" s="6" t="s">
        <x:v>312</x:v>
      </x:c>
      <x:c r="E77" s="6" t="s">
        <x:v>241</x:v>
      </x:c>
      <x:c r="F77" s="6" t="s">
        <x:v>313</x:v>
      </x:c>
      <x:c r="G77" s="6" t="s">
        <x:v>724</x:v>
      </x:c>
      <x:c r="H77" s="6" t="s">
        <x:v>726</x:v>
      </x:c>
      <x:c r="I77" s="6" t="s">
        <x:v>932</x:v>
      </x:c>
      <x:c r="J77" s="6" t="s">
        <x:v>933</x:v>
      </x:c>
      <x:c r="K77" s="6" t="s">
        <x:v>315</x:v>
      </x:c>
      <x:c r="L77" s="6" t="s">
        <x:v>282</x:v>
      </x:c>
      <x:c r="M77" s="6" t="s">
        <x:v>316</x:v>
      </x:c>
      <x:c r="N77" s="6" t="s">
        <x:v>317</x:v>
      </x:c>
      <x:c r="O77" s="6" t="s">
        <x:v>318</x:v>
      </x:c>
      <x:c r="P77" s="9"/>
      <x:c r="Q77" s="9"/>
      <x:c r="R77" s="9"/>
      <x:c r="S77" s="9"/>
      <x:c r="T77" s="9"/>
      <x:c r="U77" s="9"/>
      <x:c r="V77" s="9"/>
      <x:c r="W77" s="9"/>
      <x:c r="X77" s="12" t="str">
        <x:f t="shared" si="5"/>
      </x:c>
      <x:c r="Y77" s="12" t="str">
        <x:f t="shared" si="6"/>
      </x:c>
      <x:c r="Z77" s="9" t="s">
        <x:v>870</x:v>
      </x:c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12" t="str">
        <x:f t="shared" si="7"/>
      </x:c>
      <x:c r="AM77" s="11" t="str">
        <x:f t="shared" si="8"/>
      </x:c>
      <x:c r="AN77" s="11" t="str">
        <x:f t="shared" si="9"/>
      </x:c>
      <x:c r="AO77" s="9"/>
      <x:c r="AP77" s="9"/>
      <x:c r="AQ77" s="27" t="s">
        <x:v>314</x:v>
      </x:c>
    </x:row>
    <x:row r="78" ht="118.05000305175781" customHeight="1">
      <x:c r="A78" s="6" t="s">
        <x:v>954</x:v>
      </x:c>
      <x:c r="B78" s="6" t="s">
        <x:v>319</x:v>
      </x:c>
      <x:c r="C78" s="6" t="s">
        <x:v>36</x:v>
      </x:c>
      <x:c r="D78" s="6" t="s">
        <x:v>320</x:v>
      </x:c>
      <x:c r="E78" s="6" t="s">
        <x:v>214</x:v>
      </x:c>
      <x:c r="F78" s="6" t="s">
        <x:v>321</x:v>
      </x:c>
      <x:c r="G78" s="6" t="s">
        <x:v>696</x:v>
      </x:c>
      <x:c r="H78" s="6" t="s">
        <x:v>698</x:v>
      </x:c>
      <x:c r="I78" s="6" t="s">
        <x:v>890</x:v>
      </x:c>
      <x:c r="J78" s="6" t="s">
        <x:v>891</x:v>
      </x:c>
      <x:c r="K78" s="6" t="s">
        <x:v>324</x:v>
      </x:c>
      <x:c r="L78" s="6" t="s">
        <x:v>282</x:v>
      </x:c>
      <x:c r="M78" s="6" t="s">
        <x:v>325</x:v>
      </x:c>
      <x:c r="N78" s="6" t="s">
        <x:v>326</x:v>
      </x:c>
      <x:c r="O78" s="6" t="s">
        <x:v>230</x:v>
      </x:c>
      <x:c r="P78" s="9"/>
      <x:c r="Q78" s="9"/>
      <x:c r="R78" s="9"/>
      <x:c r="S78" s="9"/>
      <x:c r="T78" s="9"/>
      <x:c r="U78" s="9"/>
      <x:c r="V78" s="9"/>
      <x:c r="W78" s="9"/>
      <x:c r="X78" s="12" t="str">
        <x:f t="shared" si="5"/>
      </x:c>
      <x:c r="Y78" s="12" t="str">
        <x:f t="shared" si="6"/>
      </x:c>
      <x:c r="Z78" s="9" t="s">
        <x:v>870</x:v>
      </x:c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12" t="str">
        <x:f t="shared" si="7"/>
      </x:c>
      <x:c r="AM78" s="11" t="str">
        <x:f t="shared" si="8"/>
      </x:c>
      <x:c r="AN78" s="11" t="str">
        <x:f t="shared" si="9"/>
      </x:c>
      <x:c r="AO78" s="9"/>
      <x:c r="AP78" s="9"/>
      <x:c r="AQ78" s="27" t="s">
        <x:v>322</x:v>
      </x:c>
    </x:row>
    <x:row r="79" ht="118.05000305175781" customHeight="1">
      <x:c r="A79" s="6" t="s">
        <x:v>955</x:v>
      </x:c>
      <x:c r="B79" s="6" t="s">
        <x:v>319</x:v>
      </x:c>
      <x:c r="C79" s="6" t="s">
        <x:v>36</x:v>
      </x:c>
      <x:c r="D79" s="6" t="s">
        <x:v>320</x:v>
      </x:c>
      <x:c r="E79" s="6" t="s">
        <x:v>214</x:v>
      </x:c>
      <x:c r="F79" s="6" t="s">
        <x:v>321</x:v>
      </x:c>
      <x:c r="G79" s="6" t="s">
        <x:v>696</x:v>
      </x:c>
      <x:c r="H79" s="6" t="s">
        <x:v>698</x:v>
      </x:c>
      <x:c r="I79" s="6" t="s">
        <x:v>910</x:v>
      </x:c>
      <x:c r="J79" s="6" t="s">
        <x:v>911</x:v>
      </x:c>
      <x:c r="K79" s="6" t="s">
        <x:v>324</x:v>
      </x:c>
      <x:c r="L79" s="6" t="s">
        <x:v>282</x:v>
      </x:c>
      <x:c r="M79" s="6" t="s">
        <x:v>325</x:v>
      </x:c>
      <x:c r="N79" s="6" t="s">
        <x:v>326</x:v>
      </x:c>
      <x:c r="O79" s="6" t="s">
        <x:v>230</x:v>
      </x:c>
      <x:c r="P79" s="9"/>
      <x:c r="Q79" s="9"/>
      <x:c r="R79" s="9"/>
      <x:c r="S79" s="9"/>
      <x:c r="T79" s="9"/>
      <x:c r="U79" s="9"/>
      <x:c r="V79" s="9"/>
      <x:c r="W79" s="9"/>
      <x:c r="X79" s="12" t="str">
        <x:f t="shared" si="5"/>
      </x:c>
      <x:c r="Y79" s="12" t="str">
        <x:f t="shared" si="6"/>
      </x:c>
      <x:c r="Z79" s="9" t="s">
        <x:v>870</x:v>
      </x:c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12" t="str">
        <x:f t="shared" si="7"/>
      </x:c>
      <x:c r="AM79" s="11" t="str">
        <x:f t="shared" si="8"/>
      </x:c>
      <x:c r="AN79" s="11" t="str">
        <x:f t="shared" si="9"/>
      </x:c>
      <x:c r="AO79" s="9"/>
      <x:c r="AP79" s="9"/>
      <x:c r="AQ79" s="27" t="s">
        <x:v>322</x:v>
      </x:c>
    </x:row>
    <x:row r="80" ht="118.05000305175781" customHeight="1">
      <x:c r="A80" s="6" t="s">
        <x:v>956</x:v>
      </x:c>
      <x:c r="B80" s="6" t="s">
        <x:v>319</x:v>
      </x:c>
      <x:c r="C80" s="6" t="s">
        <x:v>36</x:v>
      </x:c>
      <x:c r="D80" s="6" t="s">
        <x:v>320</x:v>
      </x:c>
      <x:c r="E80" s="6" t="s">
        <x:v>214</x:v>
      </x:c>
      <x:c r="F80" s="6" t="s">
        <x:v>321</x:v>
      </x:c>
      <x:c r="G80" s="6" t="s">
        <x:v>707</x:v>
      </x:c>
      <x:c r="H80" s="6" t="s">
        <x:v>709</x:v>
      </x:c>
      <x:c r="I80" s="6" t="s">
        <x:v>890</x:v>
      </x:c>
      <x:c r="J80" s="6" t="s">
        <x:v>891</x:v>
      </x:c>
      <x:c r="K80" s="6" t="s">
        <x:v>324</x:v>
      </x:c>
      <x:c r="L80" s="6" t="s">
        <x:v>282</x:v>
      </x:c>
      <x:c r="M80" s="6" t="s">
        <x:v>325</x:v>
      </x:c>
      <x:c r="N80" s="6" t="s">
        <x:v>326</x:v>
      </x:c>
      <x:c r="O80" s="6" t="s">
        <x:v>230</x:v>
      </x:c>
      <x:c r="P80" s="9"/>
      <x:c r="Q80" s="9"/>
      <x:c r="R80" s="9"/>
      <x:c r="S80" s="9"/>
      <x:c r="T80" s="9"/>
      <x:c r="U80" s="9"/>
      <x:c r="V80" s="9"/>
      <x:c r="W80" s="9"/>
      <x:c r="X80" s="12" t="str">
        <x:f t="shared" si="5"/>
      </x:c>
      <x:c r="Y80" s="12" t="str">
        <x:f t="shared" si="6"/>
      </x:c>
      <x:c r="Z80" s="9" t="s">
        <x:v>870</x:v>
      </x:c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12" t="str">
        <x:f t="shared" si="7"/>
      </x:c>
      <x:c r="AM80" s="11" t="str">
        <x:f t="shared" si="8"/>
      </x:c>
      <x:c r="AN80" s="11" t="str">
        <x:f t="shared" si="9"/>
      </x:c>
      <x:c r="AO80" s="9"/>
      <x:c r="AP80" s="9"/>
      <x:c r="AQ80" s="27" t="s">
        <x:v>322</x:v>
      </x:c>
    </x:row>
    <x:row r="81" ht="118.05000305175781" customHeight="1">
      <x:c r="A81" s="6" t="s">
        <x:v>957</x:v>
      </x:c>
      <x:c r="B81" s="6" t="s">
        <x:v>319</x:v>
      </x:c>
      <x:c r="C81" s="6" t="s">
        <x:v>36</x:v>
      </x:c>
      <x:c r="D81" s="6" t="s">
        <x:v>320</x:v>
      </x:c>
      <x:c r="E81" s="6" t="s">
        <x:v>214</x:v>
      </x:c>
      <x:c r="F81" s="6" t="s">
        <x:v>321</x:v>
      </x:c>
      <x:c r="G81" s="6" t="s">
        <x:v>707</x:v>
      </x:c>
      <x:c r="H81" s="6" t="s">
        <x:v>709</x:v>
      </x:c>
      <x:c r="I81" s="6" t="s">
        <x:v>910</x:v>
      </x:c>
      <x:c r="J81" s="6" t="s">
        <x:v>911</x:v>
      </x:c>
      <x:c r="K81" s="6" t="s">
        <x:v>324</x:v>
      </x:c>
      <x:c r="L81" s="6" t="s">
        <x:v>282</x:v>
      </x:c>
      <x:c r="M81" s="6" t="s">
        <x:v>325</x:v>
      </x:c>
      <x:c r="N81" s="6" t="s">
        <x:v>326</x:v>
      </x:c>
      <x:c r="O81" s="6" t="s">
        <x:v>230</x:v>
      </x:c>
      <x:c r="P81" s="9"/>
      <x:c r="Q81" s="9"/>
      <x:c r="R81" s="9"/>
      <x:c r="S81" s="9"/>
      <x:c r="T81" s="9"/>
      <x:c r="U81" s="9"/>
      <x:c r="V81" s="9"/>
      <x:c r="W81" s="9"/>
      <x:c r="X81" s="12" t="str">
        <x:f t="shared" si="5"/>
      </x:c>
      <x:c r="Y81" s="12" t="str">
        <x:f t="shared" si="6"/>
      </x:c>
      <x:c r="Z81" s="9" t="s">
        <x:v>870</x:v>
      </x:c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12" t="str">
        <x:f t="shared" si="7"/>
      </x:c>
      <x:c r="AM81" s="11" t="str">
        <x:f t="shared" si="8"/>
      </x:c>
      <x:c r="AN81" s="11" t="str">
        <x:f t="shared" si="9"/>
      </x:c>
      <x:c r="AO81" s="9"/>
      <x:c r="AP81" s="9"/>
      <x:c r="AQ81" s="27" t="s">
        <x:v>322</x:v>
      </x:c>
    </x:row>
    <x:row r="82" ht="118.05000305175781" customHeight="1">
      <x:c r="A82" s="6" t="s">
        <x:v>958</x:v>
      </x:c>
      <x:c r="B82" s="6" t="s">
        <x:v>319</x:v>
      </x:c>
      <x:c r="C82" s="6" t="s">
        <x:v>36</x:v>
      </x:c>
      <x:c r="D82" s="6" t="s">
        <x:v>320</x:v>
      </x:c>
      <x:c r="E82" s="6" t="s">
        <x:v>214</x:v>
      </x:c>
      <x:c r="F82" s="6" t="s">
        <x:v>321</x:v>
      </x:c>
      <x:c r="G82" s="6" t="s">
        <x:v>724</x:v>
      </x:c>
      <x:c r="H82" s="6" t="s">
        <x:v>726</x:v>
      </x:c>
      <x:c r="I82" s="6" t="s">
        <x:v>890</x:v>
      </x:c>
      <x:c r="J82" s="6" t="s">
        <x:v>891</x:v>
      </x:c>
      <x:c r="K82" s="6" t="s">
        <x:v>324</x:v>
      </x:c>
      <x:c r="L82" s="6" t="s">
        <x:v>282</x:v>
      </x:c>
      <x:c r="M82" s="6" t="s">
        <x:v>325</x:v>
      </x:c>
      <x:c r="N82" s="6" t="s">
        <x:v>326</x:v>
      </x:c>
      <x:c r="O82" s="6" t="s">
        <x:v>230</x:v>
      </x:c>
      <x:c r="P82" s="9"/>
      <x:c r="Q82" s="9"/>
      <x:c r="R82" s="9"/>
      <x:c r="S82" s="9"/>
      <x:c r="T82" s="9"/>
      <x:c r="U82" s="9"/>
      <x:c r="V82" s="9"/>
      <x:c r="W82" s="9"/>
      <x:c r="X82" s="12" t="str">
        <x:f t="shared" si="5"/>
      </x:c>
      <x:c r="Y82" s="12" t="str">
        <x:f t="shared" si="6"/>
      </x:c>
      <x:c r="Z82" s="9" t="s">
        <x:v>870</x:v>
      </x:c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12" t="str">
        <x:f t="shared" si="7"/>
      </x:c>
      <x:c r="AM82" s="11" t="str">
        <x:f t="shared" si="8"/>
      </x:c>
      <x:c r="AN82" s="11" t="str">
        <x:f t="shared" si="9"/>
      </x:c>
      <x:c r="AO82" s="9"/>
      <x:c r="AP82" s="9"/>
      <x:c r="AQ82" s="27" t="s">
        <x:v>322</x:v>
      </x:c>
    </x:row>
    <x:row r="83" ht="118.05000305175781" customHeight="1">
      <x:c r="A83" s="6" t="s">
        <x:v>959</x:v>
      </x:c>
      <x:c r="B83" s="6" t="s">
        <x:v>319</x:v>
      </x:c>
      <x:c r="C83" s="6" t="s">
        <x:v>36</x:v>
      </x:c>
      <x:c r="D83" s="6" t="s">
        <x:v>320</x:v>
      </x:c>
      <x:c r="E83" s="6" t="s">
        <x:v>214</x:v>
      </x:c>
      <x:c r="F83" s="6" t="s">
        <x:v>321</x:v>
      </x:c>
      <x:c r="G83" s="6" t="s">
        <x:v>724</x:v>
      </x:c>
      <x:c r="H83" s="6" t="s">
        <x:v>726</x:v>
      </x:c>
      <x:c r="I83" s="6" t="s">
        <x:v>910</x:v>
      </x:c>
      <x:c r="J83" s="6" t="s">
        <x:v>911</x:v>
      </x:c>
      <x:c r="K83" s="6" t="s">
        <x:v>324</x:v>
      </x:c>
      <x:c r="L83" s="6" t="s">
        <x:v>282</x:v>
      </x:c>
      <x:c r="M83" s="6" t="s">
        <x:v>325</x:v>
      </x:c>
      <x:c r="N83" s="6" t="s">
        <x:v>326</x:v>
      </x:c>
      <x:c r="O83" s="6" t="s">
        <x:v>230</x:v>
      </x:c>
      <x:c r="P83" s="9"/>
      <x:c r="Q83" s="9"/>
      <x:c r="R83" s="9"/>
      <x:c r="S83" s="9"/>
      <x:c r="T83" s="9"/>
      <x:c r="U83" s="9"/>
      <x:c r="V83" s="9"/>
      <x:c r="W83" s="9"/>
      <x:c r="X83" s="12" t="str">
        <x:f t="shared" si="5"/>
      </x:c>
      <x:c r="Y83" s="12" t="str">
        <x:f t="shared" si="6"/>
      </x:c>
      <x:c r="Z83" s="9" t="s">
        <x:v>870</x:v>
      </x:c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12" t="str">
        <x:f t="shared" si="7"/>
      </x:c>
      <x:c r="AM83" s="11" t="str">
        <x:f t="shared" si="8"/>
      </x:c>
      <x:c r="AN83" s="11" t="str">
        <x:f t="shared" si="9"/>
      </x:c>
      <x:c r="AO83" s="9"/>
      <x:c r="AP83" s="9"/>
      <x:c r="AQ83" s="27" t="s">
        <x:v>322</x:v>
      </x:c>
    </x:row>
    <x:row r="84" ht="118.05000305175781" customHeight="1">
      <x:c r="A84" s="6" t="s">
        <x:v>960</x:v>
      </x:c>
      <x:c r="B84" s="6" t="s">
        <x:v>327</x:v>
      </x:c>
      <x:c r="C84" s="6" t="s">
        <x:v>36</x:v>
      </x:c>
      <x:c r="D84" s="6" t="s">
        <x:v>328</x:v>
      </x:c>
      <x:c r="E84" s="6" t="s">
        <x:v>241</x:v>
      </x:c>
      <x:c r="F84" s="6" t="s">
        <x:v>329</x:v>
      </x:c>
      <x:c r="G84" s="6" t="s">
        <x:v>696</x:v>
      </x:c>
      <x:c r="H84" s="6" t="s">
        <x:v>698</x:v>
      </x:c>
      <x:c r="I84" s="6" t="s">
        <x:v>890</x:v>
      </x:c>
      <x:c r="J84" s="6" t="s">
        <x:v>891</x:v>
      </x:c>
      <x:c r="K84" s="6" t="s">
        <x:v>331</x:v>
      </x:c>
      <x:c r="L84" s="6" t="s">
        <x:v>282</x:v>
      </x:c>
      <x:c r="M84" s="6" t="s">
        <x:v>332</x:v>
      </x:c>
      <x:c r="N84" s="6" t="s">
        <x:v>333</x:v>
      </x:c>
      <x:c r="O84" s="6" t="s">
        <x:v>230</x:v>
      </x:c>
      <x:c r="P84" s="9"/>
      <x:c r="Q84" s="9"/>
      <x:c r="R84" s="9"/>
      <x:c r="S84" s="9"/>
      <x:c r="T84" s="9"/>
      <x:c r="U84" s="9"/>
      <x:c r="V84" s="9"/>
      <x:c r="W84" s="9"/>
      <x:c r="X84" s="12" t="str">
        <x:f t="shared" si="5"/>
      </x:c>
      <x:c r="Y84" s="12" t="str">
        <x:f t="shared" si="6"/>
      </x:c>
      <x:c r="Z84" s="9" t="s">
        <x:v>870</x:v>
      </x:c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12" t="str">
        <x:f t="shared" si="7"/>
      </x:c>
      <x:c r="AM84" s="11" t="str">
        <x:f t="shared" si="8"/>
      </x:c>
      <x:c r="AN84" s="11" t="str">
        <x:f t="shared" si="9"/>
      </x:c>
      <x:c r="AO84" s="9"/>
      <x:c r="AP84" s="9"/>
      <x:c r="AQ84" s="27" t="s">
        <x:v>330</x:v>
      </x:c>
    </x:row>
    <x:row r="85" ht="118.05000305175781" customHeight="1">
      <x:c r="A85" s="6" t="s">
        <x:v>961</x:v>
      </x:c>
      <x:c r="B85" s="6" t="s">
        <x:v>327</x:v>
      </x:c>
      <x:c r="C85" s="6" t="s">
        <x:v>36</x:v>
      </x:c>
      <x:c r="D85" s="6" t="s">
        <x:v>328</x:v>
      </x:c>
      <x:c r="E85" s="6" t="s">
        <x:v>241</x:v>
      </x:c>
      <x:c r="F85" s="6" t="s">
        <x:v>329</x:v>
      </x:c>
      <x:c r="G85" s="6" t="s">
        <x:v>696</x:v>
      </x:c>
      <x:c r="H85" s="6" t="s">
        <x:v>698</x:v>
      </x:c>
      <x:c r="I85" s="6" t="s">
        <x:v>910</x:v>
      </x:c>
      <x:c r="J85" s="6" t="s">
        <x:v>911</x:v>
      </x:c>
      <x:c r="K85" s="6" t="s">
        <x:v>331</x:v>
      </x:c>
      <x:c r="L85" s="6" t="s">
        <x:v>282</x:v>
      </x:c>
      <x:c r="M85" s="6" t="s">
        <x:v>332</x:v>
      </x:c>
      <x:c r="N85" s="6" t="s">
        <x:v>333</x:v>
      </x:c>
      <x:c r="O85" s="6" t="s">
        <x:v>230</x:v>
      </x:c>
      <x:c r="P85" s="9"/>
      <x:c r="Q85" s="9"/>
      <x:c r="R85" s="9"/>
      <x:c r="S85" s="9"/>
      <x:c r="T85" s="9"/>
      <x:c r="U85" s="9"/>
      <x:c r="V85" s="9"/>
      <x:c r="W85" s="9"/>
      <x:c r="X85" s="12" t="str">
        <x:f t="shared" si="5"/>
      </x:c>
      <x:c r="Y85" s="12" t="str">
        <x:f t="shared" si="6"/>
      </x:c>
      <x:c r="Z85" s="9" t="s">
        <x:v>870</x:v>
      </x:c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  <x:c r="AL85" s="12" t="str">
        <x:f t="shared" si="7"/>
      </x:c>
      <x:c r="AM85" s="11" t="str">
        <x:f t="shared" si="8"/>
      </x:c>
      <x:c r="AN85" s="11" t="str">
        <x:f t="shared" si="9"/>
      </x:c>
      <x:c r="AO85" s="9"/>
      <x:c r="AP85" s="9"/>
      <x:c r="AQ85" s="27" t="s">
        <x:v>330</x:v>
      </x:c>
    </x:row>
    <x:row r="86" ht="118.05000305175781" customHeight="1">
      <x:c r="A86" s="6" t="s">
        <x:v>962</x:v>
      </x:c>
      <x:c r="B86" s="6" t="s">
        <x:v>327</x:v>
      </x:c>
      <x:c r="C86" s="6" t="s">
        <x:v>36</x:v>
      </x:c>
      <x:c r="D86" s="6" t="s">
        <x:v>328</x:v>
      </x:c>
      <x:c r="E86" s="6" t="s">
        <x:v>241</x:v>
      </x:c>
      <x:c r="F86" s="6" t="s">
        <x:v>329</x:v>
      </x:c>
      <x:c r="G86" s="6" t="s">
        <x:v>715</x:v>
      </x:c>
      <x:c r="H86" s="6" t="s">
        <x:v>717</x:v>
      </x:c>
      <x:c r="I86" s="6" t="s">
        <x:v>890</x:v>
      </x:c>
      <x:c r="J86" s="6" t="s">
        <x:v>891</x:v>
      </x:c>
      <x:c r="K86" s="6" t="s">
        <x:v>331</x:v>
      </x:c>
      <x:c r="L86" s="6" t="s">
        <x:v>282</x:v>
      </x:c>
      <x:c r="M86" s="6" t="s">
        <x:v>332</x:v>
      </x:c>
      <x:c r="N86" s="6" t="s">
        <x:v>333</x:v>
      </x:c>
      <x:c r="O86" s="6" t="s">
        <x:v>230</x:v>
      </x:c>
      <x:c r="P86" s="9"/>
      <x:c r="Q86" s="9"/>
      <x:c r="R86" s="9"/>
      <x:c r="S86" s="9"/>
      <x:c r="T86" s="9"/>
      <x:c r="U86" s="9"/>
      <x:c r="V86" s="9"/>
      <x:c r="W86" s="9"/>
      <x:c r="X86" s="12" t="str">
        <x:f t="shared" si="5"/>
      </x:c>
      <x:c r="Y86" s="12" t="str">
        <x:f t="shared" si="6"/>
      </x:c>
      <x:c r="Z86" s="9" t="s">
        <x:v>870</x:v>
      </x:c>
      <x:c r="AA86" s="9"/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  <x:c r="AL86" s="12" t="str">
        <x:f t="shared" si="7"/>
      </x:c>
      <x:c r="AM86" s="11" t="str">
        <x:f t="shared" si="8"/>
      </x:c>
      <x:c r="AN86" s="11" t="str">
        <x:f t="shared" si="9"/>
      </x:c>
      <x:c r="AO86" s="9"/>
      <x:c r="AP86" s="9"/>
      <x:c r="AQ86" s="27" t="s">
        <x:v>330</x:v>
      </x:c>
    </x:row>
    <x:row r="87" ht="118.05000305175781" customHeight="1">
      <x:c r="A87" s="6" t="s">
        <x:v>963</x:v>
      </x:c>
      <x:c r="B87" s="6" t="s">
        <x:v>327</x:v>
      </x:c>
      <x:c r="C87" s="6" t="s">
        <x:v>36</x:v>
      </x:c>
      <x:c r="D87" s="6" t="s">
        <x:v>328</x:v>
      </x:c>
      <x:c r="E87" s="6" t="s">
        <x:v>241</x:v>
      </x:c>
      <x:c r="F87" s="6" t="s">
        <x:v>329</x:v>
      </x:c>
      <x:c r="G87" s="6" t="s">
        <x:v>715</x:v>
      </x:c>
      <x:c r="H87" s="6" t="s">
        <x:v>717</x:v>
      </x:c>
      <x:c r="I87" s="6" t="s">
        <x:v>910</x:v>
      </x:c>
      <x:c r="J87" s="6" t="s">
        <x:v>911</x:v>
      </x:c>
      <x:c r="K87" s="6" t="s">
        <x:v>331</x:v>
      </x:c>
      <x:c r="L87" s="6" t="s">
        <x:v>282</x:v>
      </x:c>
      <x:c r="M87" s="6" t="s">
        <x:v>332</x:v>
      </x:c>
      <x:c r="N87" s="6" t="s">
        <x:v>333</x:v>
      </x:c>
      <x:c r="O87" s="6" t="s">
        <x:v>230</x:v>
      </x:c>
      <x:c r="P87" s="9"/>
      <x:c r="Q87" s="9"/>
      <x:c r="R87" s="9"/>
      <x:c r="S87" s="9"/>
      <x:c r="T87" s="9"/>
      <x:c r="U87" s="9"/>
      <x:c r="V87" s="9"/>
      <x:c r="W87" s="9"/>
      <x:c r="X87" s="12" t="str">
        <x:f t="shared" si="5"/>
      </x:c>
      <x:c r="Y87" s="12" t="str">
        <x:f t="shared" si="6"/>
      </x:c>
      <x:c r="Z87" s="9" t="s">
        <x:v>870</x:v>
      </x:c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  <x:c r="AL87" s="12" t="str">
        <x:f t="shared" si="7"/>
      </x:c>
      <x:c r="AM87" s="11" t="str">
        <x:f t="shared" si="8"/>
      </x:c>
      <x:c r="AN87" s="11" t="str">
        <x:f t="shared" si="9"/>
      </x:c>
      <x:c r="AO87" s="9"/>
      <x:c r="AP87" s="9"/>
      <x:c r="AQ87" s="27" t="s">
        <x:v>330</x:v>
      </x:c>
    </x:row>
    <x:row r="88" ht="118.05000305175781" customHeight="1">
      <x:c r="A88" s="6" t="s">
        <x:v>964</x:v>
      </x:c>
      <x:c r="B88" s="6" t="s">
        <x:v>327</x:v>
      </x:c>
      <x:c r="C88" s="6" t="s">
        <x:v>36</x:v>
      </x:c>
      <x:c r="D88" s="6" t="s">
        <x:v>328</x:v>
      </x:c>
      <x:c r="E88" s="6" t="s">
        <x:v>241</x:v>
      </x:c>
      <x:c r="F88" s="6" t="s">
        <x:v>329</x:v>
      </x:c>
      <x:c r="G88" s="6" t="s">
        <x:v>724</x:v>
      </x:c>
      <x:c r="H88" s="6" t="s">
        <x:v>726</x:v>
      </x:c>
      <x:c r="I88" s="6" t="s">
        <x:v>890</x:v>
      </x:c>
      <x:c r="J88" s="6" t="s">
        <x:v>891</x:v>
      </x:c>
      <x:c r="K88" s="6" t="s">
        <x:v>331</x:v>
      </x:c>
      <x:c r="L88" s="6" t="s">
        <x:v>282</x:v>
      </x:c>
      <x:c r="M88" s="6" t="s">
        <x:v>332</x:v>
      </x:c>
      <x:c r="N88" s="6" t="s">
        <x:v>333</x:v>
      </x:c>
      <x:c r="O88" s="6" t="s">
        <x:v>230</x:v>
      </x:c>
      <x:c r="P88" s="9"/>
      <x:c r="Q88" s="9"/>
      <x:c r="R88" s="9"/>
      <x:c r="S88" s="9"/>
      <x:c r="T88" s="9"/>
      <x:c r="U88" s="9"/>
      <x:c r="V88" s="9"/>
      <x:c r="W88" s="9"/>
      <x:c r="X88" s="12" t="str">
        <x:f t="shared" si="5"/>
      </x:c>
      <x:c r="Y88" s="12" t="str">
        <x:f t="shared" si="6"/>
      </x:c>
      <x:c r="Z88" s="9" t="s">
        <x:v>870</x:v>
      </x:c>
      <x:c r="AA88" s="9"/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  <x:c r="AL88" s="12" t="str">
        <x:f t="shared" si="7"/>
      </x:c>
      <x:c r="AM88" s="11" t="str">
        <x:f t="shared" si="8"/>
      </x:c>
      <x:c r="AN88" s="11" t="str">
        <x:f t="shared" si="9"/>
      </x:c>
      <x:c r="AO88" s="9"/>
      <x:c r="AP88" s="9"/>
      <x:c r="AQ88" s="27" t="s">
        <x:v>330</x:v>
      </x:c>
    </x:row>
    <x:row r="89" ht="118.05000305175781" customHeight="1">
      <x:c r="A89" s="6" t="s">
        <x:v>965</x:v>
      </x:c>
      <x:c r="B89" s="6" t="s">
        <x:v>327</x:v>
      </x:c>
      <x:c r="C89" s="6" t="s">
        <x:v>36</x:v>
      </x:c>
      <x:c r="D89" s="6" t="s">
        <x:v>328</x:v>
      </x:c>
      <x:c r="E89" s="6" t="s">
        <x:v>241</x:v>
      </x:c>
      <x:c r="F89" s="6" t="s">
        <x:v>329</x:v>
      </x:c>
      <x:c r="G89" s="6" t="s">
        <x:v>724</x:v>
      </x:c>
      <x:c r="H89" s="6" t="s">
        <x:v>726</x:v>
      </x:c>
      <x:c r="I89" s="6" t="s">
        <x:v>910</x:v>
      </x:c>
      <x:c r="J89" s="6" t="s">
        <x:v>911</x:v>
      </x:c>
      <x:c r="K89" s="6" t="s">
        <x:v>331</x:v>
      </x:c>
      <x:c r="L89" s="6" t="s">
        <x:v>282</x:v>
      </x:c>
      <x:c r="M89" s="6" t="s">
        <x:v>332</x:v>
      </x:c>
      <x:c r="N89" s="6" t="s">
        <x:v>333</x:v>
      </x:c>
      <x:c r="O89" s="6" t="s">
        <x:v>230</x:v>
      </x:c>
      <x:c r="P89" s="9"/>
      <x:c r="Q89" s="9"/>
      <x:c r="R89" s="9"/>
      <x:c r="S89" s="9"/>
      <x:c r="T89" s="9"/>
      <x:c r="U89" s="9"/>
      <x:c r="V89" s="9"/>
      <x:c r="W89" s="9"/>
      <x:c r="X89" s="12" t="str">
        <x:f t="shared" si="5"/>
      </x:c>
      <x:c r="Y89" s="12" t="str">
        <x:f t="shared" si="6"/>
      </x:c>
      <x:c r="Z89" s="9" t="s">
        <x:v>870</x:v>
      </x:c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  <x:c r="AL89" s="12" t="str">
        <x:f t="shared" si="7"/>
      </x:c>
      <x:c r="AM89" s="11" t="str">
        <x:f t="shared" si="8"/>
      </x:c>
      <x:c r="AN89" s="11" t="str">
        <x:f t="shared" si="9"/>
      </x:c>
      <x:c r="AO89" s="9"/>
      <x:c r="AP89" s="9"/>
      <x:c r="AQ89" s="27" t="s">
        <x:v>330</x:v>
      </x:c>
    </x:row>
    <x:row r="90" ht="118.05000305175781" customHeight="1">
      <x:c r="A90" s="6" t="s">
        <x:v>966</x:v>
      </x:c>
      <x:c r="B90" s="6" t="s">
        <x:v>334</x:v>
      </x:c>
      <x:c r="C90" s="6" t="s">
        <x:v>36</x:v>
      </x:c>
      <x:c r="D90" s="6" t="s">
        <x:v>335</x:v>
      </x:c>
      <x:c r="E90" s="6" t="s">
        <x:v>249</x:v>
      </x:c>
      <x:c r="F90" s="6" t="s">
        <x:v>336</x:v>
      </x:c>
      <x:c r="G90" s="6" t="s">
        <x:v>696</x:v>
      </x:c>
      <x:c r="H90" s="6" t="s">
        <x:v>698</x:v>
      </x:c>
      <x:c r="I90" s="6" t="s">
        <x:v>890</x:v>
      </x:c>
      <x:c r="J90" s="6" t="s">
        <x:v>891</x:v>
      </x:c>
      <x:c r="K90" s="6" t="s">
        <x:v>338</x:v>
      </x:c>
      <x:c r="L90" s="6" t="s">
        <x:v>282</x:v>
      </x:c>
      <x:c r="M90" s="6" t="s">
        <x:v>339</x:v>
      </x:c>
      <x:c r="N90" s="6" t="s">
        <x:v>340</x:v>
      </x:c>
      <x:c r="O90" s="6" t="s">
        <x:v>341</x:v>
      </x:c>
      <x:c r="P90" s="9"/>
      <x:c r="Q90" s="9"/>
      <x:c r="R90" s="9"/>
      <x:c r="S90" s="9"/>
      <x:c r="T90" s="9"/>
      <x:c r="U90" s="9"/>
      <x:c r="V90" s="9"/>
      <x:c r="W90" s="9"/>
      <x:c r="X90" s="12" t="str">
        <x:f t="shared" si="5"/>
      </x:c>
      <x:c r="Y90" s="12" t="str">
        <x:f t="shared" si="6"/>
      </x:c>
      <x:c r="Z90" s="9" t="s">
        <x:v>870</x:v>
      </x:c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12" t="str">
        <x:f t="shared" si="7"/>
      </x:c>
      <x:c r="AM90" s="11" t="str">
        <x:f t="shared" si="8"/>
      </x:c>
      <x:c r="AN90" s="11" t="str">
        <x:f t="shared" si="9"/>
      </x:c>
      <x:c r="AO90" s="9"/>
      <x:c r="AP90" s="9"/>
      <x:c r="AQ90" s="27" t="s">
        <x:v>337</x:v>
      </x:c>
    </x:row>
    <x:row r="91" ht="118.05000305175781" customHeight="1">
      <x:c r="A91" s="6" t="s">
        <x:v>967</x:v>
      </x:c>
      <x:c r="B91" s="6" t="s">
        <x:v>334</x:v>
      </x:c>
      <x:c r="C91" s="6" t="s">
        <x:v>36</x:v>
      </x:c>
      <x:c r="D91" s="6" t="s">
        <x:v>335</x:v>
      </x:c>
      <x:c r="E91" s="6" t="s">
        <x:v>249</x:v>
      </x:c>
      <x:c r="F91" s="6" t="s">
        <x:v>336</x:v>
      </x:c>
      <x:c r="G91" s="6" t="s">
        <x:v>696</x:v>
      </x:c>
      <x:c r="H91" s="6" t="s">
        <x:v>698</x:v>
      </x:c>
      <x:c r="I91" s="6" t="s">
        <x:v>910</x:v>
      </x:c>
      <x:c r="J91" s="6" t="s">
        <x:v>911</x:v>
      </x:c>
      <x:c r="K91" s="6" t="s">
        <x:v>338</x:v>
      </x:c>
      <x:c r="L91" s="6" t="s">
        <x:v>282</x:v>
      </x:c>
      <x:c r="M91" s="6" t="s">
        <x:v>339</x:v>
      </x:c>
      <x:c r="N91" s="6" t="s">
        <x:v>340</x:v>
      </x:c>
      <x:c r="O91" s="6" t="s">
        <x:v>341</x:v>
      </x:c>
      <x:c r="P91" s="9"/>
      <x:c r="Q91" s="9"/>
      <x:c r="R91" s="9"/>
      <x:c r="S91" s="9"/>
      <x:c r="T91" s="9"/>
      <x:c r="U91" s="9"/>
      <x:c r="V91" s="9"/>
      <x:c r="W91" s="9"/>
      <x:c r="X91" s="12" t="str">
        <x:f t="shared" si="5"/>
      </x:c>
      <x:c r="Y91" s="12" t="str">
        <x:f t="shared" si="6"/>
      </x:c>
      <x:c r="Z91" s="9" t="s">
        <x:v>870</x:v>
      </x:c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12" t="str">
        <x:f t="shared" si="7"/>
      </x:c>
      <x:c r="AM91" s="11" t="str">
        <x:f t="shared" si="8"/>
      </x:c>
      <x:c r="AN91" s="11" t="str">
        <x:f t="shared" si="9"/>
      </x:c>
      <x:c r="AO91" s="9"/>
      <x:c r="AP91" s="9"/>
      <x:c r="AQ91" s="27" t="s">
        <x:v>337</x:v>
      </x:c>
    </x:row>
    <x:row r="92" ht="118.05000305175781" customHeight="1">
      <x:c r="A92" s="6" t="s">
        <x:v>968</x:v>
      </x:c>
      <x:c r="B92" s="6" t="s">
        <x:v>334</x:v>
      </x:c>
      <x:c r="C92" s="6" t="s">
        <x:v>36</x:v>
      </x:c>
      <x:c r="D92" s="6" t="s">
        <x:v>335</x:v>
      </x:c>
      <x:c r="E92" s="6" t="s">
        <x:v>249</x:v>
      </x:c>
      <x:c r="F92" s="6" t="s">
        <x:v>336</x:v>
      </x:c>
      <x:c r="G92" s="6" t="s">
        <x:v>715</x:v>
      </x:c>
      <x:c r="H92" s="6" t="s">
        <x:v>717</x:v>
      </x:c>
      <x:c r="I92" s="6" t="s">
        <x:v>890</x:v>
      </x:c>
      <x:c r="J92" s="6" t="s">
        <x:v>891</x:v>
      </x:c>
      <x:c r="K92" s="6" t="s">
        <x:v>338</x:v>
      </x:c>
      <x:c r="L92" s="6" t="s">
        <x:v>282</x:v>
      </x:c>
      <x:c r="M92" s="6" t="s">
        <x:v>339</x:v>
      </x:c>
      <x:c r="N92" s="6" t="s">
        <x:v>340</x:v>
      </x:c>
      <x:c r="O92" s="6" t="s">
        <x:v>341</x:v>
      </x:c>
      <x:c r="P92" s="9"/>
      <x:c r="Q92" s="9"/>
      <x:c r="R92" s="9"/>
      <x:c r="S92" s="9"/>
      <x:c r="T92" s="9"/>
      <x:c r="U92" s="9"/>
      <x:c r="V92" s="9"/>
      <x:c r="W92" s="9"/>
      <x:c r="X92" s="12" t="str">
        <x:f t="shared" si="5"/>
      </x:c>
      <x:c r="Y92" s="12" t="str">
        <x:f t="shared" si="6"/>
      </x:c>
      <x:c r="Z92" s="9" t="s">
        <x:v>870</x:v>
      </x:c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12" t="str">
        <x:f t="shared" si="7"/>
      </x:c>
      <x:c r="AM92" s="11" t="str">
        <x:f t="shared" si="8"/>
      </x:c>
      <x:c r="AN92" s="11" t="str">
        <x:f t="shared" si="9"/>
      </x:c>
      <x:c r="AO92" s="9"/>
      <x:c r="AP92" s="9"/>
      <x:c r="AQ92" s="27" t="s">
        <x:v>337</x:v>
      </x:c>
    </x:row>
    <x:row r="93" ht="118.05000305175781" customHeight="1">
      <x:c r="A93" s="6" t="s">
        <x:v>969</x:v>
      </x:c>
      <x:c r="B93" s="6" t="s">
        <x:v>334</x:v>
      </x:c>
      <x:c r="C93" s="6" t="s">
        <x:v>36</x:v>
      </x:c>
      <x:c r="D93" s="6" t="s">
        <x:v>335</x:v>
      </x:c>
      <x:c r="E93" s="6" t="s">
        <x:v>249</x:v>
      </x:c>
      <x:c r="F93" s="6" t="s">
        <x:v>336</x:v>
      </x:c>
      <x:c r="G93" s="6" t="s">
        <x:v>715</x:v>
      </x:c>
      <x:c r="H93" s="6" t="s">
        <x:v>717</x:v>
      </x:c>
      <x:c r="I93" s="6" t="s">
        <x:v>910</x:v>
      </x:c>
      <x:c r="J93" s="6" t="s">
        <x:v>911</x:v>
      </x:c>
      <x:c r="K93" s="6" t="s">
        <x:v>338</x:v>
      </x:c>
      <x:c r="L93" s="6" t="s">
        <x:v>282</x:v>
      </x:c>
      <x:c r="M93" s="6" t="s">
        <x:v>339</x:v>
      </x:c>
      <x:c r="N93" s="6" t="s">
        <x:v>340</x:v>
      </x:c>
      <x:c r="O93" s="6" t="s">
        <x:v>341</x:v>
      </x:c>
      <x:c r="P93" s="9"/>
      <x:c r="Q93" s="9"/>
      <x:c r="R93" s="9"/>
      <x:c r="S93" s="9"/>
      <x:c r="T93" s="9"/>
      <x:c r="U93" s="9"/>
      <x:c r="V93" s="9"/>
      <x:c r="W93" s="9"/>
      <x:c r="X93" s="12" t="str">
        <x:f t="shared" si="5"/>
      </x:c>
      <x:c r="Y93" s="12" t="str">
        <x:f t="shared" si="6"/>
      </x:c>
      <x:c r="Z93" s="9" t="s">
        <x:v>870</x:v>
      </x:c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12" t="str">
        <x:f t="shared" si="7"/>
      </x:c>
      <x:c r="AM93" s="11" t="str">
        <x:f t="shared" si="8"/>
      </x:c>
      <x:c r="AN93" s="11" t="str">
        <x:f t="shared" si="9"/>
      </x:c>
      <x:c r="AO93" s="9"/>
      <x:c r="AP93" s="9"/>
      <x:c r="AQ93" s="27" t="s">
        <x:v>337</x:v>
      </x:c>
    </x:row>
    <x:row r="94" ht="118.05000305175781" customHeight="1">
      <x:c r="A94" s="6" t="s">
        <x:v>970</x:v>
      </x:c>
      <x:c r="B94" s="6" t="s">
        <x:v>334</x:v>
      </x:c>
      <x:c r="C94" s="6" t="s">
        <x:v>36</x:v>
      </x:c>
      <x:c r="D94" s="6" t="s">
        <x:v>335</x:v>
      </x:c>
      <x:c r="E94" s="6" t="s">
        <x:v>249</x:v>
      </x:c>
      <x:c r="F94" s="6" t="s">
        <x:v>336</x:v>
      </x:c>
      <x:c r="G94" s="6" t="s">
        <x:v>724</x:v>
      </x:c>
      <x:c r="H94" s="6" t="s">
        <x:v>726</x:v>
      </x:c>
      <x:c r="I94" s="6" t="s">
        <x:v>890</x:v>
      </x:c>
      <x:c r="J94" s="6" t="s">
        <x:v>891</x:v>
      </x:c>
      <x:c r="K94" s="6" t="s">
        <x:v>338</x:v>
      </x:c>
      <x:c r="L94" s="6" t="s">
        <x:v>282</x:v>
      </x:c>
      <x:c r="M94" s="6" t="s">
        <x:v>339</x:v>
      </x:c>
      <x:c r="N94" s="6" t="s">
        <x:v>340</x:v>
      </x:c>
      <x:c r="O94" s="6" t="s">
        <x:v>341</x:v>
      </x:c>
      <x:c r="P94" s="9"/>
      <x:c r="Q94" s="9"/>
      <x:c r="R94" s="9"/>
      <x:c r="S94" s="9"/>
      <x:c r="T94" s="9"/>
      <x:c r="U94" s="9"/>
      <x:c r="V94" s="9"/>
      <x:c r="W94" s="9"/>
      <x:c r="X94" s="12" t="str">
        <x:f t="shared" si="5"/>
      </x:c>
      <x:c r="Y94" s="12" t="str">
        <x:f t="shared" si="6"/>
      </x:c>
      <x:c r="Z94" s="9" t="s">
        <x:v>870</x:v>
      </x:c>
      <x:c r="AA94" s="9"/>
      <x:c r="AB94" s="9"/>
      <x:c r="AC94" s="9"/>
      <x:c r="AD94" s="9"/>
      <x:c r="AE94" s="9"/>
      <x:c r="AF94" s="9"/>
      <x:c r="AG94" s="9"/>
      <x:c r="AH94" s="9"/>
      <x:c r="AI94" s="9"/>
      <x:c r="AJ94" s="9"/>
      <x:c r="AK94" s="9"/>
      <x:c r="AL94" s="12" t="str">
        <x:f t="shared" si="7"/>
      </x:c>
      <x:c r="AM94" s="11" t="str">
        <x:f t="shared" si="8"/>
      </x:c>
      <x:c r="AN94" s="11" t="str">
        <x:f t="shared" si="9"/>
      </x:c>
      <x:c r="AO94" s="9"/>
      <x:c r="AP94" s="9"/>
      <x:c r="AQ94" s="27" t="s">
        <x:v>337</x:v>
      </x:c>
    </x:row>
    <x:row r="95" ht="118.05000305175781" customHeight="1">
      <x:c r="A95" s="6" t="s">
        <x:v>971</x:v>
      </x:c>
      <x:c r="B95" s="6" t="s">
        <x:v>334</x:v>
      </x:c>
      <x:c r="C95" s="6" t="s">
        <x:v>36</x:v>
      </x:c>
      <x:c r="D95" s="6" t="s">
        <x:v>335</x:v>
      </x:c>
      <x:c r="E95" s="6" t="s">
        <x:v>249</x:v>
      </x:c>
      <x:c r="F95" s="6" t="s">
        <x:v>336</x:v>
      </x:c>
      <x:c r="G95" s="6" t="s">
        <x:v>724</x:v>
      </x:c>
      <x:c r="H95" s="6" t="s">
        <x:v>726</x:v>
      </x:c>
      <x:c r="I95" s="6" t="s">
        <x:v>910</x:v>
      </x:c>
      <x:c r="J95" s="6" t="s">
        <x:v>911</x:v>
      </x:c>
      <x:c r="K95" s="6" t="s">
        <x:v>338</x:v>
      </x:c>
      <x:c r="L95" s="6" t="s">
        <x:v>282</x:v>
      </x:c>
      <x:c r="M95" s="6" t="s">
        <x:v>339</x:v>
      </x:c>
      <x:c r="N95" s="6" t="s">
        <x:v>340</x:v>
      </x:c>
      <x:c r="O95" s="6" t="s">
        <x:v>341</x:v>
      </x:c>
      <x:c r="P95" s="9"/>
      <x:c r="Q95" s="9"/>
      <x:c r="R95" s="9"/>
      <x:c r="S95" s="9"/>
      <x:c r="T95" s="9"/>
      <x:c r="U95" s="9"/>
      <x:c r="V95" s="9"/>
      <x:c r="W95" s="9"/>
      <x:c r="X95" s="12" t="str">
        <x:f t="shared" si="5"/>
      </x:c>
      <x:c r="Y95" s="12" t="str">
        <x:f t="shared" si="6"/>
      </x:c>
      <x:c r="Z95" s="9" t="s">
        <x:v>870</x:v>
      </x:c>
      <x:c r="AA95" s="9"/>
      <x:c r="AB95" s="9"/>
      <x:c r="AC95" s="9"/>
      <x:c r="AD95" s="9"/>
      <x:c r="AE95" s="9"/>
      <x:c r="AF95" s="9"/>
      <x:c r="AG95" s="9"/>
      <x:c r="AH95" s="9"/>
      <x:c r="AI95" s="9"/>
      <x:c r="AJ95" s="9"/>
      <x:c r="AK95" s="9"/>
      <x:c r="AL95" s="12" t="str">
        <x:f t="shared" si="7"/>
      </x:c>
      <x:c r="AM95" s="11" t="str">
        <x:f t="shared" si="8"/>
      </x:c>
      <x:c r="AN95" s="11" t="str">
        <x:f t="shared" si="9"/>
      </x:c>
      <x:c r="AO95" s="9"/>
      <x:c r="AP95" s="9"/>
      <x:c r="AQ95" s="27" t="s">
        <x:v>337</x:v>
      </x:c>
    </x:row>
    <x:row r="96" ht="118.05000305175781" customHeight="1">
      <x:c r="A96" s="6" t="s">
        <x:v>972</x:v>
      </x:c>
      <x:c r="B96" s="6" t="s">
        <x:v>342</x:v>
      </x:c>
      <x:c r="C96" s="6" t="s">
        <x:v>36</x:v>
      </x:c>
      <x:c r="D96" s="6" t="s">
        <x:v>343</x:v>
      </x:c>
      <x:c r="E96" s="6" t="s">
        <x:v>268</x:v>
      </x:c>
      <x:c r="F96" s="6" t="s">
        <x:v>344</x:v>
      </x:c>
      <x:c r="G96" s="6" t="s">
        <x:v>271</x:v>
      </x:c>
      <x:c r="H96" s="6" t="s">
        <x:v>721</x:v>
      </x:c>
      <x:c r="I96" s="6" t="s">
        <x:v>890</x:v>
      </x:c>
      <x:c r="J96" s="6" t="s">
        <x:v>891</x:v>
      </x:c>
      <x:c r="K96" s="6" t="s">
        <x:v>346</x:v>
      </x:c>
      <x:c r="L96" s="6" t="s">
        <x:v>282</x:v>
      </x:c>
      <x:c r="M96" s="6" t="s">
        <x:v>347</x:v>
      </x:c>
      <x:c r="N96" s="6" t="s">
        <x:v>348</x:v>
      </x:c>
      <x:c r="O96" s="6" t="s">
        <x:v>349</x:v>
      </x:c>
      <x:c r="P96" s="9"/>
      <x:c r="Q96" s="9"/>
      <x:c r="R96" s="9"/>
      <x:c r="S96" s="9"/>
      <x:c r="T96" s="9"/>
      <x:c r="U96" s="9"/>
      <x:c r="V96" s="9"/>
      <x:c r="W96" s="9"/>
      <x:c r="X96" s="12" t="str">
        <x:f t="shared" si="5"/>
      </x:c>
      <x:c r="Y96" s="12" t="str">
        <x:f t="shared" si="6"/>
      </x:c>
      <x:c r="Z96" s="9" t="s">
        <x:v>870</x:v>
      </x:c>
      <x:c r="AA96" s="9"/>
      <x:c r="AB96" s="9"/>
      <x:c r="AC96" s="9"/>
      <x:c r="AD96" s="9"/>
      <x:c r="AE96" s="9"/>
      <x:c r="AF96" s="9"/>
      <x:c r="AG96" s="9"/>
      <x:c r="AH96" s="9"/>
      <x:c r="AI96" s="9"/>
      <x:c r="AJ96" s="9"/>
      <x:c r="AK96" s="9"/>
      <x:c r="AL96" s="12" t="str">
        <x:f t="shared" si="7"/>
      </x:c>
      <x:c r="AM96" s="11" t="str">
        <x:f t="shared" si="8"/>
      </x:c>
      <x:c r="AN96" s="11" t="str">
        <x:f t="shared" si="9"/>
      </x:c>
      <x:c r="AO96" s="9"/>
      <x:c r="AP96" s="9"/>
      <x:c r="AQ96" s="27" t="s">
        <x:v>345</x:v>
      </x:c>
    </x:row>
    <x:row r="97" ht="118.05000305175781" customHeight="1">
      <x:c r="A97" s="6" t="s">
        <x:v>973</x:v>
      </x:c>
      <x:c r="B97" s="6" t="s">
        <x:v>342</x:v>
      </x:c>
      <x:c r="C97" s="6" t="s">
        <x:v>36</x:v>
      </x:c>
      <x:c r="D97" s="6" t="s">
        <x:v>343</x:v>
      </x:c>
      <x:c r="E97" s="6" t="s">
        <x:v>268</x:v>
      </x:c>
      <x:c r="F97" s="6" t="s">
        <x:v>344</x:v>
      </x:c>
      <x:c r="G97" s="6" t="s">
        <x:v>271</x:v>
      </x:c>
      <x:c r="H97" s="6" t="s">
        <x:v>721</x:v>
      </x:c>
      <x:c r="I97" s="6" t="s">
        <x:v>872</x:v>
      </x:c>
      <x:c r="J97" s="6" t="s">
        <x:v>873</x:v>
      </x:c>
      <x:c r="K97" s="6" t="s">
        <x:v>346</x:v>
      </x:c>
      <x:c r="L97" s="6" t="s">
        <x:v>282</x:v>
      </x:c>
      <x:c r="M97" s="6" t="s">
        <x:v>347</x:v>
      </x:c>
      <x:c r="N97" s="6" t="s">
        <x:v>348</x:v>
      </x:c>
      <x:c r="O97" s="6" t="s">
        <x:v>349</x:v>
      </x:c>
      <x:c r="P97" s="9"/>
      <x:c r="Q97" s="9"/>
      <x:c r="R97" s="9"/>
      <x:c r="S97" s="9"/>
      <x:c r="T97" s="9"/>
      <x:c r="U97" s="9"/>
      <x:c r="V97" s="9"/>
      <x:c r="W97" s="9"/>
      <x:c r="X97" s="12" t="str">
        <x:f t="shared" si="5"/>
      </x:c>
      <x:c r="Y97" s="12" t="str">
        <x:f t="shared" si="6"/>
      </x:c>
      <x:c r="Z97" s="9" t="s">
        <x:v>870</x:v>
      </x:c>
      <x:c r="AA97" s="9"/>
      <x:c r="AB97" s="9"/>
      <x:c r="AC97" s="9"/>
      <x:c r="AD97" s="9"/>
      <x:c r="AE97" s="9"/>
      <x:c r="AF97" s="9"/>
      <x:c r="AG97" s="9"/>
      <x:c r="AH97" s="9"/>
      <x:c r="AI97" s="9"/>
      <x:c r="AJ97" s="9"/>
      <x:c r="AK97" s="9"/>
      <x:c r="AL97" s="12" t="str">
        <x:f t="shared" si="7"/>
      </x:c>
      <x:c r="AM97" s="11" t="str">
        <x:f t="shared" si="8"/>
      </x:c>
      <x:c r="AN97" s="11" t="str">
        <x:f t="shared" si="9"/>
      </x:c>
      <x:c r="AO97" s="9"/>
      <x:c r="AP97" s="9"/>
      <x:c r="AQ97" s="27" t="s">
        <x:v>345</x:v>
      </x:c>
    </x:row>
    <x:row r="98" ht="118.05000305175781" customHeight="1">
      <x:c r="A98" s="6" t="s">
        <x:v>974</x:v>
      </x:c>
      <x:c r="B98" s="6" t="s">
        <x:v>350</x:v>
      </x:c>
      <x:c r="C98" s="6" t="s">
        <x:v>43</x:v>
      </x:c>
      <x:c r="D98" s="6" t="s">
        <x:v>351</x:v>
      </x:c>
      <x:c r="E98" s="6" t="s">
        <x:v>192</x:v>
      </x:c>
      <x:c r="F98" s="6" t="s">
        <x:v>352</x:v>
      </x:c>
      <x:c r="G98" s="6" t="s">
        <x:v>696</x:v>
      </x:c>
      <x:c r="H98" s="6" t="s">
        <x:v>698</x:v>
      </x:c>
      <x:c r="I98" s="6" t="s">
        <x:v>975</x:v>
      </x:c>
      <x:c r="J98" s="6" t="s">
        <x:v>976</x:v>
      </x:c>
      <x:c r="K98" s="6" t="s">
        <x:v>355</x:v>
      </x:c>
      <x:c r="L98" s="6" t="s">
        <x:v>356</x:v>
      </x:c>
      <x:c r="M98" s="6" t="s">
        <x:v>357</x:v>
      </x:c>
      <x:c r="N98" s="6" t="s">
        <x:v>358</x:v>
      </x:c>
      <x:c r="O98" s="6" t="s">
        <x:v>359</x:v>
      </x:c>
      <x:c r="P98" s="9"/>
      <x:c r="Q98" s="9"/>
      <x:c r="R98" s="9"/>
      <x:c r="S98" s="9"/>
      <x:c r="T98" s="9"/>
      <x:c r="U98" s="9"/>
      <x:c r="V98" s="9"/>
      <x:c r="W98" s="9"/>
      <x:c r="X98" s="12" t="str">
        <x:f t="shared" si="5"/>
      </x:c>
      <x:c r="Y98" s="12" t="str">
        <x:f t="shared" si="6"/>
      </x:c>
      <x:c r="Z98" s="9" t="s">
        <x:v>870</x:v>
      </x:c>
      <x:c r="AA98" s="9"/>
      <x:c r="AB98" s="9"/>
      <x:c r="AC98" s="9"/>
      <x:c r="AD98" s="9"/>
      <x:c r="AE98" s="9"/>
      <x:c r="AF98" s="9"/>
      <x:c r="AG98" s="9"/>
      <x:c r="AH98" s="9"/>
      <x:c r="AI98" s="9"/>
      <x:c r="AJ98" s="9"/>
      <x:c r="AK98" s="9"/>
      <x:c r="AL98" s="12" t="str">
        <x:f t="shared" si="7"/>
      </x:c>
      <x:c r="AM98" s="11" t="str">
        <x:f t="shared" si="8"/>
      </x:c>
      <x:c r="AN98" s="11" t="str">
        <x:f t="shared" si="9"/>
      </x:c>
      <x:c r="AO98" s="9"/>
      <x:c r="AP98" s="9"/>
      <x:c r="AQ98" s="27" t="s">
        <x:v>353</x:v>
      </x:c>
    </x:row>
    <x:row r="99" ht="118.05000305175781" customHeight="1">
      <x:c r="A99" s="6" t="s">
        <x:v>977</x:v>
      </x:c>
      <x:c r="B99" s="6" t="s">
        <x:v>350</x:v>
      </x:c>
      <x:c r="C99" s="6" t="s">
        <x:v>43</x:v>
      </x:c>
      <x:c r="D99" s="6" t="s">
        <x:v>351</x:v>
      </x:c>
      <x:c r="E99" s="6" t="s">
        <x:v>192</x:v>
      </x:c>
      <x:c r="F99" s="6" t="s">
        <x:v>352</x:v>
      </x:c>
      <x:c r="G99" s="6" t="s">
        <x:v>696</x:v>
      </x:c>
      <x:c r="H99" s="6" t="s">
        <x:v>698</x:v>
      </x:c>
      <x:c r="I99" s="6" t="s">
        <x:v>910</x:v>
      </x:c>
      <x:c r="J99" s="6" t="s">
        <x:v>911</x:v>
      </x:c>
      <x:c r="K99" s="6" t="s">
        <x:v>355</x:v>
      </x:c>
      <x:c r="L99" s="6" t="s">
        <x:v>356</x:v>
      </x:c>
      <x:c r="M99" s="6" t="s">
        <x:v>357</x:v>
      </x:c>
      <x:c r="N99" s="6" t="s">
        <x:v>358</x:v>
      </x:c>
      <x:c r="O99" s="6" t="s">
        <x:v>359</x:v>
      </x:c>
      <x:c r="P99" s="9"/>
      <x:c r="Q99" s="9"/>
      <x:c r="R99" s="9"/>
      <x:c r="S99" s="9"/>
      <x:c r="T99" s="9"/>
      <x:c r="U99" s="9"/>
      <x:c r="V99" s="9"/>
      <x:c r="W99" s="9"/>
      <x:c r="X99" s="12" t="str">
        <x:f t="shared" si="5"/>
      </x:c>
      <x:c r="Y99" s="12" t="str">
        <x:f t="shared" si="6"/>
      </x:c>
      <x:c r="Z99" s="9" t="s">
        <x:v>870</x:v>
      </x:c>
      <x:c r="AA99" s="9"/>
      <x:c r="AB99" s="9"/>
      <x:c r="AC99" s="9"/>
      <x:c r="AD99" s="9"/>
      <x:c r="AE99" s="9"/>
      <x:c r="AF99" s="9"/>
      <x:c r="AG99" s="9"/>
      <x:c r="AH99" s="9"/>
      <x:c r="AI99" s="9"/>
      <x:c r="AJ99" s="9"/>
      <x:c r="AK99" s="9"/>
      <x:c r="AL99" s="12" t="str">
        <x:f t="shared" si="7"/>
      </x:c>
      <x:c r="AM99" s="11" t="str">
        <x:f t="shared" si="8"/>
      </x:c>
      <x:c r="AN99" s="11" t="str">
        <x:f t="shared" si="9"/>
      </x:c>
      <x:c r="AO99" s="9"/>
      <x:c r="AP99" s="9"/>
      <x:c r="AQ99" s="27" t="s">
        <x:v>353</x:v>
      </x:c>
    </x:row>
    <x:row r="100" ht="118.05000305175781" customHeight="1">
      <x:c r="A100" s="6" t="s">
        <x:v>978</x:v>
      </x:c>
      <x:c r="B100" s="6" t="s">
        <x:v>350</x:v>
      </x:c>
      <x:c r="C100" s="6" t="s">
        <x:v>43</x:v>
      </x:c>
      <x:c r="D100" s="6" t="s">
        <x:v>351</x:v>
      </x:c>
      <x:c r="E100" s="6" t="s">
        <x:v>192</x:v>
      </x:c>
      <x:c r="F100" s="6" t="s">
        <x:v>352</x:v>
      </x:c>
      <x:c r="G100" s="6" t="s">
        <x:v>702</x:v>
      </x:c>
      <x:c r="H100" s="6" t="s">
        <x:v>704</x:v>
      </x:c>
      <x:c r="I100" s="6" t="s">
        <x:v>975</x:v>
      </x:c>
      <x:c r="J100" s="6" t="s">
        <x:v>976</x:v>
      </x:c>
      <x:c r="K100" s="6" t="s">
        <x:v>355</x:v>
      </x:c>
      <x:c r="L100" s="6" t="s">
        <x:v>356</x:v>
      </x:c>
      <x:c r="M100" s="6" t="s">
        <x:v>357</x:v>
      </x:c>
      <x:c r="N100" s="6" t="s">
        <x:v>358</x:v>
      </x:c>
      <x:c r="O100" s="6" t="s">
        <x:v>359</x:v>
      </x:c>
      <x:c r="P100" s="9"/>
      <x:c r="Q100" s="9"/>
      <x:c r="R100" s="9"/>
      <x:c r="S100" s="9"/>
      <x:c r="T100" s="9"/>
      <x:c r="U100" s="9"/>
      <x:c r="V100" s="9"/>
      <x:c r="W100" s="9"/>
      <x:c r="X100" s="12" t="str">
        <x:f t="shared" si="5"/>
      </x:c>
      <x:c r="Y100" s="12" t="str">
        <x:f t="shared" si="6"/>
      </x:c>
      <x:c r="Z100" s="9" t="s">
        <x:v>870</x:v>
      </x:c>
      <x:c r="AA100" s="9"/>
      <x:c r="AB100" s="9"/>
      <x:c r="AC100" s="9"/>
      <x:c r="AD100" s="9"/>
      <x:c r="AE100" s="9"/>
      <x:c r="AF100" s="9"/>
      <x:c r="AG100" s="9"/>
      <x:c r="AH100" s="9"/>
      <x:c r="AI100" s="9"/>
      <x:c r="AJ100" s="9"/>
      <x:c r="AK100" s="9"/>
      <x:c r="AL100" s="12" t="str">
        <x:f t="shared" si="7"/>
      </x:c>
      <x:c r="AM100" s="11" t="str">
        <x:f t="shared" si="8"/>
      </x:c>
      <x:c r="AN100" s="11" t="str">
        <x:f t="shared" si="9"/>
      </x:c>
      <x:c r="AO100" s="9"/>
      <x:c r="AP100" s="9"/>
      <x:c r="AQ100" s="27" t="s">
        <x:v>353</x:v>
      </x:c>
    </x:row>
    <x:row r="101" ht="118.05000305175781" customHeight="1">
      <x:c r="A101" s="6" t="s">
        <x:v>979</x:v>
      </x:c>
      <x:c r="B101" s="6" t="s">
        <x:v>350</x:v>
      </x:c>
      <x:c r="C101" s="6" t="s">
        <x:v>43</x:v>
      </x:c>
      <x:c r="D101" s="6" t="s">
        <x:v>351</x:v>
      </x:c>
      <x:c r="E101" s="6" t="s">
        <x:v>192</x:v>
      </x:c>
      <x:c r="F101" s="6" t="s">
        <x:v>352</x:v>
      </x:c>
      <x:c r="G101" s="6" t="s">
        <x:v>702</x:v>
      </x:c>
      <x:c r="H101" s="6" t="s">
        <x:v>704</x:v>
      </x:c>
      <x:c r="I101" s="6" t="s">
        <x:v>910</x:v>
      </x:c>
      <x:c r="J101" s="6" t="s">
        <x:v>911</x:v>
      </x:c>
      <x:c r="K101" s="6" t="s">
        <x:v>355</x:v>
      </x:c>
      <x:c r="L101" s="6" t="s">
        <x:v>356</x:v>
      </x:c>
      <x:c r="M101" s="6" t="s">
        <x:v>357</x:v>
      </x:c>
      <x:c r="N101" s="6" t="s">
        <x:v>358</x:v>
      </x:c>
      <x:c r="O101" s="6" t="s">
        <x:v>359</x:v>
      </x:c>
      <x:c r="P101" s="9"/>
      <x:c r="Q101" s="9"/>
      <x:c r="R101" s="9"/>
      <x:c r="S101" s="9"/>
      <x:c r="T101" s="9"/>
      <x:c r="U101" s="9"/>
      <x:c r="V101" s="9"/>
      <x:c r="W101" s="9"/>
      <x:c r="X101" s="12" t="str">
        <x:f t="shared" si="5"/>
      </x:c>
      <x:c r="Y101" s="12" t="str">
        <x:f t="shared" si="6"/>
      </x:c>
      <x:c r="Z101" s="9" t="s">
        <x:v>870</x:v>
      </x:c>
      <x:c r="AA101" s="9"/>
      <x:c r="AB101" s="9"/>
      <x:c r="AC101" s="9"/>
      <x:c r="AD101" s="9"/>
      <x:c r="AE101" s="9"/>
      <x:c r="AF101" s="9"/>
      <x:c r="AG101" s="9"/>
      <x:c r="AH101" s="9"/>
      <x:c r="AI101" s="9"/>
      <x:c r="AJ101" s="9"/>
      <x:c r="AK101" s="9"/>
      <x:c r="AL101" s="12" t="str">
        <x:f t="shared" si="7"/>
      </x:c>
      <x:c r="AM101" s="11" t="str">
        <x:f t="shared" si="8"/>
      </x:c>
      <x:c r="AN101" s="11" t="str">
        <x:f t="shared" si="9"/>
      </x:c>
      <x:c r="AO101" s="9"/>
      <x:c r="AP101" s="9"/>
      <x:c r="AQ101" s="27" t="s">
        <x:v>353</x:v>
      </x:c>
    </x:row>
    <x:row r="102" ht="118.05000305175781" customHeight="1">
      <x:c r="A102" s="6" t="s">
        <x:v>980</x:v>
      </x:c>
      <x:c r="B102" s="6" t="s">
        <x:v>350</x:v>
      </x:c>
      <x:c r="C102" s="6" t="s">
        <x:v>43</x:v>
      </x:c>
      <x:c r="D102" s="6" t="s">
        <x:v>351</x:v>
      </x:c>
      <x:c r="E102" s="6" t="s">
        <x:v>192</x:v>
      </x:c>
      <x:c r="F102" s="6" t="s">
        <x:v>352</x:v>
      </x:c>
      <x:c r="G102" s="6" t="s">
        <x:v>707</x:v>
      </x:c>
      <x:c r="H102" s="6" t="s">
        <x:v>709</x:v>
      </x:c>
      <x:c r="I102" s="6" t="s">
        <x:v>975</x:v>
      </x:c>
      <x:c r="J102" s="6" t="s">
        <x:v>976</x:v>
      </x:c>
      <x:c r="K102" s="6" t="s">
        <x:v>355</x:v>
      </x:c>
      <x:c r="L102" s="6" t="s">
        <x:v>356</x:v>
      </x:c>
      <x:c r="M102" s="6" t="s">
        <x:v>357</x:v>
      </x:c>
      <x:c r="N102" s="6" t="s">
        <x:v>358</x:v>
      </x:c>
      <x:c r="O102" s="6" t="s">
        <x:v>359</x:v>
      </x:c>
      <x:c r="P102" s="9"/>
      <x:c r="Q102" s="9"/>
      <x:c r="R102" s="9"/>
      <x:c r="S102" s="9"/>
      <x:c r="T102" s="9"/>
      <x:c r="U102" s="9"/>
      <x:c r="V102" s="9"/>
      <x:c r="W102" s="9"/>
      <x:c r="X102" s="12" t="str">
        <x:f t="shared" si="5"/>
      </x:c>
      <x:c r="Y102" s="12" t="str">
        <x:f t="shared" si="6"/>
      </x:c>
      <x:c r="Z102" s="9" t="s">
        <x:v>870</x:v>
      </x:c>
      <x:c r="AA102" s="9"/>
      <x:c r="AB102" s="9"/>
      <x:c r="AC102" s="9"/>
      <x:c r="AD102" s="9"/>
      <x:c r="AE102" s="9"/>
      <x:c r="AF102" s="9"/>
      <x:c r="AG102" s="9"/>
      <x:c r="AH102" s="9"/>
      <x:c r="AI102" s="9"/>
      <x:c r="AJ102" s="9"/>
      <x:c r="AK102" s="9"/>
      <x:c r="AL102" s="12" t="str">
        <x:f t="shared" si="7"/>
      </x:c>
      <x:c r="AM102" s="11" t="str">
        <x:f t="shared" si="8"/>
      </x:c>
      <x:c r="AN102" s="11" t="str">
        <x:f t="shared" si="9"/>
      </x:c>
      <x:c r="AO102" s="9"/>
      <x:c r="AP102" s="9"/>
      <x:c r="AQ102" s="27" t="s">
        <x:v>353</x:v>
      </x:c>
    </x:row>
    <x:row r="103" ht="118.05000305175781" customHeight="1">
      <x:c r="A103" s="6" t="s">
        <x:v>981</x:v>
      </x:c>
      <x:c r="B103" s="6" t="s">
        <x:v>350</x:v>
      </x:c>
      <x:c r="C103" s="6" t="s">
        <x:v>43</x:v>
      </x:c>
      <x:c r="D103" s="6" t="s">
        <x:v>351</x:v>
      </x:c>
      <x:c r="E103" s="6" t="s">
        <x:v>192</x:v>
      </x:c>
      <x:c r="F103" s="6" t="s">
        <x:v>352</x:v>
      </x:c>
      <x:c r="G103" s="6" t="s">
        <x:v>707</x:v>
      </x:c>
      <x:c r="H103" s="6" t="s">
        <x:v>709</x:v>
      </x:c>
      <x:c r="I103" s="6" t="s">
        <x:v>910</x:v>
      </x:c>
      <x:c r="J103" s="6" t="s">
        <x:v>911</x:v>
      </x:c>
      <x:c r="K103" s="6" t="s">
        <x:v>355</x:v>
      </x:c>
      <x:c r="L103" s="6" t="s">
        <x:v>356</x:v>
      </x:c>
      <x:c r="M103" s="6" t="s">
        <x:v>357</x:v>
      </x:c>
      <x:c r="N103" s="6" t="s">
        <x:v>358</x:v>
      </x:c>
      <x:c r="O103" s="6" t="s">
        <x:v>359</x:v>
      </x:c>
      <x:c r="P103" s="9"/>
      <x:c r="Q103" s="9"/>
      <x:c r="R103" s="9"/>
      <x:c r="S103" s="9"/>
      <x:c r="T103" s="9"/>
      <x:c r="U103" s="9"/>
      <x:c r="V103" s="9"/>
      <x:c r="W103" s="9"/>
      <x:c r="X103" s="12" t="str">
        <x:f t="shared" si="5"/>
      </x:c>
      <x:c r="Y103" s="12" t="str">
        <x:f t="shared" si="6"/>
      </x:c>
      <x:c r="Z103" s="9" t="s">
        <x:v>870</x:v>
      </x:c>
      <x:c r="AA103" s="9"/>
      <x:c r="AB103" s="9"/>
      <x:c r="AC103" s="9"/>
      <x:c r="AD103" s="9"/>
      <x:c r="AE103" s="9"/>
      <x:c r="AF103" s="9"/>
      <x:c r="AG103" s="9"/>
      <x:c r="AH103" s="9"/>
      <x:c r="AI103" s="9"/>
      <x:c r="AJ103" s="9"/>
      <x:c r="AK103" s="9"/>
      <x:c r="AL103" s="12" t="str">
        <x:f t="shared" si="7"/>
      </x:c>
      <x:c r="AM103" s="11" t="str">
        <x:f t="shared" si="8"/>
      </x:c>
      <x:c r="AN103" s="11" t="str">
        <x:f t="shared" si="9"/>
      </x:c>
      <x:c r="AO103" s="9"/>
      <x:c r="AP103" s="9"/>
      <x:c r="AQ103" s="27" t="s">
        <x:v>353</x:v>
      </x:c>
    </x:row>
    <x:row r="104" ht="118.05000305175781" customHeight="1">
      <x:c r="A104" s="6" t="s">
        <x:v>982</x:v>
      </x:c>
      <x:c r="B104" s="6" t="s">
        <x:v>361</x:v>
      </x:c>
      <x:c r="C104" s="6" t="s">
        <x:v>43</x:v>
      </x:c>
      <x:c r="D104" s="6" t="s">
        <x:v>362</x:v>
      </x:c>
      <x:c r="E104" s="6" t="s">
        <x:v>205</x:v>
      </x:c>
      <x:c r="F104" s="6" t="s">
        <x:v>363</x:v>
      </x:c>
      <x:c r="G104" s="6" t="s">
        <x:v>696</x:v>
      </x:c>
      <x:c r="H104" s="6" t="s">
        <x:v>698</x:v>
      </x:c>
      <x:c r="I104" s="6" t="s">
        <x:v>975</x:v>
      </x:c>
      <x:c r="J104" s="6" t="s">
        <x:v>976</x:v>
      </x:c>
      <x:c r="K104" s="6" t="s">
        <x:v>355</x:v>
      </x:c>
      <x:c r="L104" s="6" t="s">
        <x:v>356</x:v>
      </x:c>
      <x:c r="M104" s="6" t="s">
        <x:v>365</x:v>
      </x:c>
      <x:c r="N104" s="6" t="s">
        <x:v>366</x:v>
      </x:c>
      <x:c r="O104" s="6" t="s">
        <x:v>367</x:v>
      </x:c>
      <x:c r="P104" s="9"/>
      <x:c r="Q104" s="9"/>
      <x:c r="R104" s="9"/>
      <x:c r="S104" s="9"/>
      <x:c r="T104" s="9"/>
      <x:c r="U104" s="9"/>
      <x:c r="V104" s="9"/>
      <x:c r="W104" s="9"/>
      <x:c r="X104" s="12" t="str">
        <x:f t="shared" si="5"/>
      </x:c>
      <x:c r="Y104" s="12" t="str">
        <x:f t="shared" si="6"/>
      </x:c>
      <x:c r="Z104" s="9" t="s">
        <x:v>870</x:v>
      </x:c>
      <x:c r="AA104" s="9"/>
      <x:c r="AB104" s="9"/>
      <x:c r="AC104" s="9"/>
      <x:c r="AD104" s="9"/>
      <x:c r="AE104" s="9"/>
      <x:c r="AF104" s="9"/>
      <x:c r="AG104" s="9"/>
      <x:c r="AH104" s="9"/>
      <x:c r="AI104" s="9"/>
      <x:c r="AJ104" s="9"/>
      <x:c r="AK104" s="9"/>
      <x:c r="AL104" s="12" t="str">
        <x:f t="shared" si="7"/>
      </x:c>
      <x:c r="AM104" s="11" t="str">
        <x:f t="shared" si="8"/>
      </x:c>
      <x:c r="AN104" s="11" t="str">
        <x:f t="shared" si="9"/>
      </x:c>
      <x:c r="AO104" s="9"/>
      <x:c r="AP104" s="9"/>
      <x:c r="AQ104" s="27" t="s">
        <x:v>364</x:v>
      </x:c>
    </x:row>
    <x:row r="105" ht="118.05000305175781" customHeight="1">
      <x:c r="A105" s="6" t="s">
        <x:v>983</x:v>
      </x:c>
      <x:c r="B105" s="6" t="s">
        <x:v>361</x:v>
      </x:c>
      <x:c r="C105" s="6" t="s">
        <x:v>43</x:v>
      </x:c>
      <x:c r="D105" s="6" t="s">
        <x:v>362</x:v>
      </x:c>
      <x:c r="E105" s="6" t="s">
        <x:v>205</x:v>
      </x:c>
      <x:c r="F105" s="6" t="s">
        <x:v>363</x:v>
      </x:c>
      <x:c r="G105" s="6" t="s">
        <x:v>696</x:v>
      </x:c>
      <x:c r="H105" s="6" t="s">
        <x:v>698</x:v>
      </x:c>
      <x:c r="I105" s="6" t="s">
        <x:v>910</x:v>
      </x:c>
      <x:c r="J105" s="6" t="s">
        <x:v>911</x:v>
      </x:c>
      <x:c r="K105" s="6" t="s">
        <x:v>355</x:v>
      </x:c>
      <x:c r="L105" s="6" t="s">
        <x:v>356</x:v>
      </x:c>
      <x:c r="M105" s="6" t="s">
        <x:v>365</x:v>
      </x:c>
      <x:c r="N105" s="6" t="s">
        <x:v>366</x:v>
      </x:c>
      <x:c r="O105" s="6" t="s">
        <x:v>367</x:v>
      </x:c>
      <x:c r="P105" s="9"/>
      <x:c r="Q105" s="9"/>
      <x:c r="R105" s="9"/>
      <x:c r="S105" s="9"/>
      <x:c r="T105" s="9"/>
      <x:c r="U105" s="9"/>
      <x:c r="V105" s="9"/>
      <x:c r="W105" s="9"/>
      <x:c r="X105" s="12" t="str">
        <x:f t="shared" si="5"/>
      </x:c>
      <x:c r="Y105" s="12" t="str">
        <x:f t="shared" si="6"/>
      </x:c>
      <x:c r="Z105" s="9" t="s">
        <x:v>870</x:v>
      </x:c>
      <x:c r="AA105" s="9"/>
      <x:c r="AB105" s="9"/>
      <x:c r="AC105" s="9"/>
      <x:c r="AD105" s="9"/>
      <x:c r="AE105" s="9"/>
      <x:c r="AF105" s="9"/>
      <x:c r="AG105" s="9"/>
      <x:c r="AH105" s="9"/>
      <x:c r="AI105" s="9"/>
      <x:c r="AJ105" s="9"/>
      <x:c r="AK105" s="9"/>
      <x:c r="AL105" s="12" t="str">
        <x:f t="shared" si="7"/>
      </x:c>
      <x:c r="AM105" s="11" t="str">
        <x:f t="shared" si="8"/>
      </x:c>
      <x:c r="AN105" s="11" t="str">
        <x:f t="shared" si="9"/>
      </x:c>
      <x:c r="AO105" s="9"/>
      <x:c r="AP105" s="9"/>
      <x:c r="AQ105" s="27" t="s">
        <x:v>364</x:v>
      </x:c>
    </x:row>
    <x:row r="106" ht="118.05000305175781" customHeight="1">
      <x:c r="A106" s="6" t="s">
        <x:v>984</x:v>
      </x:c>
      <x:c r="B106" s="6" t="s">
        <x:v>361</x:v>
      </x:c>
      <x:c r="C106" s="6" t="s">
        <x:v>43</x:v>
      </x:c>
      <x:c r="D106" s="6" t="s">
        <x:v>362</x:v>
      </x:c>
      <x:c r="E106" s="6" t="s">
        <x:v>205</x:v>
      </x:c>
      <x:c r="F106" s="6" t="s">
        <x:v>363</x:v>
      </x:c>
      <x:c r="G106" s="6" t="s">
        <x:v>707</x:v>
      </x:c>
      <x:c r="H106" s="6" t="s">
        <x:v>709</x:v>
      </x:c>
      <x:c r="I106" s="6" t="s">
        <x:v>975</x:v>
      </x:c>
      <x:c r="J106" s="6" t="s">
        <x:v>976</x:v>
      </x:c>
      <x:c r="K106" s="6" t="s">
        <x:v>355</x:v>
      </x:c>
      <x:c r="L106" s="6" t="s">
        <x:v>356</x:v>
      </x:c>
      <x:c r="M106" s="6" t="s">
        <x:v>365</x:v>
      </x:c>
      <x:c r="N106" s="6" t="s">
        <x:v>366</x:v>
      </x:c>
      <x:c r="O106" s="6" t="s">
        <x:v>367</x:v>
      </x:c>
      <x:c r="P106" s="9"/>
      <x:c r="Q106" s="9"/>
      <x:c r="R106" s="9"/>
      <x:c r="S106" s="9"/>
      <x:c r="T106" s="9"/>
      <x:c r="U106" s="9"/>
      <x:c r="V106" s="9"/>
      <x:c r="W106" s="9"/>
      <x:c r="X106" s="12" t="str">
        <x:f t="shared" si="5"/>
      </x:c>
      <x:c r="Y106" s="12" t="str">
        <x:f t="shared" si="6"/>
      </x:c>
      <x:c r="Z106" s="9" t="s">
        <x:v>870</x:v>
      </x:c>
      <x:c r="AA106" s="9"/>
      <x:c r="AB106" s="9"/>
      <x:c r="AC106" s="9"/>
      <x:c r="AD106" s="9"/>
      <x:c r="AE106" s="9"/>
      <x:c r="AF106" s="9"/>
      <x:c r="AG106" s="9"/>
      <x:c r="AH106" s="9"/>
      <x:c r="AI106" s="9"/>
      <x:c r="AJ106" s="9"/>
      <x:c r="AK106" s="9"/>
      <x:c r="AL106" s="12" t="str">
        <x:f t="shared" si="7"/>
      </x:c>
      <x:c r="AM106" s="11" t="str">
        <x:f t="shared" si="8"/>
      </x:c>
      <x:c r="AN106" s="11" t="str">
        <x:f t="shared" si="9"/>
      </x:c>
      <x:c r="AO106" s="9"/>
      <x:c r="AP106" s="9"/>
      <x:c r="AQ106" s="27" t="s">
        <x:v>364</x:v>
      </x:c>
    </x:row>
    <x:row r="107" ht="118.05000305175781" customHeight="1">
      <x:c r="A107" s="6" t="s">
        <x:v>985</x:v>
      </x:c>
      <x:c r="B107" s="6" t="s">
        <x:v>361</x:v>
      </x:c>
      <x:c r="C107" s="6" t="s">
        <x:v>43</x:v>
      </x:c>
      <x:c r="D107" s="6" t="s">
        <x:v>362</x:v>
      </x:c>
      <x:c r="E107" s="6" t="s">
        <x:v>205</x:v>
      </x:c>
      <x:c r="F107" s="6" t="s">
        <x:v>363</x:v>
      </x:c>
      <x:c r="G107" s="6" t="s">
        <x:v>707</x:v>
      </x:c>
      <x:c r="H107" s="6" t="s">
        <x:v>709</x:v>
      </x:c>
      <x:c r="I107" s="6" t="s">
        <x:v>910</x:v>
      </x:c>
      <x:c r="J107" s="6" t="s">
        <x:v>911</x:v>
      </x:c>
      <x:c r="K107" s="6" t="s">
        <x:v>355</x:v>
      </x:c>
      <x:c r="L107" s="6" t="s">
        <x:v>356</x:v>
      </x:c>
      <x:c r="M107" s="6" t="s">
        <x:v>365</x:v>
      </x:c>
      <x:c r="N107" s="6" t="s">
        <x:v>366</x:v>
      </x:c>
      <x:c r="O107" s="6" t="s">
        <x:v>367</x:v>
      </x:c>
      <x:c r="P107" s="9"/>
      <x:c r="Q107" s="9"/>
      <x:c r="R107" s="9"/>
      <x:c r="S107" s="9"/>
      <x:c r="T107" s="9"/>
      <x:c r="U107" s="9"/>
      <x:c r="V107" s="9"/>
      <x:c r="W107" s="9"/>
      <x:c r="X107" s="12" t="str">
        <x:f t="shared" si="5"/>
      </x:c>
      <x:c r="Y107" s="12" t="str">
        <x:f t="shared" si="6"/>
      </x:c>
      <x:c r="Z107" s="9" t="s">
        <x:v>870</x:v>
      </x:c>
      <x:c r="AA107" s="9"/>
      <x:c r="AB107" s="9"/>
      <x:c r="AC107" s="9"/>
      <x:c r="AD107" s="9"/>
      <x:c r="AE107" s="9"/>
      <x:c r="AF107" s="9"/>
      <x:c r="AG107" s="9"/>
      <x:c r="AH107" s="9"/>
      <x:c r="AI107" s="9"/>
      <x:c r="AJ107" s="9"/>
      <x:c r="AK107" s="9"/>
      <x:c r="AL107" s="12" t="str">
        <x:f t="shared" si="7"/>
      </x:c>
      <x:c r="AM107" s="11" t="str">
        <x:f t="shared" si="8"/>
      </x:c>
      <x:c r="AN107" s="11" t="str">
        <x:f t="shared" si="9"/>
      </x:c>
      <x:c r="AO107" s="9"/>
      <x:c r="AP107" s="9"/>
      <x:c r="AQ107" s="27" t="s">
        <x:v>364</x:v>
      </x:c>
    </x:row>
    <x:row r="108" ht="118.05000305175781" customHeight="1">
      <x:c r="A108" s="6" t="s">
        <x:v>986</x:v>
      </x:c>
      <x:c r="B108" s="6" t="s">
        <x:v>368</x:v>
      </x:c>
      <x:c r="C108" s="6" t="s">
        <x:v>43</x:v>
      </x:c>
      <x:c r="D108" s="6" t="s">
        <x:v>369</x:v>
      </x:c>
      <x:c r="E108" s="6" t="s">
        <x:v>214</x:v>
      </x:c>
      <x:c r="F108" s="6" t="s">
        <x:v>370</x:v>
      </x:c>
      <x:c r="G108" s="6" t="s">
        <x:v>696</x:v>
      </x:c>
      <x:c r="H108" s="6" t="s">
        <x:v>698</x:v>
      </x:c>
      <x:c r="I108" s="6" t="s">
        <x:v>910</x:v>
      </x:c>
      <x:c r="J108" s="6" t="s">
        <x:v>911</x:v>
      </x:c>
      <x:c r="K108" s="6" t="s">
        <x:v>373</x:v>
      </x:c>
      <x:c r="L108" s="6" t="s">
        <x:v>356</x:v>
      </x:c>
      <x:c r="M108" s="6" t="s">
        <x:v>374</x:v>
      </x:c>
      <x:c r="N108" s="6" t="s">
        <x:v>375</x:v>
      </x:c>
      <x:c r="O108" s="6" t="s">
        <x:v>376</x:v>
      </x:c>
      <x:c r="P108" s="9"/>
      <x:c r="Q108" s="9"/>
      <x:c r="R108" s="9"/>
      <x:c r="S108" s="9"/>
      <x:c r="T108" s="9"/>
      <x:c r="U108" s="9"/>
      <x:c r="V108" s="9"/>
      <x:c r="W108" s="9"/>
      <x:c r="X108" s="12" t="str">
        <x:f t="shared" si="5"/>
      </x:c>
      <x:c r="Y108" s="12" t="str">
        <x:f t="shared" si="6"/>
      </x:c>
      <x:c r="Z108" s="9" t="s">
        <x:v>870</x:v>
      </x:c>
      <x:c r="AA108" s="9"/>
      <x:c r="AB108" s="9"/>
      <x:c r="AC108" s="9"/>
      <x:c r="AD108" s="9"/>
      <x:c r="AE108" s="9"/>
      <x:c r="AF108" s="9"/>
      <x:c r="AG108" s="9"/>
      <x:c r="AH108" s="9"/>
      <x:c r="AI108" s="9"/>
      <x:c r="AJ108" s="9"/>
      <x:c r="AK108" s="9"/>
      <x:c r="AL108" s="12" t="str">
        <x:f t="shared" si="7"/>
      </x:c>
      <x:c r="AM108" s="11" t="str">
        <x:f t="shared" si="8"/>
      </x:c>
      <x:c r="AN108" s="11" t="str">
        <x:f t="shared" si="9"/>
      </x:c>
      <x:c r="AO108" s="9"/>
      <x:c r="AP108" s="9"/>
      <x:c r="AQ108" s="27" t="s">
        <x:v>371</x:v>
      </x:c>
    </x:row>
    <x:row r="109" ht="118.05000305175781" customHeight="1">
      <x:c r="A109" s="6" t="s">
        <x:v>987</x:v>
      </x:c>
      <x:c r="B109" s="6" t="s">
        <x:v>368</x:v>
      </x:c>
      <x:c r="C109" s="6" t="s">
        <x:v>43</x:v>
      </x:c>
      <x:c r="D109" s="6" t="s">
        <x:v>369</x:v>
      </x:c>
      <x:c r="E109" s="6" t="s">
        <x:v>214</x:v>
      </x:c>
      <x:c r="F109" s="6" t="s">
        <x:v>370</x:v>
      </x:c>
      <x:c r="G109" s="6" t="s">
        <x:v>696</x:v>
      </x:c>
      <x:c r="H109" s="6" t="s">
        <x:v>698</x:v>
      </x:c>
      <x:c r="I109" s="6" t="s">
        <x:v>932</x:v>
      </x:c>
      <x:c r="J109" s="6" t="s">
        <x:v>933</x:v>
      </x:c>
      <x:c r="K109" s="6" t="s">
        <x:v>373</x:v>
      </x:c>
      <x:c r="L109" s="6" t="s">
        <x:v>356</x:v>
      </x:c>
      <x:c r="M109" s="6" t="s">
        <x:v>374</x:v>
      </x:c>
      <x:c r="N109" s="6" t="s">
        <x:v>375</x:v>
      </x:c>
      <x:c r="O109" s="6" t="s">
        <x:v>376</x:v>
      </x:c>
      <x:c r="P109" s="9"/>
      <x:c r="Q109" s="9"/>
      <x:c r="R109" s="9"/>
      <x:c r="S109" s="9"/>
      <x:c r="T109" s="9"/>
      <x:c r="U109" s="9"/>
      <x:c r="V109" s="9"/>
      <x:c r="W109" s="9"/>
      <x:c r="X109" s="12" t="str">
        <x:f t="shared" si="5"/>
      </x:c>
      <x:c r="Y109" s="12" t="str">
        <x:f t="shared" si="6"/>
      </x:c>
      <x:c r="Z109" s="9" t="s">
        <x:v>870</x:v>
      </x:c>
      <x:c r="AA109" s="9"/>
      <x:c r="AB109" s="9"/>
      <x:c r="AC109" s="9"/>
      <x:c r="AD109" s="9"/>
      <x:c r="AE109" s="9"/>
      <x:c r="AF109" s="9"/>
      <x:c r="AG109" s="9"/>
      <x:c r="AH109" s="9"/>
      <x:c r="AI109" s="9"/>
      <x:c r="AJ109" s="9"/>
      <x:c r="AK109" s="9"/>
      <x:c r="AL109" s="12" t="str">
        <x:f t="shared" si="7"/>
      </x:c>
      <x:c r="AM109" s="11" t="str">
        <x:f t="shared" si="8"/>
      </x:c>
      <x:c r="AN109" s="11" t="str">
        <x:f t="shared" si="9"/>
      </x:c>
      <x:c r="AO109" s="9"/>
      <x:c r="AP109" s="9"/>
      <x:c r="AQ109" s="27" t="s">
        <x:v>371</x:v>
      </x:c>
    </x:row>
    <x:row r="110" ht="118.05000305175781" customHeight="1">
      <x:c r="A110" s="6" t="s">
        <x:v>988</x:v>
      </x:c>
      <x:c r="B110" s="6" t="s">
        <x:v>368</x:v>
      </x:c>
      <x:c r="C110" s="6" t="s">
        <x:v>43</x:v>
      </x:c>
      <x:c r="D110" s="6" t="s">
        <x:v>369</x:v>
      </x:c>
      <x:c r="E110" s="6" t="s">
        <x:v>214</x:v>
      </x:c>
      <x:c r="F110" s="6" t="s">
        <x:v>370</x:v>
      </x:c>
      <x:c r="G110" s="6" t="s">
        <x:v>707</x:v>
      </x:c>
      <x:c r="H110" s="6" t="s">
        <x:v>709</x:v>
      </x:c>
      <x:c r="I110" s="6" t="s">
        <x:v>910</x:v>
      </x:c>
      <x:c r="J110" s="6" t="s">
        <x:v>911</x:v>
      </x:c>
      <x:c r="K110" s="6" t="s">
        <x:v>373</x:v>
      </x:c>
      <x:c r="L110" s="6" t="s">
        <x:v>356</x:v>
      </x:c>
      <x:c r="M110" s="6" t="s">
        <x:v>374</x:v>
      </x:c>
      <x:c r="N110" s="6" t="s">
        <x:v>375</x:v>
      </x:c>
      <x:c r="O110" s="6" t="s">
        <x:v>376</x:v>
      </x:c>
      <x:c r="P110" s="9"/>
      <x:c r="Q110" s="9"/>
      <x:c r="R110" s="9"/>
      <x:c r="S110" s="9"/>
      <x:c r="T110" s="9"/>
      <x:c r="U110" s="9"/>
      <x:c r="V110" s="9"/>
      <x:c r="W110" s="9"/>
      <x:c r="X110" s="12" t="str">
        <x:f t="shared" si="5"/>
      </x:c>
      <x:c r="Y110" s="12" t="str">
        <x:f t="shared" si="6"/>
      </x:c>
      <x:c r="Z110" s="9" t="s">
        <x:v>870</x:v>
      </x:c>
      <x:c r="AA110" s="9"/>
      <x:c r="AB110" s="9"/>
      <x:c r="AC110" s="9"/>
      <x:c r="AD110" s="9"/>
      <x:c r="AE110" s="9"/>
      <x:c r="AF110" s="9"/>
      <x:c r="AG110" s="9"/>
      <x:c r="AH110" s="9"/>
      <x:c r="AI110" s="9"/>
      <x:c r="AJ110" s="9"/>
      <x:c r="AK110" s="9"/>
      <x:c r="AL110" s="12" t="str">
        <x:f t="shared" si="7"/>
      </x:c>
      <x:c r="AM110" s="11" t="str">
        <x:f t="shared" si="8"/>
      </x:c>
      <x:c r="AN110" s="11" t="str">
        <x:f t="shared" si="9"/>
      </x:c>
      <x:c r="AO110" s="9"/>
      <x:c r="AP110" s="9"/>
      <x:c r="AQ110" s="27" t="s">
        <x:v>371</x:v>
      </x:c>
    </x:row>
    <x:row r="111" ht="118.05000305175781" customHeight="1">
      <x:c r="A111" s="6" t="s">
        <x:v>989</x:v>
      </x:c>
      <x:c r="B111" s="6" t="s">
        <x:v>368</x:v>
      </x:c>
      <x:c r="C111" s="6" t="s">
        <x:v>43</x:v>
      </x:c>
      <x:c r="D111" s="6" t="s">
        <x:v>369</x:v>
      </x:c>
      <x:c r="E111" s="6" t="s">
        <x:v>214</x:v>
      </x:c>
      <x:c r="F111" s="6" t="s">
        <x:v>370</x:v>
      </x:c>
      <x:c r="G111" s="6" t="s">
        <x:v>707</x:v>
      </x:c>
      <x:c r="H111" s="6" t="s">
        <x:v>709</x:v>
      </x:c>
      <x:c r="I111" s="6" t="s">
        <x:v>932</x:v>
      </x:c>
      <x:c r="J111" s="6" t="s">
        <x:v>933</x:v>
      </x:c>
      <x:c r="K111" s="6" t="s">
        <x:v>373</x:v>
      </x:c>
      <x:c r="L111" s="6" t="s">
        <x:v>356</x:v>
      </x:c>
      <x:c r="M111" s="6" t="s">
        <x:v>374</x:v>
      </x:c>
      <x:c r="N111" s="6" t="s">
        <x:v>375</x:v>
      </x:c>
      <x:c r="O111" s="6" t="s">
        <x:v>376</x:v>
      </x:c>
      <x:c r="P111" s="9"/>
      <x:c r="Q111" s="9"/>
      <x:c r="R111" s="9"/>
      <x:c r="S111" s="9"/>
      <x:c r="T111" s="9"/>
      <x:c r="U111" s="9"/>
      <x:c r="V111" s="9"/>
      <x:c r="W111" s="9"/>
      <x:c r="X111" s="12" t="str">
        <x:f t="shared" si="5"/>
      </x:c>
      <x:c r="Y111" s="12" t="str">
        <x:f t="shared" si="6"/>
      </x:c>
      <x:c r="Z111" s="9" t="s">
        <x:v>870</x:v>
      </x:c>
      <x:c r="AA111" s="9"/>
      <x:c r="AB111" s="9"/>
      <x:c r="AC111" s="9"/>
      <x:c r="AD111" s="9"/>
      <x:c r="AE111" s="9"/>
      <x:c r="AF111" s="9"/>
      <x:c r="AG111" s="9"/>
      <x:c r="AH111" s="9"/>
      <x:c r="AI111" s="9"/>
      <x:c r="AJ111" s="9"/>
      <x:c r="AK111" s="9"/>
      <x:c r="AL111" s="12" t="str">
        <x:f t="shared" si="7"/>
      </x:c>
      <x:c r="AM111" s="11" t="str">
        <x:f t="shared" si="8"/>
      </x:c>
      <x:c r="AN111" s="11" t="str">
        <x:f t="shared" si="9"/>
      </x:c>
      <x:c r="AO111" s="9"/>
      <x:c r="AP111" s="9"/>
      <x:c r="AQ111" s="27" t="s">
        <x:v>371</x:v>
      </x:c>
    </x:row>
    <x:row r="112" ht="118.05000305175781" customHeight="1">
      <x:c r="A112" s="6" t="s">
        <x:v>990</x:v>
      </x:c>
      <x:c r="B112" s="6" t="s">
        <x:v>368</x:v>
      </x:c>
      <x:c r="C112" s="6" t="s">
        <x:v>43</x:v>
      </x:c>
      <x:c r="D112" s="6" t="s">
        <x:v>369</x:v>
      </x:c>
      <x:c r="E112" s="6" t="s">
        <x:v>214</x:v>
      </x:c>
      <x:c r="F112" s="6" t="s">
        <x:v>370</x:v>
      </x:c>
      <x:c r="G112" s="6" t="s">
        <x:v>724</x:v>
      </x:c>
      <x:c r="H112" s="6" t="s">
        <x:v>726</x:v>
      </x:c>
      <x:c r="I112" s="6" t="s">
        <x:v>910</x:v>
      </x:c>
      <x:c r="J112" s="6" t="s">
        <x:v>911</x:v>
      </x:c>
      <x:c r="K112" s="6" t="s">
        <x:v>373</x:v>
      </x:c>
      <x:c r="L112" s="6" t="s">
        <x:v>356</x:v>
      </x:c>
      <x:c r="M112" s="6" t="s">
        <x:v>374</x:v>
      </x:c>
      <x:c r="N112" s="6" t="s">
        <x:v>375</x:v>
      </x:c>
      <x:c r="O112" s="6" t="s">
        <x:v>376</x:v>
      </x:c>
      <x:c r="P112" s="9"/>
      <x:c r="Q112" s="9"/>
      <x:c r="R112" s="9"/>
      <x:c r="S112" s="9"/>
      <x:c r="T112" s="9"/>
      <x:c r="U112" s="9"/>
      <x:c r="V112" s="9"/>
      <x:c r="W112" s="9"/>
      <x:c r="X112" s="12" t="str">
        <x:f t="shared" si="5"/>
      </x:c>
      <x:c r="Y112" s="12" t="str">
        <x:f t="shared" si="6"/>
      </x:c>
      <x:c r="Z112" s="9" t="s">
        <x:v>870</x:v>
      </x:c>
      <x:c r="AA112" s="9"/>
      <x:c r="AB112" s="9"/>
      <x:c r="AC112" s="9"/>
      <x:c r="AD112" s="9"/>
      <x:c r="AE112" s="9"/>
      <x:c r="AF112" s="9"/>
      <x:c r="AG112" s="9"/>
      <x:c r="AH112" s="9"/>
      <x:c r="AI112" s="9"/>
      <x:c r="AJ112" s="9"/>
      <x:c r="AK112" s="9"/>
      <x:c r="AL112" s="12" t="str">
        <x:f t="shared" si="7"/>
      </x:c>
      <x:c r="AM112" s="11" t="str">
        <x:f t="shared" si="8"/>
      </x:c>
      <x:c r="AN112" s="11" t="str">
        <x:f t="shared" si="9"/>
      </x:c>
      <x:c r="AO112" s="9"/>
      <x:c r="AP112" s="9"/>
      <x:c r="AQ112" s="27" t="s">
        <x:v>371</x:v>
      </x:c>
    </x:row>
    <x:row r="113" ht="118.05000305175781" customHeight="1">
      <x:c r="A113" s="6" t="s">
        <x:v>991</x:v>
      </x:c>
      <x:c r="B113" s="6" t="s">
        <x:v>368</x:v>
      </x:c>
      <x:c r="C113" s="6" t="s">
        <x:v>43</x:v>
      </x:c>
      <x:c r="D113" s="6" t="s">
        <x:v>369</x:v>
      </x:c>
      <x:c r="E113" s="6" t="s">
        <x:v>214</x:v>
      </x:c>
      <x:c r="F113" s="6" t="s">
        <x:v>370</x:v>
      </x:c>
      <x:c r="G113" s="6" t="s">
        <x:v>724</x:v>
      </x:c>
      <x:c r="H113" s="6" t="s">
        <x:v>726</x:v>
      </x:c>
      <x:c r="I113" s="6" t="s">
        <x:v>932</x:v>
      </x:c>
      <x:c r="J113" s="6" t="s">
        <x:v>933</x:v>
      </x:c>
      <x:c r="K113" s="6" t="s">
        <x:v>373</x:v>
      </x:c>
      <x:c r="L113" s="6" t="s">
        <x:v>356</x:v>
      </x:c>
      <x:c r="M113" s="6" t="s">
        <x:v>374</x:v>
      </x:c>
      <x:c r="N113" s="6" t="s">
        <x:v>375</x:v>
      </x:c>
      <x:c r="O113" s="6" t="s">
        <x:v>376</x:v>
      </x:c>
      <x:c r="P113" s="9"/>
      <x:c r="Q113" s="9"/>
      <x:c r="R113" s="9"/>
      <x:c r="S113" s="9"/>
      <x:c r="T113" s="9"/>
      <x:c r="U113" s="9"/>
      <x:c r="V113" s="9"/>
      <x:c r="W113" s="9"/>
      <x:c r="X113" s="12" t="str">
        <x:f t="shared" si="5"/>
      </x:c>
      <x:c r="Y113" s="12" t="str">
        <x:f t="shared" si="6"/>
      </x:c>
      <x:c r="Z113" s="9" t="s">
        <x:v>870</x:v>
      </x:c>
      <x:c r="AA113" s="9"/>
      <x:c r="AB113" s="9"/>
      <x:c r="AC113" s="9"/>
      <x:c r="AD113" s="9"/>
      <x:c r="AE113" s="9"/>
      <x:c r="AF113" s="9"/>
      <x:c r="AG113" s="9"/>
      <x:c r="AH113" s="9"/>
      <x:c r="AI113" s="9"/>
      <x:c r="AJ113" s="9"/>
      <x:c r="AK113" s="9"/>
      <x:c r="AL113" s="12" t="str">
        <x:f t="shared" si="7"/>
      </x:c>
      <x:c r="AM113" s="11" t="str">
        <x:f t="shared" si="8"/>
      </x:c>
      <x:c r="AN113" s="11" t="str">
        <x:f t="shared" si="9"/>
      </x:c>
      <x:c r="AO113" s="9"/>
      <x:c r="AP113" s="9"/>
      <x:c r="AQ113" s="27" t="s">
        <x:v>371</x:v>
      </x:c>
    </x:row>
    <x:row r="114" ht="118.05000305175781" customHeight="1">
      <x:c r="A114" s="6" t="s">
        <x:v>992</x:v>
      </x:c>
      <x:c r="B114" s="6" t="s">
        <x:v>377</x:v>
      </x:c>
      <x:c r="C114" s="6" t="s">
        <x:v>43</x:v>
      </x:c>
      <x:c r="D114" s="6" t="s">
        <x:v>378</x:v>
      </x:c>
      <x:c r="E114" s="6" t="s">
        <x:v>241</x:v>
      </x:c>
      <x:c r="F114" s="6" t="s">
        <x:v>379</x:v>
      </x:c>
      <x:c r="G114" s="6" t="s">
        <x:v>696</x:v>
      </x:c>
      <x:c r="H114" s="6" t="s">
        <x:v>698</x:v>
      </x:c>
      <x:c r="I114" s="6" t="s">
        <x:v>910</x:v>
      </x:c>
      <x:c r="J114" s="6" t="s">
        <x:v>911</x:v>
      </x:c>
      <x:c r="K114" s="6" t="s">
        <x:v>381</x:v>
      </x:c>
      <x:c r="L114" s="6" t="s">
        <x:v>356</x:v>
      </x:c>
      <x:c r="M114" s="6" t="s">
        <x:v>382</x:v>
      </x:c>
      <x:c r="N114" s="6" t="s">
        <x:v>383</x:v>
      </x:c>
      <x:c r="O114" s="6" t="s">
        <x:v>230</x:v>
      </x:c>
      <x:c r="P114" s="9"/>
      <x:c r="Q114" s="9"/>
      <x:c r="R114" s="9"/>
      <x:c r="S114" s="9"/>
      <x:c r="T114" s="9"/>
      <x:c r="U114" s="9"/>
      <x:c r="V114" s="9"/>
      <x:c r="W114" s="9"/>
      <x:c r="X114" s="12" t="str">
        <x:f t="shared" si="5"/>
      </x:c>
      <x:c r="Y114" s="12" t="str">
        <x:f t="shared" si="6"/>
      </x:c>
      <x:c r="Z114" s="9" t="s">
        <x:v>870</x:v>
      </x:c>
      <x:c r="AA114" s="9"/>
      <x:c r="AB114" s="9"/>
      <x:c r="AC114" s="9"/>
      <x:c r="AD114" s="9"/>
      <x:c r="AE114" s="9"/>
      <x:c r="AF114" s="9"/>
      <x:c r="AG114" s="9"/>
      <x:c r="AH114" s="9"/>
      <x:c r="AI114" s="9"/>
      <x:c r="AJ114" s="9"/>
      <x:c r="AK114" s="9"/>
      <x:c r="AL114" s="12" t="str">
        <x:f t="shared" si="7"/>
      </x:c>
      <x:c r="AM114" s="11" t="str">
        <x:f t="shared" si="8"/>
      </x:c>
      <x:c r="AN114" s="11" t="str">
        <x:f t="shared" si="9"/>
      </x:c>
      <x:c r="AO114" s="9"/>
      <x:c r="AP114" s="9"/>
      <x:c r="AQ114" s="27" t="s">
        <x:v>380</x:v>
      </x:c>
    </x:row>
    <x:row r="115" ht="118.05000305175781" customHeight="1">
      <x:c r="A115" s="6" t="s">
        <x:v>993</x:v>
      </x:c>
      <x:c r="B115" s="6" t="s">
        <x:v>377</x:v>
      </x:c>
      <x:c r="C115" s="6" t="s">
        <x:v>43</x:v>
      </x:c>
      <x:c r="D115" s="6" t="s">
        <x:v>378</x:v>
      </x:c>
      <x:c r="E115" s="6" t="s">
        <x:v>241</x:v>
      </x:c>
      <x:c r="F115" s="6" t="s">
        <x:v>379</x:v>
      </x:c>
      <x:c r="G115" s="6" t="s">
        <x:v>696</x:v>
      </x:c>
      <x:c r="H115" s="6" t="s">
        <x:v>698</x:v>
      </x:c>
      <x:c r="I115" s="6" t="s">
        <x:v>932</x:v>
      </x:c>
      <x:c r="J115" s="6" t="s">
        <x:v>933</x:v>
      </x:c>
      <x:c r="K115" s="6" t="s">
        <x:v>381</x:v>
      </x:c>
      <x:c r="L115" s="6" t="s">
        <x:v>356</x:v>
      </x:c>
      <x:c r="M115" s="6" t="s">
        <x:v>382</x:v>
      </x:c>
      <x:c r="N115" s="6" t="s">
        <x:v>383</x:v>
      </x:c>
      <x:c r="O115" s="6" t="s">
        <x:v>230</x:v>
      </x:c>
      <x:c r="P115" s="9"/>
      <x:c r="Q115" s="9"/>
      <x:c r="R115" s="9"/>
      <x:c r="S115" s="9"/>
      <x:c r="T115" s="9"/>
      <x:c r="U115" s="9"/>
      <x:c r="V115" s="9"/>
      <x:c r="W115" s="9"/>
      <x:c r="X115" s="12" t="str">
        <x:f t="shared" si="5"/>
      </x:c>
      <x:c r="Y115" s="12" t="str">
        <x:f t="shared" si="6"/>
      </x:c>
      <x:c r="Z115" s="9" t="s">
        <x:v>870</x:v>
      </x:c>
      <x:c r="AA115" s="9"/>
      <x:c r="AB115" s="9"/>
      <x:c r="AC115" s="9"/>
      <x:c r="AD115" s="9"/>
      <x:c r="AE115" s="9"/>
      <x:c r="AF115" s="9"/>
      <x:c r="AG115" s="9"/>
      <x:c r="AH115" s="9"/>
      <x:c r="AI115" s="9"/>
      <x:c r="AJ115" s="9"/>
      <x:c r="AK115" s="9"/>
      <x:c r="AL115" s="12" t="str">
        <x:f t="shared" si="7"/>
      </x:c>
      <x:c r="AM115" s="11" t="str">
        <x:f t="shared" si="8"/>
      </x:c>
      <x:c r="AN115" s="11" t="str">
        <x:f t="shared" si="9"/>
      </x:c>
      <x:c r="AO115" s="9"/>
      <x:c r="AP115" s="9"/>
      <x:c r="AQ115" s="27" t="s">
        <x:v>380</x:v>
      </x:c>
    </x:row>
    <x:row r="116" ht="118.05000305175781" customHeight="1">
      <x:c r="A116" s="6" t="s">
        <x:v>994</x:v>
      </x:c>
      <x:c r="B116" s="6" t="s">
        <x:v>377</x:v>
      </x:c>
      <x:c r="C116" s="6" t="s">
        <x:v>43</x:v>
      </x:c>
      <x:c r="D116" s="6" t="s">
        <x:v>378</x:v>
      </x:c>
      <x:c r="E116" s="6" t="s">
        <x:v>241</x:v>
      </x:c>
      <x:c r="F116" s="6" t="s">
        <x:v>379</x:v>
      </x:c>
      <x:c r="G116" s="6" t="s">
        <x:v>707</x:v>
      </x:c>
      <x:c r="H116" s="6" t="s">
        <x:v>709</x:v>
      </x:c>
      <x:c r="I116" s="6" t="s">
        <x:v>910</x:v>
      </x:c>
      <x:c r="J116" s="6" t="s">
        <x:v>911</x:v>
      </x:c>
      <x:c r="K116" s="6" t="s">
        <x:v>381</x:v>
      </x:c>
      <x:c r="L116" s="6" t="s">
        <x:v>356</x:v>
      </x:c>
      <x:c r="M116" s="6" t="s">
        <x:v>382</x:v>
      </x:c>
      <x:c r="N116" s="6" t="s">
        <x:v>383</x:v>
      </x:c>
      <x:c r="O116" s="6" t="s">
        <x:v>230</x:v>
      </x:c>
      <x:c r="P116" s="9"/>
      <x:c r="Q116" s="9"/>
      <x:c r="R116" s="9"/>
      <x:c r="S116" s="9"/>
      <x:c r="T116" s="9"/>
      <x:c r="U116" s="9"/>
      <x:c r="V116" s="9"/>
      <x:c r="W116" s="9"/>
      <x:c r="X116" s="12" t="str">
        <x:f t="shared" si="5"/>
      </x:c>
      <x:c r="Y116" s="12" t="str">
        <x:f t="shared" si="6"/>
      </x:c>
      <x:c r="Z116" s="9" t="s">
        <x:v>870</x:v>
      </x:c>
      <x:c r="AA116" s="9"/>
      <x:c r="AB116" s="9"/>
      <x:c r="AC116" s="9"/>
      <x:c r="AD116" s="9"/>
      <x:c r="AE116" s="9"/>
      <x:c r="AF116" s="9"/>
      <x:c r="AG116" s="9"/>
      <x:c r="AH116" s="9"/>
      <x:c r="AI116" s="9"/>
      <x:c r="AJ116" s="9"/>
      <x:c r="AK116" s="9"/>
      <x:c r="AL116" s="12" t="str">
        <x:f t="shared" si="7"/>
      </x:c>
      <x:c r="AM116" s="11" t="str">
        <x:f t="shared" si="8"/>
      </x:c>
      <x:c r="AN116" s="11" t="str">
        <x:f t="shared" si="9"/>
      </x:c>
      <x:c r="AO116" s="9"/>
      <x:c r="AP116" s="9"/>
      <x:c r="AQ116" s="27" t="s">
        <x:v>380</x:v>
      </x:c>
    </x:row>
    <x:row r="117" ht="118.05000305175781" customHeight="1">
      <x:c r="A117" s="6" t="s">
        <x:v>995</x:v>
      </x:c>
      <x:c r="B117" s="6" t="s">
        <x:v>377</x:v>
      </x:c>
      <x:c r="C117" s="6" t="s">
        <x:v>43</x:v>
      </x:c>
      <x:c r="D117" s="6" t="s">
        <x:v>378</x:v>
      </x:c>
      <x:c r="E117" s="6" t="s">
        <x:v>241</x:v>
      </x:c>
      <x:c r="F117" s="6" t="s">
        <x:v>379</x:v>
      </x:c>
      <x:c r="G117" s="6" t="s">
        <x:v>707</x:v>
      </x:c>
      <x:c r="H117" s="6" t="s">
        <x:v>709</x:v>
      </x:c>
      <x:c r="I117" s="6" t="s">
        <x:v>932</x:v>
      </x:c>
      <x:c r="J117" s="6" t="s">
        <x:v>933</x:v>
      </x:c>
      <x:c r="K117" s="6" t="s">
        <x:v>381</x:v>
      </x:c>
      <x:c r="L117" s="6" t="s">
        <x:v>356</x:v>
      </x:c>
      <x:c r="M117" s="6" t="s">
        <x:v>382</x:v>
      </x:c>
      <x:c r="N117" s="6" t="s">
        <x:v>383</x:v>
      </x:c>
      <x:c r="O117" s="6" t="s">
        <x:v>230</x:v>
      </x:c>
      <x:c r="P117" s="9"/>
      <x:c r="Q117" s="9"/>
      <x:c r="R117" s="9"/>
      <x:c r="S117" s="9"/>
      <x:c r="T117" s="9"/>
      <x:c r="U117" s="9"/>
      <x:c r="V117" s="9"/>
      <x:c r="W117" s="9"/>
      <x:c r="X117" s="12" t="str">
        <x:f t="shared" si="5"/>
      </x:c>
      <x:c r="Y117" s="12" t="str">
        <x:f t="shared" si="6"/>
      </x:c>
      <x:c r="Z117" s="9" t="s">
        <x:v>870</x:v>
      </x:c>
      <x:c r="AA117" s="9"/>
      <x:c r="AB117" s="9"/>
      <x:c r="AC117" s="9"/>
      <x:c r="AD117" s="9"/>
      <x:c r="AE117" s="9"/>
      <x:c r="AF117" s="9"/>
      <x:c r="AG117" s="9"/>
      <x:c r="AH117" s="9"/>
      <x:c r="AI117" s="9"/>
      <x:c r="AJ117" s="9"/>
      <x:c r="AK117" s="9"/>
      <x:c r="AL117" s="12" t="str">
        <x:f t="shared" si="7"/>
      </x:c>
      <x:c r="AM117" s="11" t="str">
        <x:f t="shared" si="8"/>
      </x:c>
      <x:c r="AN117" s="11" t="str">
        <x:f t="shared" si="9"/>
      </x:c>
      <x:c r="AO117" s="9"/>
      <x:c r="AP117" s="9"/>
      <x:c r="AQ117" s="27" t="s">
        <x:v>380</x:v>
      </x:c>
    </x:row>
    <x:row r="118" ht="118.05000305175781" customHeight="1">
      <x:c r="A118" s="6" t="s">
        <x:v>996</x:v>
      </x:c>
      <x:c r="B118" s="6" t="s">
        <x:v>377</x:v>
      </x:c>
      <x:c r="C118" s="6" t="s">
        <x:v>43</x:v>
      </x:c>
      <x:c r="D118" s="6" t="s">
        <x:v>378</x:v>
      </x:c>
      <x:c r="E118" s="6" t="s">
        <x:v>241</x:v>
      </x:c>
      <x:c r="F118" s="6" t="s">
        <x:v>379</x:v>
      </x:c>
      <x:c r="G118" s="6" t="s">
        <x:v>724</x:v>
      </x:c>
      <x:c r="H118" s="6" t="s">
        <x:v>726</x:v>
      </x:c>
      <x:c r="I118" s="6" t="s">
        <x:v>910</x:v>
      </x:c>
      <x:c r="J118" s="6" t="s">
        <x:v>911</x:v>
      </x:c>
      <x:c r="K118" s="6" t="s">
        <x:v>381</x:v>
      </x:c>
      <x:c r="L118" s="6" t="s">
        <x:v>356</x:v>
      </x:c>
      <x:c r="M118" s="6" t="s">
        <x:v>382</x:v>
      </x:c>
      <x:c r="N118" s="6" t="s">
        <x:v>383</x:v>
      </x:c>
      <x:c r="O118" s="6" t="s">
        <x:v>230</x:v>
      </x:c>
      <x:c r="P118" s="9"/>
      <x:c r="Q118" s="9"/>
      <x:c r="R118" s="9"/>
      <x:c r="S118" s="9"/>
      <x:c r="T118" s="9"/>
      <x:c r="U118" s="9"/>
      <x:c r="V118" s="9"/>
      <x:c r="W118" s="9"/>
      <x:c r="X118" s="12" t="str">
        <x:f t="shared" si="5"/>
      </x:c>
      <x:c r="Y118" s="12" t="str">
        <x:f t="shared" si="6"/>
      </x:c>
      <x:c r="Z118" s="9" t="s">
        <x:v>870</x:v>
      </x:c>
      <x:c r="AA118" s="9"/>
      <x:c r="AB118" s="9"/>
      <x:c r="AC118" s="9"/>
      <x:c r="AD118" s="9"/>
      <x:c r="AE118" s="9"/>
      <x:c r="AF118" s="9"/>
      <x:c r="AG118" s="9"/>
      <x:c r="AH118" s="9"/>
      <x:c r="AI118" s="9"/>
      <x:c r="AJ118" s="9"/>
      <x:c r="AK118" s="9"/>
      <x:c r="AL118" s="12" t="str">
        <x:f t="shared" si="7"/>
      </x:c>
      <x:c r="AM118" s="11" t="str">
        <x:f t="shared" si="8"/>
      </x:c>
      <x:c r="AN118" s="11" t="str">
        <x:f t="shared" si="9"/>
      </x:c>
      <x:c r="AO118" s="9"/>
      <x:c r="AP118" s="9"/>
      <x:c r="AQ118" s="27" t="s">
        <x:v>380</x:v>
      </x:c>
    </x:row>
    <x:row r="119" ht="118.05000305175781" customHeight="1">
      <x:c r="A119" s="6" t="s">
        <x:v>997</x:v>
      </x:c>
      <x:c r="B119" s="6" t="s">
        <x:v>377</x:v>
      </x:c>
      <x:c r="C119" s="6" t="s">
        <x:v>43</x:v>
      </x:c>
      <x:c r="D119" s="6" t="s">
        <x:v>378</x:v>
      </x:c>
      <x:c r="E119" s="6" t="s">
        <x:v>241</x:v>
      </x:c>
      <x:c r="F119" s="6" t="s">
        <x:v>379</x:v>
      </x:c>
      <x:c r="G119" s="6" t="s">
        <x:v>724</x:v>
      </x:c>
      <x:c r="H119" s="6" t="s">
        <x:v>726</x:v>
      </x:c>
      <x:c r="I119" s="6" t="s">
        <x:v>932</x:v>
      </x:c>
      <x:c r="J119" s="6" t="s">
        <x:v>933</x:v>
      </x:c>
      <x:c r="K119" s="6" t="s">
        <x:v>381</x:v>
      </x:c>
      <x:c r="L119" s="6" t="s">
        <x:v>356</x:v>
      </x:c>
      <x:c r="M119" s="6" t="s">
        <x:v>382</x:v>
      </x:c>
      <x:c r="N119" s="6" t="s">
        <x:v>383</x:v>
      </x:c>
      <x:c r="O119" s="6" t="s">
        <x:v>230</x:v>
      </x:c>
      <x:c r="P119" s="9"/>
      <x:c r="Q119" s="9"/>
      <x:c r="R119" s="9"/>
      <x:c r="S119" s="9"/>
      <x:c r="T119" s="9"/>
      <x:c r="U119" s="9"/>
      <x:c r="V119" s="9"/>
      <x:c r="W119" s="9"/>
      <x:c r="X119" s="12" t="str">
        <x:f t="shared" si="5"/>
      </x:c>
      <x:c r="Y119" s="12" t="str">
        <x:f t="shared" si="6"/>
      </x:c>
      <x:c r="Z119" s="9" t="s">
        <x:v>870</x:v>
      </x:c>
      <x:c r="AA119" s="9"/>
      <x:c r="AB119" s="9"/>
      <x:c r="AC119" s="9"/>
      <x:c r="AD119" s="9"/>
      <x:c r="AE119" s="9"/>
      <x:c r="AF119" s="9"/>
      <x:c r="AG119" s="9"/>
      <x:c r="AH119" s="9"/>
      <x:c r="AI119" s="9"/>
      <x:c r="AJ119" s="9"/>
      <x:c r="AK119" s="9"/>
      <x:c r="AL119" s="12" t="str">
        <x:f t="shared" si="7"/>
      </x:c>
      <x:c r="AM119" s="11" t="str">
        <x:f t="shared" si="8"/>
      </x:c>
      <x:c r="AN119" s="11" t="str">
        <x:f t="shared" si="9"/>
      </x:c>
      <x:c r="AO119" s="9"/>
      <x:c r="AP119" s="9"/>
      <x:c r="AQ119" s="27" t="s">
        <x:v>380</x:v>
      </x:c>
    </x:row>
    <x:row r="120" ht="118.05000305175781" customHeight="1">
      <x:c r="A120" s="6" t="s">
        <x:v>998</x:v>
      </x:c>
      <x:c r="B120" s="6" t="s">
        <x:v>384</x:v>
      </x:c>
      <x:c r="C120" s="6" t="s">
        <x:v>43</x:v>
      </x:c>
      <x:c r="D120" s="6" t="s">
        <x:v>385</x:v>
      </x:c>
      <x:c r="E120" s="6" t="s">
        <x:v>241</x:v>
      </x:c>
      <x:c r="F120" s="6" t="s">
        <x:v>386</x:v>
      </x:c>
      <x:c r="G120" s="6" t="s">
        <x:v>696</x:v>
      </x:c>
      <x:c r="H120" s="6" t="s">
        <x:v>698</x:v>
      </x:c>
      <x:c r="I120" s="6" t="s">
        <x:v>910</x:v>
      </x:c>
      <x:c r="J120" s="6" t="s">
        <x:v>911</x:v>
      </x:c>
      <x:c r="K120" s="6" t="s">
        <x:v>389</x:v>
      </x:c>
      <x:c r="L120" s="6" t="s">
        <x:v>356</x:v>
      </x:c>
      <x:c r="M120" s="6" t="s">
        <x:v>390</x:v>
      </x:c>
      <x:c r="N120" s="6" t="s">
        <x:v>391</x:v>
      </x:c>
      <x:c r="O120" s="6" t="s">
        <x:v>230</x:v>
      </x:c>
      <x:c r="P120" s="9"/>
      <x:c r="Q120" s="9"/>
      <x:c r="R120" s="9"/>
      <x:c r="S120" s="9"/>
      <x:c r="T120" s="9"/>
      <x:c r="U120" s="9"/>
      <x:c r="V120" s="9"/>
      <x:c r="W120" s="9"/>
      <x:c r="X120" s="12" t="str">
        <x:f t="shared" si="5"/>
      </x:c>
      <x:c r="Y120" s="12" t="str">
        <x:f t="shared" si="6"/>
      </x:c>
      <x:c r="Z120" s="9" t="s">
        <x:v>870</x:v>
      </x:c>
      <x:c r="AA120" s="9"/>
      <x:c r="AB120" s="9"/>
      <x:c r="AC120" s="9"/>
      <x:c r="AD120" s="9"/>
      <x:c r="AE120" s="9"/>
      <x:c r="AF120" s="9"/>
      <x:c r="AG120" s="9"/>
      <x:c r="AH120" s="9"/>
      <x:c r="AI120" s="9"/>
      <x:c r="AJ120" s="9"/>
      <x:c r="AK120" s="9"/>
      <x:c r="AL120" s="12" t="str">
        <x:f t="shared" si="7"/>
      </x:c>
      <x:c r="AM120" s="11" t="str">
        <x:f t="shared" si="8"/>
      </x:c>
      <x:c r="AN120" s="11" t="str">
        <x:f t="shared" si="9"/>
      </x:c>
      <x:c r="AO120" s="9"/>
      <x:c r="AP120" s="9"/>
      <x:c r="AQ120" s="27" t="s">
        <x:v>387</x:v>
      </x:c>
    </x:row>
    <x:row r="121" ht="118.05000305175781" customHeight="1">
      <x:c r="A121" s="6" t="s">
        <x:v>999</x:v>
      </x:c>
      <x:c r="B121" s="6" t="s">
        <x:v>384</x:v>
      </x:c>
      <x:c r="C121" s="6" t="s">
        <x:v>43</x:v>
      </x:c>
      <x:c r="D121" s="6" t="s">
        <x:v>385</x:v>
      </x:c>
      <x:c r="E121" s="6" t="s">
        <x:v>241</x:v>
      </x:c>
      <x:c r="F121" s="6" t="s">
        <x:v>386</x:v>
      </x:c>
      <x:c r="G121" s="6" t="s">
        <x:v>696</x:v>
      </x:c>
      <x:c r="H121" s="6" t="s">
        <x:v>698</x:v>
      </x:c>
      <x:c r="I121" s="6" t="s">
        <x:v>975</x:v>
      </x:c>
      <x:c r="J121" s="6" t="s">
        <x:v>976</x:v>
      </x:c>
      <x:c r="K121" s="6" t="s">
        <x:v>389</x:v>
      </x:c>
      <x:c r="L121" s="6" t="s">
        <x:v>356</x:v>
      </x:c>
      <x:c r="M121" s="6" t="s">
        <x:v>390</x:v>
      </x:c>
      <x:c r="N121" s="6" t="s">
        <x:v>391</x:v>
      </x:c>
      <x:c r="O121" s="6" t="s">
        <x:v>230</x:v>
      </x:c>
      <x:c r="P121" s="9"/>
      <x:c r="Q121" s="9"/>
      <x:c r="R121" s="9"/>
      <x:c r="S121" s="9"/>
      <x:c r="T121" s="9"/>
      <x:c r="U121" s="9"/>
      <x:c r="V121" s="9"/>
      <x:c r="W121" s="9"/>
      <x:c r="X121" s="12" t="str">
        <x:f t="shared" si="5"/>
      </x:c>
      <x:c r="Y121" s="12" t="str">
        <x:f t="shared" si="6"/>
      </x:c>
      <x:c r="Z121" s="9" t="s">
        <x:v>870</x:v>
      </x:c>
      <x:c r="AA121" s="9"/>
      <x:c r="AB121" s="9"/>
      <x:c r="AC121" s="9"/>
      <x:c r="AD121" s="9"/>
      <x:c r="AE121" s="9"/>
      <x:c r="AF121" s="9"/>
      <x:c r="AG121" s="9"/>
      <x:c r="AH121" s="9"/>
      <x:c r="AI121" s="9"/>
      <x:c r="AJ121" s="9"/>
      <x:c r="AK121" s="9"/>
      <x:c r="AL121" s="12" t="str">
        <x:f t="shared" si="7"/>
      </x:c>
      <x:c r="AM121" s="11" t="str">
        <x:f t="shared" si="8"/>
      </x:c>
      <x:c r="AN121" s="11" t="str">
        <x:f t="shared" si="9"/>
      </x:c>
      <x:c r="AO121" s="9"/>
      <x:c r="AP121" s="9"/>
      <x:c r="AQ121" s="27" t="s">
        <x:v>387</x:v>
      </x:c>
    </x:row>
    <x:row r="122" ht="118.05000305175781" customHeight="1">
      <x:c r="A122" s="6" t="s">
        <x:v>1000</x:v>
      </x:c>
      <x:c r="B122" s="6" t="s">
        <x:v>384</x:v>
      </x:c>
      <x:c r="C122" s="6" t="s">
        <x:v>43</x:v>
      </x:c>
      <x:c r="D122" s="6" t="s">
        <x:v>385</x:v>
      </x:c>
      <x:c r="E122" s="6" t="s">
        <x:v>241</x:v>
      </x:c>
      <x:c r="F122" s="6" t="s">
        <x:v>386</x:v>
      </x:c>
      <x:c r="G122" s="6" t="s">
        <x:v>715</x:v>
      </x:c>
      <x:c r="H122" s="6" t="s">
        <x:v>717</x:v>
      </x:c>
      <x:c r="I122" s="6" t="s">
        <x:v>910</x:v>
      </x:c>
      <x:c r="J122" s="6" t="s">
        <x:v>911</x:v>
      </x:c>
      <x:c r="K122" s="6" t="s">
        <x:v>389</x:v>
      </x:c>
      <x:c r="L122" s="6" t="s">
        <x:v>356</x:v>
      </x:c>
      <x:c r="M122" s="6" t="s">
        <x:v>390</x:v>
      </x:c>
      <x:c r="N122" s="6" t="s">
        <x:v>391</x:v>
      </x:c>
      <x:c r="O122" s="6" t="s">
        <x:v>230</x:v>
      </x:c>
      <x:c r="P122" s="9"/>
      <x:c r="Q122" s="9"/>
      <x:c r="R122" s="9"/>
      <x:c r="S122" s="9"/>
      <x:c r="T122" s="9"/>
      <x:c r="U122" s="9"/>
      <x:c r="V122" s="9"/>
      <x:c r="W122" s="9"/>
      <x:c r="X122" s="12" t="str">
        <x:f t="shared" si="5"/>
      </x:c>
      <x:c r="Y122" s="12" t="str">
        <x:f t="shared" si="6"/>
      </x:c>
      <x:c r="Z122" s="9" t="s">
        <x:v>870</x:v>
      </x:c>
      <x:c r="AA122" s="9"/>
      <x:c r="AB122" s="9"/>
      <x:c r="AC122" s="9"/>
      <x:c r="AD122" s="9"/>
      <x:c r="AE122" s="9"/>
      <x:c r="AF122" s="9"/>
      <x:c r="AG122" s="9"/>
      <x:c r="AH122" s="9"/>
      <x:c r="AI122" s="9"/>
      <x:c r="AJ122" s="9"/>
      <x:c r="AK122" s="9"/>
      <x:c r="AL122" s="12" t="str">
        <x:f t="shared" si="7"/>
      </x:c>
      <x:c r="AM122" s="11" t="str">
        <x:f t="shared" si="8"/>
      </x:c>
      <x:c r="AN122" s="11" t="str">
        <x:f t="shared" si="9"/>
      </x:c>
      <x:c r="AO122" s="9"/>
      <x:c r="AP122" s="9"/>
      <x:c r="AQ122" s="27" t="s">
        <x:v>387</x:v>
      </x:c>
    </x:row>
    <x:row r="123" ht="118.05000305175781" customHeight="1">
      <x:c r="A123" s="6" t="s">
        <x:v>1001</x:v>
      </x:c>
      <x:c r="B123" s="6" t="s">
        <x:v>384</x:v>
      </x:c>
      <x:c r="C123" s="6" t="s">
        <x:v>43</x:v>
      </x:c>
      <x:c r="D123" s="6" t="s">
        <x:v>385</x:v>
      </x:c>
      <x:c r="E123" s="6" t="s">
        <x:v>241</x:v>
      </x:c>
      <x:c r="F123" s="6" t="s">
        <x:v>386</x:v>
      </x:c>
      <x:c r="G123" s="6" t="s">
        <x:v>715</x:v>
      </x:c>
      <x:c r="H123" s="6" t="s">
        <x:v>717</x:v>
      </x:c>
      <x:c r="I123" s="6" t="s">
        <x:v>975</x:v>
      </x:c>
      <x:c r="J123" s="6" t="s">
        <x:v>976</x:v>
      </x:c>
      <x:c r="K123" s="6" t="s">
        <x:v>389</x:v>
      </x:c>
      <x:c r="L123" s="6" t="s">
        <x:v>356</x:v>
      </x:c>
      <x:c r="M123" s="6" t="s">
        <x:v>390</x:v>
      </x:c>
      <x:c r="N123" s="6" t="s">
        <x:v>391</x:v>
      </x:c>
      <x:c r="O123" s="6" t="s">
        <x:v>230</x:v>
      </x:c>
      <x:c r="P123" s="9"/>
      <x:c r="Q123" s="9"/>
      <x:c r="R123" s="9"/>
      <x:c r="S123" s="9"/>
      <x:c r="T123" s="9"/>
      <x:c r="U123" s="9"/>
      <x:c r="V123" s="9"/>
      <x:c r="W123" s="9"/>
      <x:c r="X123" s="12" t="str">
        <x:f t="shared" si="5"/>
      </x:c>
      <x:c r="Y123" s="12" t="str">
        <x:f t="shared" si="6"/>
      </x:c>
      <x:c r="Z123" s="9" t="s">
        <x:v>870</x:v>
      </x:c>
      <x:c r="AA123" s="9"/>
      <x:c r="AB123" s="9"/>
      <x:c r="AC123" s="9"/>
      <x:c r="AD123" s="9"/>
      <x:c r="AE123" s="9"/>
      <x:c r="AF123" s="9"/>
      <x:c r="AG123" s="9"/>
      <x:c r="AH123" s="9"/>
      <x:c r="AI123" s="9"/>
      <x:c r="AJ123" s="9"/>
      <x:c r="AK123" s="9"/>
      <x:c r="AL123" s="12" t="str">
        <x:f t="shared" si="7"/>
      </x:c>
      <x:c r="AM123" s="11" t="str">
        <x:f t="shared" si="8"/>
      </x:c>
      <x:c r="AN123" s="11" t="str">
        <x:f t="shared" si="9"/>
      </x:c>
      <x:c r="AO123" s="9"/>
      <x:c r="AP123" s="9"/>
      <x:c r="AQ123" s="27" t="s">
        <x:v>387</x:v>
      </x:c>
    </x:row>
    <x:row r="124" ht="118.05000305175781" customHeight="1">
      <x:c r="A124" s="6" t="s">
        <x:v>1002</x:v>
      </x:c>
      <x:c r="B124" s="6" t="s">
        <x:v>384</x:v>
      </x:c>
      <x:c r="C124" s="6" t="s">
        <x:v>43</x:v>
      </x:c>
      <x:c r="D124" s="6" t="s">
        <x:v>385</x:v>
      </x:c>
      <x:c r="E124" s="6" t="s">
        <x:v>241</x:v>
      </x:c>
      <x:c r="F124" s="6" t="s">
        <x:v>386</x:v>
      </x:c>
      <x:c r="G124" s="6" t="s">
        <x:v>724</x:v>
      </x:c>
      <x:c r="H124" s="6" t="s">
        <x:v>726</x:v>
      </x:c>
      <x:c r="I124" s="6" t="s">
        <x:v>910</x:v>
      </x:c>
      <x:c r="J124" s="6" t="s">
        <x:v>911</x:v>
      </x:c>
      <x:c r="K124" s="6" t="s">
        <x:v>389</x:v>
      </x:c>
      <x:c r="L124" s="6" t="s">
        <x:v>356</x:v>
      </x:c>
      <x:c r="M124" s="6" t="s">
        <x:v>390</x:v>
      </x:c>
      <x:c r="N124" s="6" t="s">
        <x:v>391</x:v>
      </x:c>
      <x:c r="O124" s="6" t="s">
        <x:v>230</x:v>
      </x:c>
      <x:c r="P124" s="9"/>
      <x:c r="Q124" s="9"/>
      <x:c r="R124" s="9"/>
      <x:c r="S124" s="9"/>
      <x:c r="T124" s="9"/>
      <x:c r="U124" s="9"/>
      <x:c r="V124" s="9"/>
      <x:c r="W124" s="9"/>
      <x:c r="X124" s="12" t="str">
        <x:f t="shared" si="5"/>
      </x:c>
      <x:c r="Y124" s="12" t="str">
        <x:f t="shared" si="6"/>
      </x:c>
      <x:c r="Z124" s="9" t="s">
        <x:v>870</x:v>
      </x:c>
      <x:c r="AA124" s="9"/>
      <x:c r="AB124" s="9"/>
      <x:c r="AC124" s="9"/>
      <x:c r="AD124" s="9"/>
      <x:c r="AE124" s="9"/>
      <x:c r="AF124" s="9"/>
      <x:c r="AG124" s="9"/>
      <x:c r="AH124" s="9"/>
      <x:c r="AI124" s="9"/>
      <x:c r="AJ124" s="9"/>
      <x:c r="AK124" s="9"/>
      <x:c r="AL124" s="12" t="str">
        <x:f t="shared" si="7"/>
      </x:c>
      <x:c r="AM124" s="11" t="str">
        <x:f t="shared" si="8"/>
      </x:c>
      <x:c r="AN124" s="11" t="str">
        <x:f t="shared" si="9"/>
      </x:c>
      <x:c r="AO124" s="9"/>
      <x:c r="AP124" s="9"/>
      <x:c r="AQ124" s="27" t="s">
        <x:v>387</x:v>
      </x:c>
    </x:row>
    <x:row r="125" ht="118.05000305175781" customHeight="1">
      <x:c r="A125" s="6" t="s">
        <x:v>1003</x:v>
      </x:c>
      <x:c r="B125" s="6" t="s">
        <x:v>384</x:v>
      </x:c>
      <x:c r="C125" s="6" t="s">
        <x:v>43</x:v>
      </x:c>
      <x:c r="D125" s="6" t="s">
        <x:v>385</x:v>
      </x:c>
      <x:c r="E125" s="6" t="s">
        <x:v>241</x:v>
      </x:c>
      <x:c r="F125" s="6" t="s">
        <x:v>386</x:v>
      </x:c>
      <x:c r="G125" s="6" t="s">
        <x:v>724</x:v>
      </x:c>
      <x:c r="H125" s="6" t="s">
        <x:v>726</x:v>
      </x:c>
      <x:c r="I125" s="6" t="s">
        <x:v>975</x:v>
      </x:c>
      <x:c r="J125" s="6" t="s">
        <x:v>976</x:v>
      </x:c>
      <x:c r="K125" s="6" t="s">
        <x:v>389</x:v>
      </x:c>
      <x:c r="L125" s="6" t="s">
        <x:v>356</x:v>
      </x:c>
      <x:c r="M125" s="6" t="s">
        <x:v>390</x:v>
      </x:c>
      <x:c r="N125" s="6" t="s">
        <x:v>391</x:v>
      </x:c>
      <x:c r="O125" s="6" t="s">
        <x:v>230</x:v>
      </x:c>
      <x:c r="P125" s="9"/>
      <x:c r="Q125" s="9"/>
      <x:c r="R125" s="9"/>
      <x:c r="S125" s="9"/>
      <x:c r="T125" s="9"/>
      <x:c r="U125" s="9"/>
      <x:c r="V125" s="9"/>
      <x:c r="W125" s="9"/>
      <x:c r="X125" s="12" t="str">
        <x:f t="shared" si="5"/>
      </x:c>
      <x:c r="Y125" s="12" t="str">
        <x:f t="shared" si="6"/>
      </x:c>
      <x:c r="Z125" s="9" t="s">
        <x:v>870</x:v>
      </x:c>
      <x:c r="AA125" s="9"/>
      <x:c r="AB125" s="9"/>
      <x:c r="AC125" s="9"/>
      <x:c r="AD125" s="9"/>
      <x:c r="AE125" s="9"/>
      <x:c r="AF125" s="9"/>
      <x:c r="AG125" s="9"/>
      <x:c r="AH125" s="9"/>
      <x:c r="AI125" s="9"/>
      <x:c r="AJ125" s="9"/>
      <x:c r="AK125" s="9"/>
      <x:c r="AL125" s="12" t="str">
        <x:f t="shared" si="7"/>
      </x:c>
      <x:c r="AM125" s="11" t="str">
        <x:f t="shared" si="8"/>
      </x:c>
      <x:c r="AN125" s="11" t="str">
        <x:f t="shared" si="9"/>
      </x:c>
      <x:c r="AO125" s="9"/>
      <x:c r="AP125" s="9"/>
      <x:c r="AQ125" s="27" t="s">
        <x:v>387</x:v>
      </x:c>
    </x:row>
    <x:row r="126" ht="118.05000305175781" customHeight="1">
      <x:c r="A126" s="6" t="s">
        <x:v>1004</x:v>
      </x:c>
      <x:c r="B126" s="6" t="s">
        <x:v>392</x:v>
      </x:c>
      <x:c r="C126" s="6" t="s">
        <x:v>43</x:v>
      </x:c>
      <x:c r="D126" s="6" t="s">
        <x:v>393</x:v>
      </x:c>
      <x:c r="E126" s="6" t="s">
        <x:v>394</x:v>
      </x:c>
      <x:c r="F126" s="6" t="s">
        <x:v>395</x:v>
      </x:c>
      <x:c r="G126" s="6" t="s">
        <x:v>696</x:v>
      </x:c>
      <x:c r="H126" s="6" t="s">
        <x:v>698</x:v>
      </x:c>
      <x:c r="I126" s="6" t="s">
        <x:v>910</x:v>
      </x:c>
      <x:c r="J126" s="6" t="s">
        <x:v>911</x:v>
      </x:c>
      <x:c r="K126" s="6" t="s">
        <x:v>397</x:v>
      </x:c>
      <x:c r="L126" s="6" t="s">
        <x:v>356</x:v>
      </x:c>
      <x:c r="M126" s="6" t="s">
        <x:v>398</x:v>
      </x:c>
      <x:c r="N126" s="6" t="s">
        <x:v>399</x:v>
      </x:c>
      <x:c r="O126" s="6" t="s">
        <x:v>230</x:v>
      </x:c>
      <x:c r="P126" s="9"/>
      <x:c r="Q126" s="9"/>
      <x:c r="R126" s="9"/>
      <x:c r="S126" s="9"/>
      <x:c r="T126" s="9"/>
      <x:c r="U126" s="9"/>
      <x:c r="V126" s="9"/>
      <x:c r="W126" s="9"/>
      <x:c r="X126" s="12" t="str">
        <x:f t="shared" si="5"/>
      </x:c>
      <x:c r="Y126" s="12" t="str">
        <x:f t="shared" si="6"/>
      </x:c>
      <x:c r="Z126" s="9" t="s">
        <x:v>870</x:v>
      </x:c>
      <x:c r="AA126" s="9"/>
      <x:c r="AB126" s="9"/>
      <x:c r="AC126" s="9"/>
      <x:c r="AD126" s="9"/>
      <x:c r="AE126" s="9"/>
      <x:c r="AF126" s="9"/>
      <x:c r="AG126" s="9"/>
      <x:c r="AH126" s="9"/>
      <x:c r="AI126" s="9"/>
      <x:c r="AJ126" s="9"/>
      <x:c r="AK126" s="9"/>
      <x:c r="AL126" s="12" t="str">
        <x:f t="shared" si="7"/>
      </x:c>
      <x:c r="AM126" s="11" t="str">
        <x:f t="shared" si="8"/>
      </x:c>
      <x:c r="AN126" s="11" t="str">
        <x:f t="shared" si="9"/>
      </x:c>
      <x:c r="AO126" s="9"/>
      <x:c r="AP126" s="9"/>
      <x:c r="AQ126" s="27" t="s">
        <x:v>396</x:v>
      </x:c>
    </x:row>
    <x:row r="127" ht="118.05000305175781" customHeight="1">
      <x:c r="A127" s="6" t="s">
        <x:v>1005</x:v>
      </x:c>
      <x:c r="B127" s="6" t="s">
        <x:v>392</x:v>
      </x:c>
      <x:c r="C127" s="6" t="s">
        <x:v>43</x:v>
      </x:c>
      <x:c r="D127" s="6" t="s">
        <x:v>393</x:v>
      </x:c>
      <x:c r="E127" s="6" t="s">
        <x:v>394</x:v>
      </x:c>
      <x:c r="F127" s="6" t="s">
        <x:v>395</x:v>
      </x:c>
      <x:c r="G127" s="6" t="s">
        <x:v>696</x:v>
      </x:c>
      <x:c r="H127" s="6" t="s">
        <x:v>698</x:v>
      </x:c>
      <x:c r="I127" s="6" t="s">
        <x:v>932</x:v>
      </x:c>
      <x:c r="J127" s="6" t="s">
        <x:v>933</x:v>
      </x:c>
      <x:c r="K127" s="6" t="s">
        <x:v>397</x:v>
      </x:c>
      <x:c r="L127" s="6" t="s">
        <x:v>356</x:v>
      </x:c>
      <x:c r="M127" s="6" t="s">
        <x:v>398</x:v>
      </x:c>
      <x:c r="N127" s="6" t="s">
        <x:v>399</x:v>
      </x:c>
      <x:c r="O127" s="6" t="s">
        <x:v>230</x:v>
      </x:c>
      <x:c r="P127" s="9"/>
      <x:c r="Q127" s="9"/>
      <x:c r="R127" s="9"/>
      <x:c r="S127" s="9"/>
      <x:c r="T127" s="9"/>
      <x:c r="U127" s="9"/>
      <x:c r="V127" s="9"/>
      <x:c r="W127" s="9"/>
      <x:c r="X127" s="12" t="str">
        <x:f t="shared" si="5"/>
      </x:c>
      <x:c r="Y127" s="12" t="str">
        <x:f t="shared" si="6"/>
      </x:c>
      <x:c r="Z127" s="9" t="s">
        <x:v>870</x:v>
      </x:c>
      <x:c r="AA127" s="9"/>
      <x:c r="AB127" s="9"/>
      <x:c r="AC127" s="9"/>
      <x:c r="AD127" s="9"/>
      <x:c r="AE127" s="9"/>
      <x:c r="AF127" s="9"/>
      <x:c r="AG127" s="9"/>
      <x:c r="AH127" s="9"/>
      <x:c r="AI127" s="9"/>
      <x:c r="AJ127" s="9"/>
      <x:c r="AK127" s="9"/>
      <x:c r="AL127" s="12" t="str">
        <x:f t="shared" si="7"/>
      </x:c>
      <x:c r="AM127" s="11" t="str">
        <x:f t="shared" si="8"/>
      </x:c>
      <x:c r="AN127" s="11" t="str">
        <x:f t="shared" si="9"/>
      </x:c>
      <x:c r="AO127" s="9"/>
      <x:c r="AP127" s="9"/>
      <x:c r="AQ127" s="27" t="s">
        <x:v>396</x:v>
      </x:c>
    </x:row>
    <x:row r="128" ht="118.05000305175781" customHeight="1">
      <x:c r="A128" s="6" t="s">
        <x:v>1006</x:v>
      </x:c>
      <x:c r="B128" s="6" t="s">
        <x:v>392</x:v>
      </x:c>
      <x:c r="C128" s="6" t="s">
        <x:v>43</x:v>
      </x:c>
      <x:c r="D128" s="6" t="s">
        <x:v>393</x:v>
      </x:c>
      <x:c r="E128" s="6" t="s">
        <x:v>394</x:v>
      </x:c>
      <x:c r="F128" s="6" t="s">
        <x:v>395</x:v>
      </x:c>
      <x:c r="G128" s="6" t="s">
        <x:v>707</x:v>
      </x:c>
      <x:c r="H128" s="6" t="s">
        <x:v>709</x:v>
      </x:c>
      <x:c r="I128" s="6" t="s">
        <x:v>910</x:v>
      </x:c>
      <x:c r="J128" s="6" t="s">
        <x:v>911</x:v>
      </x:c>
      <x:c r="K128" s="6" t="s">
        <x:v>397</x:v>
      </x:c>
      <x:c r="L128" s="6" t="s">
        <x:v>356</x:v>
      </x:c>
      <x:c r="M128" s="6" t="s">
        <x:v>398</x:v>
      </x:c>
      <x:c r="N128" s="6" t="s">
        <x:v>399</x:v>
      </x:c>
      <x:c r="O128" s="6" t="s">
        <x:v>230</x:v>
      </x:c>
      <x:c r="P128" s="9"/>
      <x:c r="Q128" s="9"/>
      <x:c r="R128" s="9"/>
      <x:c r="S128" s="9"/>
      <x:c r="T128" s="9"/>
      <x:c r="U128" s="9"/>
      <x:c r="V128" s="9"/>
      <x:c r="W128" s="9"/>
      <x:c r="X128" s="12" t="str">
        <x:f t="shared" si="5"/>
      </x:c>
      <x:c r="Y128" s="12" t="str">
        <x:f t="shared" si="6"/>
      </x:c>
      <x:c r="Z128" s="9" t="s">
        <x:v>870</x:v>
      </x:c>
      <x:c r="AA128" s="9"/>
      <x:c r="AB128" s="9"/>
      <x:c r="AC128" s="9"/>
      <x:c r="AD128" s="9"/>
      <x:c r="AE128" s="9"/>
      <x:c r="AF128" s="9"/>
      <x:c r="AG128" s="9"/>
      <x:c r="AH128" s="9"/>
      <x:c r="AI128" s="9"/>
      <x:c r="AJ128" s="9"/>
      <x:c r="AK128" s="9"/>
      <x:c r="AL128" s="12" t="str">
        <x:f t="shared" si="7"/>
      </x:c>
      <x:c r="AM128" s="11" t="str">
        <x:f t="shared" si="8"/>
      </x:c>
      <x:c r="AN128" s="11" t="str">
        <x:f t="shared" si="9"/>
      </x:c>
      <x:c r="AO128" s="9"/>
      <x:c r="AP128" s="9"/>
      <x:c r="AQ128" s="27" t="s">
        <x:v>396</x:v>
      </x:c>
    </x:row>
    <x:row r="129" ht="118.05000305175781" customHeight="1">
      <x:c r="A129" s="6" t="s">
        <x:v>1007</x:v>
      </x:c>
      <x:c r="B129" s="6" t="s">
        <x:v>392</x:v>
      </x:c>
      <x:c r="C129" s="6" t="s">
        <x:v>43</x:v>
      </x:c>
      <x:c r="D129" s="6" t="s">
        <x:v>393</x:v>
      </x:c>
      <x:c r="E129" s="6" t="s">
        <x:v>394</x:v>
      </x:c>
      <x:c r="F129" s="6" t="s">
        <x:v>395</x:v>
      </x:c>
      <x:c r="G129" s="6" t="s">
        <x:v>707</x:v>
      </x:c>
      <x:c r="H129" s="6" t="s">
        <x:v>709</x:v>
      </x:c>
      <x:c r="I129" s="6" t="s">
        <x:v>932</x:v>
      </x:c>
      <x:c r="J129" s="6" t="s">
        <x:v>933</x:v>
      </x:c>
      <x:c r="K129" s="6" t="s">
        <x:v>397</x:v>
      </x:c>
      <x:c r="L129" s="6" t="s">
        <x:v>356</x:v>
      </x:c>
      <x:c r="M129" s="6" t="s">
        <x:v>398</x:v>
      </x:c>
      <x:c r="N129" s="6" t="s">
        <x:v>399</x:v>
      </x:c>
      <x:c r="O129" s="6" t="s">
        <x:v>230</x:v>
      </x:c>
      <x:c r="P129" s="9"/>
      <x:c r="Q129" s="9"/>
      <x:c r="R129" s="9"/>
      <x:c r="S129" s="9"/>
      <x:c r="T129" s="9"/>
      <x:c r="U129" s="9"/>
      <x:c r="V129" s="9"/>
      <x:c r="W129" s="9"/>
      <x:c r="X129" s="12" t="str">
        <x:f t="shared" si="5"/>
      </x:c>
      <x:c r="Y129" s="12" t="str">
        <x:f t="shared" si="6"/>
      </x:c>
      <x:c r="Z129" s="9" t="s">
        <x:v>870</x:v>
      </x:c>
      <x:c r="AA129" s="9"/>
      <x:c r="AB129" s="9"/>
      <x:c r="AC129" s="9"/>
      <x:c r="AD129" s="9"/>
      <x:c r="AE129" s="9"/>
      <x:c r="AF129" s="9"/>
      <x:c r="AG129" s="9"/>
      <x:c r="AH129" s="9"/>
      <x:c r="AI129" s="9"/>
      <x:c r="AJ129" s="9"/>
      <x:c r="AK129" s="9"/>
      <x:c r="AL129" s="12" t="str">
        <x:f t="shared" si="7"/>
      </x:c>
      <x:c r="AM129" s="11" t="str">
        <x:f t="shared" si="8"/>
      </x:c>
      <x:c r="AN129" s="11" t="str">
        <x:f t="shared" si="9"/>
      </x:c>
      <x:c r="AO129" s="9"/>
      <x:c r="AP129" s="9"/>
      <x:c r="AQ129" s="27" t="s">
        <x:v>396</x:v>
      </x:c>
    </x:row>
    <x:row r="130" ht="118.05000305175781" customHeight="1">
      <x:c r="A130" s="6" t="s">
        <x:v>1008</x:v>
      </x:c>
      <x:c r="B130" s="6" t="s">
        <x:v>392</x:v>
      </x:c>
      <x:c r="C130" s="6" t="s">
        <x:v>43</x:v>
      </x:c>
      <x:c r="D130" s="6" t="s">
        <x:v>393</x:v>
      </x:c>
      <x:c r="E130" s="6" t="s">
        <x:v>394</x:v>
      </x:c>
      <x:c r="F130" s="6" t="s">
        <x:v>395</x:v>
      </x:c>
      <x:c r="G130" s="6" t="s">
        <x:v>724</x:v>
      </x:c>
      <x:c r="H130" s="6" t="s">
        <x:v>726</x:v>
      </x:c>
      <x:c r="I130" s="6" t="s">
        <x:v>910</x:v>
      </x:c>
      <x:c r="J130" s="6" t="s">
        <x:v>911</x:v>
      </x:c>
      <x:c r="K130" s="6" t="s">
        <x:v>397</x:v>
      </x:c>
      <x:c r="L130" s="6" t="s">
        <x:v>356</x:v>
      </x:c>
      <x:c r="M130" s="6" t="s">
        <x:v>398</x:v>
      </x:c>
      <x:c r="N130" s="6" t="s">
        <x:v>399</x:v>
      </x:c>
      <x:c r="O130" s="6" t="s">
        <x:v>230</x:v>
      </x:c>
      <x:c r="P130" s="9"/>
      <x:c r="Q130" s="9"/>
      <x:c r="R130" s="9"/>
      <x:c r="S130" s="9"/>
      <x:c r="T130" s="9"/>
      <x:c r="U130" s="9"/>
      <x:c r="V130" s="9"/>
      <x:c r="W130" s="9"/>
      <x:c r="X130" s="12" t="str">
        <x:f t="shared" ref="X130:X193" si="10">IF(OR(R130="",R130-AP130&lt;=0),"",AB130/(R130-AP130))</x:f>
      </x:c>
      <x:c r="Y130" s="12" t="str">
        <x:f t="shared" ref="Y130:Y193" si="11">IF(OR(Q130="",Q130=0),"",R130/Q130)</x:f>
      </x:c>
      <x:c r="Z130" s="9" t="s">
        <x:v>870</x:v>
      </x:c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12" t="str">
        <x:f t="shared" ref="AL130:AL193" si="12">IF(OR(R130="",R130-AP130&lt;=0),"",AO130/(R130-AP130))</x:f>
      </x:c>
      <x:c r="AM130" s="11" t="str">
        <x:f t="shared" ref="AM130:AM193" si="13">IF(R130="","",SUM(AC130:AF130)-(R130-AP130))</x:f>
      </x:c>
      <x:c r="AN130" s="11" t="str">
        <x:f t="shared" ref="AN130:AN193" si="14">IF(R130="","",SUM(S130:W130)+AP130-R130)</x:f>
      </x:c>
      <x:c r="AO130" s="9"/>
      <x:c r="AP130" s="9"/>
      <x:c r="AQ130" s="27" t="s">
        <x:v>396</x:v>
      </x:c>
    </x:row>
    <x:row r="131" ht="118.05000305175781" customHeight="1">
      <x:c r="A131" s="6" t="s">
        <x:v>1009</x:v>
      </x:c>
      <x:c r="B131" s="6" t="s">
        <x:v>392</x:v>
      </x:c>
      <x:c r="C131" s="6" t="s">
        <x:v>43</x:v>
      </x:c>
      <x:c r="D131" s="6" t="s">
        <x:v>393</x:v>
      </x:c>
      <x:c r="E131" s="6" t="s">
        <x:v>394</x:v>
      </x:c>
      <x:c r="F131" s="6" t="s">
        <x:v>395</x:v>
      </x:c>
      <x:c r="G131" s="6" t="s">
        <x:v>724</x:v>
      </x:c>
      <x:c r="H131" s="6" t="s">
        <x:v>726</x:v>
      </x:c>
      <x:c r="I131" s="6" t="s">
        <x:v>932</x:v>
      </x:c>
      <x:c r="J131" s="6" t="s">
        <x:v>933</x:v>
      </x:c>
      <x:c r="K131" s="6" t="s">
        <x:v>397</x:v>
      </x:c>
      <x:c r="L131" s="6" t="s">
        <x:v>356</x:v>
      </x:c>
      <x:c r="M131" s="6" t="s">
        <x:v>398</x:v>
      </x:c>
      <x:c r="N131" s="6" t="s">
        <x:v>399</x:v>
      </x:c>
      <x:c r="O131" s="6" t="s">
        <x:v>230</x:v>
      </x:c>
      <x:c r="P131" s="9"/>
      <x:c r="Q131" s="9"/>
      <x:c r="R131" s="9"/>
      <x:c r="S131" s="9"/>
      <x:c r="T131" s="9"/>
      <x:c r="U131" s="9"/>
      <x:c r="V131" s="9"/>
      <x:c r="W131" s="9"/>
      <x:c r="X131" s="12" t="str">
        <x:f t="shared" si="10"/>
      </x:c>
      <x:c r="Y131" s="12" t="str">
        <x:f t="shared" si="11"/>
      </x:c>
      <x:c r="Z131" s="9" t="s">
        <x:v>870</x:v>
      </x:c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12" t="str">
        <x:f t="shared" si="12"/>
      </x:c>
      <x:c r="AM131" s="11" t="str">
        <x:f t="shared" si="13"/>
      </x:c>
      <x:c r="AN131" s="11" t="str">
        <x:f t="shared" si="14"/>
      </x:c>
      <x:c r="AO131" s="9"/>
      <x:c r="AP131" s="9"/>
      <x:c r="AQ131" s="27" t="s">
        <x:v>396</x:v>
      </x:c>
    </x:row>
    <x:row r="132" ht="118.05000305175781" customHeight="1">
      <x:c r="A132" s="6" t="s">
        <x:v>1010</x:v>
      </x:c>
      <x:c r="B132" s="6" t="s">
        <x:v>400</x:v>
      </x:c>
      <x:c r="C132" s="6" t="s">
        <x:v>43</x:v>
      </x:c>
      <x:c r="D132" s="6" t="s">
        <x:v>401</x:v>
      </x:c>
      <x:c r="E132" s="6" t="s">
        <x:v>214</x:v>
      </x:c>
      <x:c r="F132" s="6" t="s">
        <x:v>402</x:v>
      </x:c>
      <x:c r="G132" s="6" t="s">
        <x:v>696</x:v>
      </x:c>
      <x:c r="H132" s="6" t="s">
        <x:v>698</x:v>
      </x:c>
      <x:c r="I132" s="6" t="s">
        <x:v>910</x:v>
      </x:c>
      <x:c r="J132" s="6" t="s">
        <x:v>911</x:v>
      </x:c>
      <x:c r="K132" s="6" t="s">
        <x:v>405</x:v>
      </x:c>
      <x:c r="L132" s="6" t="s">
        <x:v>356</x:v>
      </x:c>
      <x:c r="M132" s="6" t="s">
        <x:v>406</x:v>
      </x:c>
      <x:c r="N132" s="6" t="s">
        <x:v>407</x:v>
      </x:c>
      <x:c r="O132" s="6" t="s">
        <x:v>408</x:v>
      </x:c>
      <x:c r="P132" s="9"/>
      <x:c r="Q132" s="9"/>
      <x:c r="R132" s="9"/>
      <x:c r="S132" s="9"/>
      <x:c r="T132" s="9"/>
      <x:c r="U132" s="9"/>
      <x:c r="V132" s="9"/>
      <x:c r="W132" s="9"/>
      <x:c r="X132" s="12" t="str">
        <x:f t="shared" si="10"/>
      </x:c>
      <x:c r="Y132" s="12" t="str">
        <x:f t="shared" si="11"/>
      </x:c>
      <x:c r="Z132" s="9" t="s">
        <x:v>870</x:v>
      </x:c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12" t="str">
        <x:f t="shared" si="12"/>
      </x:c>
      <x:c r="AM132" s="11" t="str">
        <x:f t="shared" si="13"/>
      </x:c>
      <x:c r="AN132" s="11" t="str">
        <x:f t="shared" si="14"/>
      </x:c>
      <x:c r="AO132" s="9"/>
      <x:c r="AP132" s="9"/>
      <x:c r="AQ132" s="27" t="s">
        <x:v>403</x:v>
      </x:c>
    </x:row>
    <x:row r="133" ht="118.05000305175781" customHeight="1">
      <x:c r="A133" s="6" t="s">
        <x:v>1011</x:v>
      </x:c>
      <x:c r="B133" s="6" t="s">
        <x:v>400</x:v>
      </x:c>
      <x:c r="C133" s="6" t="s">
        <x:v>43</x:v>
      </x:c>
      <x:c r="D133" s="6" t="s">
        <x:v>401</x:v>
      </x:c>
      <x:c r="E133" s="6" t="s">
        <x:v>214</x:v>
      </x:c>
      <x:c r="F133" s="6" t="s">
        <x:v>402</x:v>
      </x:c>
      <x:c r="G133" s="6" t="s">
        <x:v>696</x:v>
      </x:c>
      <x:c r="H133" s="6" t="s">
        <x:v>698</x:v>
      </x:c>
      <x:c r="I133" s="6" t="s">
        <x:v>872</x:v>
      </x:c>
      <x:c r="J133" s="6" t="s">
        <x:v>873</x:v>
      </x:c>
      <x:c r="K133" s="6" t="s">
        <x:v>405</x:v>
      </x:c>
      <x:c r="L133" s="6" t="s">
        <x:v>356</x:v>
      </x:c>
      <x:c r="M133" s="6" t="s">
        <x:v>406</x:v>
      </x:c>
      <x:c r="N133" s="6" t="s">
        <x:v>407</x:v>
      </x:c>
      <x:c r="O133" s="6" t="s">
        <x:v>408</x:v>
      </x:c>
      <x:c r="P133" s="9"/>
      <x:c r="Q133" s="9"/>
      <x:c r="R133" s="9"/>
      <x:c r="S133" s="9"/>
      <x:c r="T133" s="9"/>
      <x:c r="U133" s="9"/>
      <x:c r="V133" s="9"/>
      <x:c r="W133" s="9"/>
      <x:c r="X133" s="12" t="str">
        <x:f t="shared" si="10"/>
      </x:c>
      <x:c r="Y133" s="12" t="str">
        <x:f t="shared" si="11"/>
      </x:c>
      <x:c r="Z133" s="9" t="s">
        <x:v>870</x:v>
      </x:c>
      <x:c r="AA133" s="9"/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  <x:c r="AL133" s="12" t="str">
        <x:f t="shared" si="12"/>
      </x:c>
      <x:c r="AM133" s="11" t="str">
        <x:f t="shared" si="13"/>
      </x:c>
      <x:c r="AN133" s="11" t="str">
        <x:f t="shared" si="14"/>
      </x:c>
      <x:c r="AO133" s="9"/>
      <x:c r="AP133" s="9"/>
      <x:c r="AQ133" s="27" t="s">
        <x:v>403</x:v>
      </x:c>
    </x:row>
    <x:row r="134" ht="118.05000305175781" customHeight="1">
      <x:c r="A134" s="6" t="s">
        <x:v>1012</x:v>
      </x:c>
      <x:c r="B134" s="6" t="s">
        <x:v>400</x:v>
      </x:c>
      <x:c r="C134" s="6" t="s">
        <x:v>43</x:v>
      </x:c>
      <x:c r="D134" s="6" t="s">
        <x:v>401</x:v>
      </x:c>
      <x:c r="E134" s="6" t="s">
        <x:v>214</x:v>
      </x:c>
      <x:c r="F134" s="6" t="s">
        <x:v>402</x:v>
      </x:c>
      <x:c r="G134" s="6" t="s">
        <x:v>707</x:v>
      </x:c>
      <x:c r="H134" s="6" t="s">
        <x:v>709</x:v>
      </x:c>
      <x:c r="I134" s="6" t="s">
        <x:v>910</x:v>
      </x:c>
      <x:c r="J134" s="6" t="s">
        <x:v>911</x:v>
      </x:c>
      <x:c r="K134" s="6" t="s">
        <x:v>405</x:v>
      </x:c>
      <x:c r="L134" s="6" t="s">
        <x:v>356</x:v>
      </x:c>
      <x:c r="M134" s="6" t="s">
        <x:v>406</x:v>
      </x:c>
      <x:c r="N134" s="6" t="s">
        <x:v>407</x:v>
      </x:c>
      <x:c r="O134" s="6" t="s">
        <x:v>408</x:v>
      </x:c>
      <x:c r="P134" s="9"/>
      <x:c r="Q134" s="9"/>
      <x:c r="R134" s="9"/>
      <x:c r="S134" s="9"/>
      <x:c r="T134" s="9"/>
      <x:c r="U134" s="9"/>
      <x:c r="V134" s="9"/>
      <x:c r="W134" s="9"/>
      <x:c r="X134" s="12" t="str">
        <x:f t="shared" si="10"/>
      </x:c>
      <x:c r="Y134" s="12" t="str">
        <x:f t="shared" si="11"/>
      </x:c>
      <x:c r="Z134" s="9" t="s">
        <x:v>870</x:v>
      </x:c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  <x:c r="AL134" s="12" t="str">
        <x:f t="shared" si="12"/>
      </x:c>
      <x:c r="AM134" s="11" t="str">
        <x:f t="shared" si="13"/>
      </x:c>
      <x:c r="AN134" s="11" t="str">
        <x:f t="shared" si="14"/>
      </x:c>
      <x:c r="AO134" s="9"/>
      <x:c r="AP134" s="9"/>
      <x:c r="AQ134" s="27" t="s">
        <x:v>403</x:v>
      </x:c>
    </x:row>
    <x:row r="135" ht="118.05000305175781" customHeight="1">
      <x:c r="A135" s="6" t="s">
        <x:v>1013</x:v>
      </x:c>
      <x:c r="B135" s="6" t="s">
        <x:v>400</x:v>
      </x:c>
      <x:c r="C135" s="6" t="s">
        <x:v>43</x:v>
      </x:c>
      <x:c r="D135" s="6" t="s">
        <x:v>401</x:v>
      </x:c>
      <x:c r="E135" s="6" t="s">
        <x:v>214</x:v>
      </x:c>
      <x:c r="F135" s="6" t="s">
        <x:v>402</x:v>
      </x:c>
      <x:c r="G135" s="6" t="s">
        <x:v>707</x:v>
      </x:c>
      <x:c r="H135" s="6" t="s">
        <x:v>709</x:v>
      </x:c>
      <x:c r="I135" s="6" t="s">
        <x:v>872</x:v>
      </x:c>
      <x:c r="J135" s="6" t="s">
        <x:v>873</x:v>
      </x:c>
      <x:c r="K135" s="6" t="s">
        <x:v>405</x:v>
      </x:c>
      <x:c r="L135" s="6" t="s">
        <x:v>356</x:v>
      </x:c>
      <x:c r="M135" s="6" t="s">
        <x:v>406</x:v>
      </x:c>
      <x:c r="N135" s="6" t="s">
        <x:v>407</x:v>
      </x:c>
      <x:c r="O135" s="6" t="s">
        <x:v>408</x:v>
      </x:c>
      <x:c r="P135" s="9"/>
      <x:c r="Q135" s="9"/>
      <x:c r="R135" s="9"/>
      <x:c r="S135" s="9"/>
      <x:c r="T135" s="9"/>
      <x:c r="U135" s="9"/>
      <x:c r="V135" s="9"/>
      <x:c r="W135" s="9"/>
      <x:c r="X135" s="12" t="str">
        <x:f t="shared" si="10"/>
      </x:c>
      <x:c r="Y135" s="12" t="str">
        <x:f t="shared" si="11"/>
      </x:c>
      <x:c r="Z135" s="9" t="s">
        <x:v>870</x:v>
      </x:c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  <x:c r="AL135" s="12" t="str">
        <x:f t="shared" si="12"/>
      </x:c>
      <x:c r="AM135" s="11" t="str">
        <x:f t="shared" si="13"/>
      </x:c>
      <x:c r="AN135" s="11" t="str">
        <x:f t="shared" si="14"/>
      </x:c>
      <x:c r="AO135" s="9"/>
      <x:c r="AP135" s="9"/>
      <x:c r="AQ135" s="27" t="s">
        <x:v>403</x:v>
      </x:c>
    </x:row>
    <x:row r="136" ht="118.05000305175781" customHeight="1">
      <x:c r="A136" s="6" t="s">
        <x:v>1014</x:v>
      </x:c>
      <x:c r="B136" s="6" t="s">
        <x:v>400</x:v>
      </x:c>
      <x:c r="C136" s="6" t="s">
        <x:v>43</x:v>
      </x:c>
      <x:c r="D136" s="6" t="s">
        <x:v>401</x:v>
      </x:c>
      <x:c r="E136" s="6" t="s">
        <x:v>214</x:v>
      </x:c>
      <x:c r="F136" s="6" t="s">
        <x:v>402</x:v>
      </x:c>
      <x:c r="G136" s="6" t="s">
        <x:v>724</x:v>
      </x:c>
      <x:c r="H136" s="6" t="s">
        <x:v>726</x:v>
      </x:c>
      <x:c r="I136" s="6" t="s">
        <x:v>910</x:v>
      </x:c>
      <x:c r="J136" s="6" t="s">
        <x:v>911</x:v>
      </x:c>
      <x:c r="K136" s="6" t="s">
        <x:v>405</x:v>
      </x:c>
      <x:c r="L136" s="6" t="s">
        <x:v>356</x:v>
      </x:c>
      <x:c r="M136" s="6" t="s">
        <x:v>406</x:v>
      </x:c>
      <x:c r="N136" s="6" t="s">
        <x:v>407</x:v>
      </x:c>
      <x:c r="O136" s="6" t="s">
        <x:v>408</x:v>
      </x:c>
      <x:c r="P136" s="9"/>
      <x:c r="Q136" s="9"/>
      <x:c r="R136" s="9"/>
      <x:c r="S136" s="9"/>
      <x:c r="T136" s="9"/>
      <x:c r="U136" s="9"/>
      <x:c r="V136" s="9"/>
      <x:c r="W136" s="9"/>
      <x:c r="X136" s="12" t="str">
        <x:f t="shared" si="10"/>
      </x:c>
      <x:c r="Y136" s="12" t="str">
        <x:f t="shared" si="11"/>
      </x:c>
      <x:c r="Z136" s="9" t="s">
        <x:v>870</x:v>
      </x:c>
      <x:c r="AA136" s="9"/>
      <x:c r="AB136" s="9"/>
      <x:c r="AC136" s="9"/>
      <x:c r="AD136" s="9"/>
      <x:c r="AE136" s="9"/>
      <x:c r="AF136" s="9"/>
      <x:c r="AG136" s="9"/>
      <x:c r="AH136" s="9"/>
      <x:c r="AI136" s="9"/>
      <x:c r="AJ136" s="9"/>
      <x:c r="AK136" s="9"/>
      <x:c r="AL136" s="12" t="str">
        <x:f t="shared" si="12"/>
      </x:c>
      <x:c r="AM136" s="11" t="str">
        <x:f t="shared" si="13"/>
      </x:c>
      <x:c r="AN136" s="11" t="str">
        <x:f t="shared" si="14"/>
      </x:c>
      <x:c r="AO136" s="9"/>
      <x:c r="AP136" s="9"/>
      <x:c r="AQ136" s="27" t="s">
        <x:v>403</x:v>
      </x:c>
    </x:row>
    <x:row r="137" ht="118.05000305175781" customHeight="1">
      <x:c r="A137" s="6" t="s">
        <x:v>1015</x:v>
      </x:c>
      <x:c r="B137" s="6" t="s">
        <x:v>400</x:v>
      </x:c>
      <x:c r="C137" s="6" t="s">
        <x:v>43</x:v>
      </x:c>
      <x:c r="D137" s="6" t="s">
        <x:v>401</x:v>
      </x:c>
      <x:c r="E137" s="6" t="s">
        <x:v>214</x:v>
      </x:c>
      <x:c r="F137" s="6" t="s">
        <x:v>402</x:v>
      </x:c>
      <x:c r="G137" s="6" t="s">
        <x:v>724</x:v>
      </x:c>
      <x:c r="H137" s="6" t="s">
        <x:v>726</x:v>
      </x:c>
      <x:c r="I137" s="6" t="s">
        <x:v>872</x:v>
      </x:c>
      <x:c r="J137" s="6" t="s">
        <x:v>873</x:v>
      </x:c>
      <x:c r="K137" s="6" t="s">
        <x:v>405</x:v>
      </x:c>
      <x:c r="L137" s="6" t="s">
        <x:v>356</x:v>
      </x:c>
      <x:c r="M137" s="6" t="s">
        <x:v>406</x:v>
      </x:c>
      <x:c r="N137" s="6" t="s">
        <x:v>407</x:v>
      </x:c>
      <x:c r="O137" s="6" t="s">
        <x:v>408</x:v>
      </x:c>
      <x:c r="P137" s="9"/>
      <x:c r="Q137" s="9"/>
      <x:c r="R137" s="9"/>
      <x:c r="S137" s="9"/>
      <x:c r="T137" s="9"/>
      <x:c r="U137" s="9"/>
      <x:c r="V137" s="9"/>
      <x:c r="W137" s="9"/>
      <x:c r="X137" s="12" t="str">
        <x:f t="shared" si="10"/>
      </x:c>
      <x:c r="Y137" s="12" t="str">
        <x:f t="shared" si="11"/>
      </x:c>
      <x:c r="Z137" s="9" t="s">
        <x:v>870</x:v>
      </x:c>
      <x:c r="AA137" s="9"/>
      <x:c r="AB137" s="9"/>
      <x:c r="AC137" s="9"/>
      <x:c r="AD137" s="9"/>
      <x:c r="AE137" s="9"/>
      <x:c r="AF137" s="9"/>
      <x:c r="AG137" s="9"/>
      <x:c r="AH137" s="9"/>
      <x:c r="AI137" s="9"/>
      <x:c r="AJ137" s="9"/>
      <x:c r="AK137" s="9"/>
      <x:c r="AL137" s="12" t="str">
        <x:f t="shared" si="12"/>
      </x:c>
      <x:c r="AM137" s="11" t="str">
        <x:f t="shared" si="13"/>
      </x:c>
      <x:c r="AN137" s="11" t="str">
        <x:f t="shared" si="14"/>
      </x:c>
      <x:c r="AO137" s="9"/>
      <x:c r="AP137" s="9"/>
      <x:c r="AQ137" s="27" t="s">
        <x:v>403</x:v>
      </x:c>
    </x:row>
    <x:row r="138" ht="118.05000305175781" customHeight="1">
      <x:c r="A138" s="6" t="s">
        <x:v>1016</x:v>
      </x:c>
      <x:c r="B138" s="6" t="s">
        <x:v>409</x:v>
      </x:c>
      <x:c r="C138" s="6" t="s">
        <x:v>43</x:v>
      </x:c>
      <x:c r="D138" s="6" t="s">
        <x:v>410</x:v>
      </x:c>
      <x:c r="E138" s="6" t="s">
        <x:v>249</x:v>
      </x:c>
      <x:c r="F138" s="6" t="s">
        <x:v>411</x:v>
      </x:c>
      <x:c r="G138" s="6" t="s">
        <x:v>696</x:v>
      </x:c>
      <x:c r="H138" s="6" t="s">
        <x:v>698</x:v>
      </x:c>
      <x:c r="I138" s="6" t="s">
        <x:v>910</x:v>
      </x:c>
      <x:c r="J138" s="6" t="s">
        <x:v>911</x:v>
      </x:c>
      <x:c r="K138" s="6" t="s">
        <x:v>413</x:v>
      </x:c>
      <x:c r="L138" s="6" t="s">
        <x:v>356</x:v>
      </x:c>
      <x:c r="M138" s="6" t="s">
        <x:v>414</x:v>
      </x:c>
      <x:c r="N138" s="6" t="s">
        <x:v>415</x:v>
      </x:c>
      <x:c r="O138" s="6" t="s">
        <x:v>416</x:v>
      </x:c>
      <x:c r="P138" s="9"/>
      <x:c r="Q138" s="9"/>
      <x:c r="R138" s="9"/>
      <x:c r="S138" s="9"/>
      <x:c r="T138" s="9"/>
      <x:c r="U138" s="9"/>
      <x:c r="V138" s="9"/>
      <x:c r="W138" s="9"/>
      <x:c r="X138" s="12" t="str">
        <x:f t="shared" si="10"/>
      </x:c>
      <x:c r="Y138" s="12" t="str">
        <x:f t="shared" si="11"/>
      </x:c>
      <x:c r="Z138" s="9" t="s">
        <x:v>870</x:v>
      </x:c>
      <x:c r="AA138" s="9"/>
      <x:c r="AB138" s="9"/>
      <x:c r="AC138" s="9"/>
      <x:c r="AD138" s="9"/>
      <x:c r="AE138" s="9"/>
      <x:c r="AF138" s="9"/>
      <x:c r="AG138" s="9"/>
      <x:c r="AH138" s="9"/>
      <x:c r="AI138" s="9"/>
      <x:c r="AJ138" s="9"/>
      <x:c r="AK138" s="9"/>
      <x:c r="AL138" s="12" t="str">
        <x:f t="shared" si="12"/>
      </x:c>
      <x:c r="AM138" s="11" t="str">
        <x:f t="shared" si="13"/>
      </x:c>
      <x:c r="AN138" s="11" t="str">
        <x:f t="shared" si="14"/>
      </x:c>
      <x:c r="AO138" s="9"/>
      <x:c r="AP138" s="9"/>
      <x:c r="AQ138" s="27" t="s">
        <x:v>412</x:v>
      </x:c>
    </x:row>
    <x:row r="139" ht="118.05000305175781" customHeight="1">
      <x:c r="A139" s="6" t="s">
        <x:v>1017</x:v>
      </x:c>
      <x:c r="B139" s="6" t="s">
        <x:v>409</x:v>
      </x:c>
      <x:c r="C139" s="6" t="s">
        <x:v>43</x:v>
      </x:c>
      <x:c r="D139" s="6" t="s">
        <x:v>410</x:v>
      </x:c>
      <x:c r="E139" s="6" t="s">
        <x:v>249</x:v>
      </x:c>
      <x:c r="F139" s="6" t="s">
        <x:v>411</x:v>
      </x:c>
      <x:c r="G139" s="6" t="s">
        <x:v>696</x:v>
      </x:c>
      <x:c r="H139" s="6" t="s">
        <x:v>698</x:v>
      </x:c>
      <x:c r="I139" s="6" t="s">
        <x:v>932</x:v>
      </x:c>
      <x:c r="J139" s="6" t="s">
        <x:v>933</x:v>
      </x:c>
      <x:c r="K139" s="6" t="s">
        <x:v>413</x:v>
      </x:c>
      <x:c r="L139" s="6" t="s">
        <x:v>356</x:v>
      </x:c>
      <x:c r="M139" s="6" t="s">
        <x:v>414</x:v>
      </x:c>
      <x:c r="N139" s="6" t="s">
        <x:v>415</x:v>
      </x:c>
      <x:c r="O139" s="6" t="s">
        <x:v>416</x:v>
      </x:c>
      <x:c r="P139" s="9"/>
      <x:c r="Q139" s="9"/>
      <x:c r="R139" s="9"/>
      <x:c r="S139" s="9"/>
      <x:c r="T139" s="9"/>
      <x:c r="U139" s="9"/>
      <x:c r="V139" s="9"/>
      <x:c r="W139" s="9"/>
      <x:c r="X139" s="12" t="str">
        <x:f t="shared" si="10"/>
      </x:c>
      <x:c r="Y139" s="12" t="str">
        <x:f t="shared" si="11"/>
      </x:c>
      <x:c r="Z139" s="9" t="s">
        <x:v>870</x:v>
      </x:c>
      <x:c r="AA139" s="9"/>
      <x:c r="AB139" s="9"/>
      <x:c r="AC139" s="9"/>
      <x:c r="AD139" s="9"/>
      <x:c r="AE139" s="9"/>
      <x:c r="AF139" s="9"/>
      <x:c r="AG139" s="9"/>
      <x:c r="AH139" s="9"/>
      <x:c r="AI139" s="9"/>
      <x:c r="AJ139" s="9"/>
      <x:c r="AK139" s="9"/>
      <x:c r="AL139" s="12" t="str">
        <x:f t="shared" si="12"/>
      </x:c>
      <x:c r="AM139" s="11" t="str">
        <x:f t="shared" si="13"/>
      </x:c>
      <x:c r="AN139" s="11" t="str">
        <x:f t="shared" si="14"/>
      </x:c>
      <x:c r="AO139" s="9"/>
      <x:c r="AP139" s="9"/>
      <x:c r="AQ139" s="27" t="s">
        <x:v>412</x:v>
      </x:c>
    </x:row>
    <x:row r="140" ht="118.05000305175781" customHeight="1">
      <x:c r="A140" s="6" t="s">
        <x:v>1018</x:v>
      </x:c>
      <x:c r="B140" s="6" t="s">
        <x:v>409</x:v>
      </x:c>
      <x:c r="C140" s="6" t="s">
        <x:v>43</x:v>
      </x:c>
      <x:c r="D140" s="6" t="s">
        <x:v>410</x:v>
      </x:c>
      <x:c r="E140" s="6" t="s">
        <x:v>249</x:v>
      </x:c>
      <x:c r="F140" s="6" t="s">
        <x:v>411</x:v>
      </x:c>
      <x:c r="G140" s="6" t="s">
        <x:v>715</x:v>
      </x:c>
      <x:c r="H140" s="6" t="s">
        <x:v>717</x:v>
      </x:c>
      <x:c r="I140" s="6" t="s">
        <x:v>910</x:v>
      </x:c>
      <x:c r="J140" s="6" t="s">
        <x:v>911</x:v>
      </x:c>
      <x:c r="K140" s="6" t="s">
        <x:v>413</x:v>
      </x:c>
      <x:c r="L140" s="6" t="s">
        <x:v>356</x:v>
      </x:c>
      <x:c r="M140" s="6" t="s">
        <x:v>414</x:v>
      </x:c>
      <x:c r="N140" s="6" t="s">
        <x:v>415</x:v>
      </x:c>
      <x:c r="O140" s="6" t="s">
        <x:v>416</x:v>
      </x:c>
      <x:c r="P140" s="9"/>
      <x:c r="Q140" s="9"/>
      <x:c r="R140" s="9"/>
      <x:c r="S140" s="9"/>
      <x:c r="T140" s="9"/>
      <x:c r="U140" s="9"/>
      <x:c r="V140" s="9"/>
      <x:c r="W140" s="9"/>
      <x:c r="X140" s="12" t="str">
        <x:f t="shared" si="10"/>
      </x:c>
      <x:c r="Y140" s="12" t="str">
        <x:f t="shared" si="11"/>
      </x:c>
      <x:c r="Z140" s="9" t="s">
        <x:v>870</x:v>
      </x:c>
      <x:c r="AA140" s="9"/>
      <x:c r="AB140" s="9"/>
      <x:c r="AC140" s="9"/>
      <x:c r="AD140" s="9"/>
      <x:c r="AE140" s="9"/>
      <x:c r="AF140" s="9"/>
      <x:c r="AG140" s="9"/>
      <x:c r="AH140" s="9"/>
      <x:c r="AI140" s="9"/>
      <x:c r="AJ140" s="9"/>
      <x:c r="AK140" s="9"/>
      <x:c r="AL140" s="12" t="str">
        <x:f t="shared" si="12"/>
      </x:c>
      <x:c r="AM140" s="11" t="str">
        <x:f t="shared" si="13"/>
      </x:c>
      <x:c r="AN140" s="11" t="str">
        <x:f t="shared" si="14"/>
      </x:c>
      <x:c r="AO140" s="9"/>
      <x:c r="AP140" s="9"/>
      <x:c r="AQ140" s="27" t="s">
        <x:v>412</x:v>
      </x:c>
    </x:row>
    <x:row r="141" ht="118.05000305175781" customHeight="1">
      <x:c r="A141" s="6" t="s">
        <x:v>1019</x:v>
      </x:c>
      <x:c r="B141" s="6" t="s">
        <x:v>409</x:v>
      </x:c>
      <x:c r="C141" s="6" t="s">
        <x:v>43</x:v>
      </x:c>
      <x:c r="D141" s="6" t="s">
        <x:v>410</x:v>
      </x:c>
      <x:c r="E141" s="6" t="s">
        <x:v>249</x:v>
      </x:c>
      <x:c r="F141" s="6" t="s">
        <x:v>411</x:v>
      </x:c>
      <x:c r="G141" s="6" t="s">
        <x:v>715</x:v>
      </x:c>
      <x:c r="H141" s="6" t="s">
        <x:v>717</x:v>
      </x:c>
      <x:c r="I141" s="6" t="s">
        <x:v>932</x:v>
      </x:c>
      <x:c r="J141" s="6" t="s">
        <x:v>933</x:v>
      </x:c>
      <x:c r="K141" s="6" t="s">
        <x:v>413</x:v>
      </x:c>
      <x:c r="L141" s="6" t="s">
        <x:v>356</x:v>
      </x:c>
      <x:c r="M141" s="6" t="s">
        <x:v>414</x:v>
      </x:c>
      <x:c r="N141" s="6" t="s">
        <x:v>415</x:v>
      </x:c>
      <x:c r="O141" s="6" t="s">
        <x:v>416</x:v>
      </x:c>
      <x:c r="P141" s="9"/>
      <x:c r="Q141" s="9"/>
      <x:c r="R141" s="9"/>
      <x:c r="S141" s="9"/>
      <x:c r="T141" s="9"/>
      <x:c r="U141" s="9"/>
      <x:c r="V141" s="9"/>
      <x:c r="W141" s="9"/>
      <x:c r="X141" s="12" t="str">
        <x:f t="shared" si="10"/>
      </x:c>
      <x:c r="Y141" s="12" t="str">
        <x:f t="shared" si="11"/>
      </x:c>
      <x:c r="Z141" s="9" t="s">
        <x:v>870</x:v>
      </x:c>
      <x:c r="AA141" s="9"/>
      <x:c r="AB141" s="9"/>
      <x:c r="AC141" s="9"/>
      <x:c r="AD141" s="9"/>
      <x:c r="AE141" s="9"/>
      <x:c r="AF141" s="9"/>
      <x:c r="AG141" s="9"/>
      <x:c r="AH141" s="9"/>
      <x:c r="AI141" s="9"/>
      <x:c r="AJ141" s="9"/>
      <x:c r="AK141" s="9"/>
      <x:c r="AL141" s="12" t="str">
        <x:f t="shared" si="12"/>
      </x:c>
      <x:c r="AM141" s="11" t="str">
        <x:f t="shared" si="13"/>
      </x:c>
      <x:c r="AN141" s="11" t="str">
        <x:f t="shared" si="14"/>
      </x:c>
      <x:c r="AO141" s="9"/>
      <x:c r="AP141" s="9"/>
      <x:c r="AQ141" s="27" t="s">
        <x:v>412</x:v>
      </x:c>
    </x:row>
    <x:row r="142" ht="118.05000305175781" customHeight="1">
      <x:c r="A142" s="6" t="s">
        <x:v>1020</x:v>
      </x:c>
      <x:c r="B142" s="6" t="s">
        <x:v>409</x:v>
      </x:c>
      <x:c r="C142" s="6" t="s">
        <x:v>43</x:v>
      </x:c>
      <x:c r="D142" s="6" t="s">
        <x:v>410</x:v>
      </x:c>
      <x:c r="E142" s="6" t="s">
        <x:v>249</x:v>
      </x:c>
      <x:c r="F142" s="6" t="s">
        <x:v>411</x:v>
      </x:c>
      <x:c r="G142" s="6" t="s">
        <x:v>724</x:v>
      </x:c>
      <x:c r="H142" s="6" t="s">
        <x:v>726</x:v>
      </x:c>
      <x:c r="I142" s="6" t="s">
        <x:v>910</x:v>
      </x:c>
      <x:c r="J142" s="6" t="s">
        <x:v>911</x:v>
      </x:c>
      <x:c r="K142" s="6" t="s">
        <x:v>413</x:v>
      </x:c>
      <x:c r="L142" s="6" t="s">
        <x:v>356</x:v>
      </x:c>
      <x:c r="M142" s="6" t="s">
        <x:v>414</x:v>
      </x:c>
      <x:c r="N142" s="6" t="s">
        <x:v>415</x:v>
      </x:c>
      <x:c r="O142" s="6" t="s">
        <x:v>416</x:v>
      </x:c>
      <x:c r="P142" s="9"/>
      <x:c r="Q142" s="9"/>
      <x:c r="R142" s="9"/>
      <x:c r="S142" s="9"/>
      <x:c r="T142" s="9"/>
      <x:c r="U142" s="9"/>
      <x:c r="V142" s="9"/>
      <x:c r="W142" s="9"/>
      <x:c r="X142" s="12" t="str">
        <x:f t="shared" si="10"/>
      </x:c>
      <x:c r="Y142" s="12" t="str">
        <x:f t="shared" si="11"/>
      </x:c>
      <x:c r="Z142" s="9" t="s">
        <x:v>870</x:v>
      </x:c>
      <x:c r="AA142" s="9"/>
      <x:c r="AB142" s="9"/>
      <x:c r="AC142" s="9"/>
      <x:c r="AD142" s="9"/>
      <x:c r="AE142" s="9"/>
      <x:c r="AF142" s="9"/>
      <x:c r="AG142" s="9"/>
      <x:c r="AH142" s="9"/>
      <x:c r="AI142" s="9"/>
      <x:c r="AJ142" s="9"/>
      <x:c r="AK142" s="9"/>
      <x:c r="AL142" s="12" t="str">
        <x:f t="shared" si="12"/>
      </x:c>
      <x:c r="AM142" s="11" t="str">
        <x:f t="shared" si="13"/>
      </x:c>
      <x:c r="AN142" s="11" t="str">
        <x:f t="shared" si="14"/>
      </x:c>
      <x:c r="AO142" s="9"/>
      <x:c r="AP142" s="9"/>
      <x:c r="AQ142" s="27" t="s">
        <x:v>412</x:v>
      </x:c>
    </x:row>
    <x:row r="143" ht="118.05000305175781" customHeight="1">
      <x:c r="A143" s="6" t="s">
        <x:v>1021</x:v>
      </x:c>
      <x:c r="B143" s="6" t="s">
        <x:v>409</x:v>
      </x:c>
      <x:c r="C143" s="6" t="s">
        <x:v>43</x:v>
      </x:c>
      <x:c r="D143" s="6" t="s">
        <x:v>410</x:v>
      </x:c>
      <x:c r="E143" s="6" t="s">
        <x:v>249</x:v>
      </x:c>
      <x:c r="F143" s="6" t="s">
        <x:v>411</x:v>
      </x:c>
      <x:c r="G143" s="6" t="s">
        <x:v>724</x:v>
      </x:c>
      <x:c r="H143" s="6" t="s">
        <x:v>726</x:v>
      </x:c>
      <x:c r="I143" s="6" t="s">
        <x:v>932</x:v>
      </x:c>
      <x:c r="J143" s="6" t="s">
        <x:v>933</x:v>
      </x:c>
      <x:c r="K143" s="6" t="s">
        <x:v>413</x:v>
      </x:c>
      <x:c r="L143" s="6" t="s">
        <x:v>356</x:v>
      </x:c>
      <x:c r="M143" s="6" t="s">
        <x:v>414</x:v>
      </x:c>
      <x:c r="N143" s="6" t="s">
        <x:v>415</x:v>
      </x:c>
      <x:c r="O143" s="6" t="s">
        <x:v>416</x:v>
      </x:c>
      <x:c r="P143" s="9"/>
      <x:c r="Q143" s="9"/>
      <x:c r="R143" s="9"/>
      <x:c r="S143" s="9"/>
      <x:c r="T143" s="9"/>
      <x:c r="U143" s="9"/>
      <x:c r="V143" s="9"/>
      <x:c r="W143" s="9"/>
      <x:c r="X143" s="12" t="str">
        <x:f t="shared" si="10"/>
      </x:c>
      <x:c r="Y143" s="12" t="str">
        <x:f t="shared" si="11"/>
      </x:c>
      <x:c r="Z143" s="9" t="s">
        <x:v>870</x:v>
      </x:c>
      <x:c r="AA143" s="9"/>
      <x:c r="AB143" s="9"/>
      <x:c r="AC143" s="9"/>
      <x:c r="AD143" s="9"/>
      <x:c r="AE143" s="9"/>
      <x:c r="AF143" s="9"/>
      <x:c r="AG143" s="9"/>
      <x:c r="AH143" s="9"/>
      <x:c r="AI143" s="9"/>
      <x:c r="AJ143" s="9"/>
      <x:c r="AK143" s="9"/>
      <x:c r="AL143" s="12" t="str">
        <x:f t="shared" si="12"/>
      </x:c>
      <x:c r="AM143" s="11" t="str">
        <x:f t="shared" si="13"/>
      </x:c>
      <x:c r="AN143" s="11" t="str">
        <x:f t="shared" si="14"/>
      </x:c>
      <x:c r="AO143" s="9"/>
      <x:c r="AP143" s="9"/>
      <x:c r="AQ143" s="27" t="s">
        <x:v>412</x:v>
      </x:c>
    </x:row>
    <x:row r="144" ht="118.05000305175781" customHeight="1">
      <x:c r="A144" s="6" t="s">
        <x:v>1022</x:v>
      </x:c>
      <x:c r="B144" s="6" t="s">
        <x:v>417</x:v>
      </x:c>
      <x:c r="C144" s="6" t="s">
        <x:v>43</x:v>
      </x:c>
      <x:c r="D144" s="6" t="s">
        <x:v>418</x:v>
      </x:c>
      <x:c r="E144" s="6" t="s">
        <x:v>249</x:v>
      </x:c>
      <x:c r="F144" s="6" t="s">
        <x:v>419</x:v>
      </x:c>
      <x:c r="G144" s="6" t="s">
        <x:v>696</x:v>
      </x:c>
      <x:c r="H144" s="6" t="s">
        <x:v>698</x:v>
      </x:c>
      <x:c r="I144" s="6" t="s">
        <x:v>910</x:v>
      </x:c>
      <x:c r="J144" s="6" t="s">
        <x:v>911</x:v>
      </x:c>
      <x:c r="K144" s="6" t="s">
        <x:v>421</x:v>
      </x:c>
      <x:c r="L144" s="6" t="s">
        <x:v>356</x:v>
      </x:c>
      <x:c r="M144" s="6" t="s">
        <x:v>422</x:v>
      </x:c>
      <x:c r="N144" s="6" t="s">
        <x:v>423</x:v>
      </x:c>
      <x:c r="O144" s="6" t="s">
        <x:v>230</x:v>
      </x:c>
      <x:c r="P144" s="9"/>
      <x:c r="Q144" s="9"/>
      <x:c r="R144" s="9"/>
      <x:c r="S144" s="9"/>
      <x:c r="T144" s="9"/>
      <x:c r="U144" s="9"/>
      <x:c r="V144" s="9"/>
      <x:c r="W144" s="9"/>
      <x:c r="X144" s="12" t="str">
        <x:f t="shared" si="10"/>
      </x:c>
      <x:c r="Y144" s="12" t="str">
        <x:f t="shared" si="11"/>
      </x:c>
      <x:c r="Z144" s="9" t="s">
        <x:v>870</x:v>
      </x:c>
      <x:c r="AA144" s="9"/>
      <x:c r="AB144" s="9"/>
      <x:c r="AC144" s="9"/>
      <x:c r="AD144" s="9"/>
      <x:c r="AE144" s="9"/>
      <x:c r="AF144" s="9"/>
      <x:c r="AG144" s="9"/>
      <x:c r="AH144" s="9"/>
      <x:c r="AI144" s="9"/>
      <x:c r="AJ144" s="9"/>
      <x:c r="AK144" s="9"/>
      <x:c r="AL144" s="12" t="str">
        <x:f t="shared" si="12"/>
      </x:c>
      <x:c r="AM144" s="11" t="str">
        <x:f t="shared" si="13"/>
      </x:c>
      <x:c r="AN144" s="11" t="str">
        <x:f t="shared" si="14"/>
      </x:c>
      <x:c r="AO144" s="9"/>
      <x:c r="AP144" s="9"/>
      <x:c r="AQ144" s="27" t="s">
        <x:v>420</x:v>
      </x:c>
    </x:row>
    <x:row r="145" ht="118.05000305175781" customHeight="1">
      <x:c r="A145" s="6" t="s">
        <x:v>1023</x:v>
      </x:c>
      <x:c r="B145" s="6" t="s">
        <x:v>417</x:v>
      </x:c>
      <x:c r="C145" s="6" t="s">
        <x:v>43</x:v>
      </x:c>
      <x:c r="D145" s="6" t="s">
        <x:v>418</x:v>
      </x:c>
      <x:c r="E145" s="6" t="s">
        <x:v>249</x:v>
      </x:c>
      <x:c r="F145" s="6" t="s">
        <x:v>419</x:v>
      </x:c>
      <x:c r="G145" s="6" t="s">
        <x:v>696</x:v>
      </x:c>
      <x:c r="H145" s="6" t="s">
        <x:v>698</x:v>
      </x:c>
      <x:c r="I145" s="6" t="s">
        <x:v>975</x:v>
      </x:c>
      <x:c r="J145" s="6" t="s">
        <x:v>976</x:v>
      </x:c>
      <x:c r="K145" s="6" t="s">
        <x:v>421</x:v>
      </x:c>
      <x:c r="L145" s="6" t="s">
        <x:v>356</x:v>
      </x:c>
      <x:c r="M145" s="6" t="s">
        <x:v>422</x:v>
      </x:c>
      <x:c r="N145" s="6" t="s">
        <x:v>423</x:v>
      </x:c>
      <x:c r="O145" s="6" t="s">
        <x:v>230</x:v>
      </x:c>
      <x:c r="P145" s="9"/>
      <x:c r="Q145" s="9"/>
      <x:c r="R145" s="9"/>
      <x:c r="S145" s="9"/>
      <x:c r="T145" s="9"/>
      <x:c r="U145" s="9"/>
      <x:c r="V145" s="9"/>
      <x:c r="W145" s="9"/>
      <x:c r="X145" s="12" t="str">
        <x:f t="shared" si="10"/>
      </x:c>
      <x:c r="Y145" s="12" t="str">
        <x:f t="shared" si="11"/>
      </x:c>
      <x:c r="Z145" s="9" t="s">
        <x:v>870</x:v>
      </x:c>
      <x:c r="AA145" s="9"/>
      <x:c r="AB145" s="9"/>
      <x:c r="AC145" s="9"/>
      <x:c r="AD145" s="9"/>
      <x:c r="AE145" s="9"/>
      <x:c r="AF145" s="9"/>
      <x:c r="AG145" s="9"/>
      <x:c r="AH145" s="9"/>
      <x:c r="AI145" s="9"/>
      <x:c r="AJ145" s="9"/>
      <x:c r="AK145" s="9"/>
      <x:c r="AL145" s="12" t="str">
        <x:f t="shared" si="12"/>
      </x:c>
      <x:c r="AM145" s="11" t="str">
        <x:f t="shared" si="13"/>
      </x:c>
      <x:c r="AN145" s="11" t="str">
        <x:f t="shared" si="14"/>
      </x:c>
      <x:c r="AO145" s="9"/>
      <x:c r="AP145" s="9"/>
      <x:c r="AQ145" s="27" t="s">
        <x:v>420</x:v>
      </x:c>
    </x:row>
    <x:row r="146" ht="118.05000305175781" customHeight="1">
      <x:c r="A146" s="6" t="s">
        <x:v>1024</x:v>
      </x:c>
      <x:c r="B146" s="6" t="s">
        <x:v>417</x:v>
      </x:c>
      <x:c r="C146" s="6" t="s">
        <x:v>43</x:v>
      </x:c>
      <x:c r="D146" s="6" t="s">
        <x:v>418</x:v>
      </x:c>
      <x:c r="E146" s="6" t="s">
        <x:v>249</x:v>
      </x:c>
      <x:c r="F146" s="6" t="s">
        <x:v>419</x:v>
      </x:c>
      <x:c r="G146" s="6" t="s">
        <x:v>715</x:v>
      </x:c>
      <x:c r="H146" s="6" t="s">
        <x:v>717</x:v>
      </x:c>
      <x:c r="I146" s="6" t="s">
        <x:v>910</x:v>
      </x:c>
      <x:c r="J146" s="6" t="s">
        <x:v>911</x:v>
      </x:c>
      <x:c r="K146" s="6" t="s">
        <x:v>421</x:v>
      </x:c>
      <x:c r="L146" s="6" t="s">
        <x:v>356</x:v>
      </x:c>
      <x:c r="M146" s="6" t="s">
        <x:v>422</x:v>
      </x:c>
      <x:c r="N146" s="6" t="s">
        <x:v>423</x:v>
      </x:c>
      <x:c r="O146" s="6" t="s">
        <x:v>230</x:v>
      </x:c>
      <x:c r="P146" s="9"/>
      <x:c r="Q146" s="9"/>
      <x:c r="R146" s="9"/>
      <x:c r="S146" s="9"/>
      <x:c r="T146" s="9"/>
      <x:c r="U146" s="9"/>
      <x:c r="V146" s="9"/>
      <x:c r="W146" s="9"/>
      <x:c r="X146" s="12" t="str">
        <x:f t="shared" si="10"/>
      </x:c>
      <x:c r="Y146" s="12" t="str">
        <x:f t="shared" si="11"/>
      </x:c>
      <x:c r="Z146" s="9" t="s">
        <x:v>870</x:v>
      </x:c>
      <x:c r="AA146" s="9"/>
      <x:c r="AB146" s="9"/>
      <x:c r="AC146" s="9"/>
      <x:c r="AD146" s="9"/>
      <x:c r="AE146" s="9"/>
      <x:c r="AF146" s="9"/>
      <x:c r="AG146" s="9"/>
      <x:c r="AH146" s="9"/>
      <x:c r="AI146" s="9"/>
      <x:c r="AJ146" s="9"/>
      <x:c r="AK146" s="9"/>
      <x:c r="AL146" s="12" t="str">
        <x:f t="shared" si="12"/>
      </x:c>
      <x:c r="AM146" s="11" t="str">
        <x:f t="shared" si="13"/>
      </x:c>
      <x:c r="AN146" s="11" t="str">
        <x:f t="shared" si="14"/>
      </x:c>
      <x:c r="AO146" s="9"/>
      <x:c r="AP146" s="9"/>
      <x:c r="AQ146" s="27" t="s">
        <x:v>420</x:v>
      </x:c>
    </x:row>
    <x:row r="147" ht="118.05000305175781" customHeight="1">
      <x:c r="A147" s="6" t="s">
        <x:v>1025</x:v>
      </x:c>
      <x:c r="B147" s="6" t="s">
        <x:v>417</x:v>
      </x:c>
      <x:c r="C147" s="6" t="s">
        <x:v>43</x:v>
      </x:c>
      <x:c r="D147" s="6" t="s">
        <x:v>418</x:v>
      </x:c>
      <x:c r="E147" s="6" t="s">
        <x:v>249</x:v>
      </x:c>
      <x:c r="F147" s="6" t="s">
        <x:v>419</x:v>
      </x:c>
      <x:c r="G147" s="6" t="s">
        <x:v>715</x:v>
      </x:c>
      <x:c r="H147" s="6" t="s">
        <x:v>717</x:v>
      </x:c>
      <x:c r="I147" s="6" t="s">
        <x:v>975</x:v>
      </x:c>
      <x:c r="J147" s="6" t="s">
        <x:v>976</x:v>
      </x:c>
      <x:c r="K147" s="6" t="s">
        <x:v>421</x:v>
      </x:c>
      <x:c r="L147" s="6" t="s">
        <x:v>356</x:v>
      </x:c>
      <x:c r="M147" s="6" t="s">
        <x:v>422</x:v>
      </x:c>
      <x:c r="N147" s="6" t="s">
        <x:v>423</x:v>
      </x:c>
      <x:c r="O147" s="6" t="s">
        <x:v>230</x:v>
      </x:c>
      <x:c r="P147" s="9"/>
      <x:c r="Q147" s="9"/>
      <x:c r="R147" s="9"/>
      <x:c r="S147" s="9"/>
      <x:c r="T147" s="9"/>
      <x:c r="U147" s="9"/>
      <x:c r="V147" s="9"/>
      <x:c r="W147" s="9"/>
      <x:c r="X147" s="12" t="str">
        <x:f t="shared" si="10"/>
      </x:c>
      <x:c r="Y147" s="12" t="str">
        <x:f t="shared" si="11"/>
      </x:c>
      <x:c r="Z147" s="9" t="s">
        <x:v>870</x:v>
      </x:c>
      <x:c r="AA147" s="9"/>
      <x:c r="AB147" s="9"/>
      <x:c r="AC147" s="9"/>
      <x:c r="AD147" s="9"/>
      <x:c r="AE147" s="9"/>
      <x:c r="AF147" s="9"/>
      <x:c r="AG147" s="9"/>
      <x:c r="AH147" s="9"/>
      <x:c r="AI147" s="9"/>
      <x:c r="AJ147" s="9"/>
      <x:c r="AK147" s="9"/>
      <x:c r="AL147" s="12" t="str">
        <x:f t="shared" si="12"/>
      </x:c>
      <x:c r="AM147" s="11" t="str">
        <x:f t="shared" si="13"/>
      </x:c>
      <x:c r="AN147" s="11" t="str">
        <x:f t="shared" si="14"/>
      </x:c>
      <x:c r="AO147" s="9"/>
      <x:c r="AP147" s="9"/>
      <x:c r="AQ147" s="27" t="s">
        <x:v>420</x:v>
      </x:c>
    </x:row>
    <x:row r="148" ht="118.05000305175781" customHeight="1">
      <x:c r="A148" s="6" t="s">
        <x:v>1026</x:v>
      </x:c>
      <x:c r="B148" s="6" t="s">
        <x:v>417</x:v>
      </x:c>
      <x:c r="C148" s="6" t="s">
        <x:v>43</x:v>
      </x:c>
      <x:c r="D148" s="6" t="s">
        <x:v>418</x:v>
      </x:c>
      <x:c r="E148" s="6" t="s">
        <x:v>249</x:v>
      </x:c>
      <x:c r="F148" s="6" t="s">
        <x:v>419</x:v>
      </x:c>
      <x:c r="G148" s="6" t="s">
        <x:v>724</x:v>
      </x:c>
      <x:c r="H148" s="6" t="s">
        <x:v>726</x:v>
      </x:c>
      <x:c r="I148" s="6" t="s">
        <x:v>910</x:v>
      </x:c>
      <x:c r="J148" s="6" t="s">
        <x:v>911</x:v>
      </x:c>
      <x:c r="K148" s="6" t="s">
        <x:v>421</x:v>
      </x:c>
      <x:c r="L148" s="6" t="s">
        <x:v>356</x:v>
      </x:c>
      <x:c r="M148" s="6" t="s">
        <x:v>422</x:v>
      </x:c>
      <x:c r="N148" s="6" t="s">
        <x:v>423</x:v>
      </x:c>
      <x:c r="O148" s="6" t="s">
        <x:v>230</x:v>
      </x:c>
      <x:c r="P148" s="9"/>
      <x:c r="Q148" s="9"/>
      <x:c r="R148" s="9"/>
      <x:c r="S148" s="9"/>
      <x:c r="T148" s="9"/>
      <x:c r="U148" s="9"/>
      <x:c r="V148" s="9"/>
      <x:c r="W148" s="9"/>
      <x:c r="X148" s="12" t="str">
        <x:f t="shared" si="10"/>
      </x:c>
      <x:c r="Y148" s="12" t="str">
        <x:f t="shared" si="11"/>
      </x:c>
      <x:c r="Z148" s="9" t="s">
        <x:v>870</x:v>
      </x:c>
      <x:c r="AA148" s="9"/>
      <x:c r="AB148" s="9"/>
      <x:c r="AC148" s="9"/>
      <x:c r="AD148" s="9"/>
      <x:c r="AE148" s="9"/>
      <x:c r="AF148" s="9"/>
      <x:c r="AG148" s="9"/>
      <x:c r="AH148" s="9"/>
      <x:c r="AI148" s="9"/>
      <x:c r="AJ148" s="9"/>
      <x:c r="AK148" s="9"/>
      <x:c r="AL148" s="12" t="str">
        <x:f t="shared" si="12"/>
      </x:c>
      <x:c r="AM148" s="11" t="str">
        <x:f t="shared" si="13"/>
      </x:c>
      <x:c r="AN148" s="11" t="str">
        <x:f t="shared" si="14"/>
      </x:c>
      <x:c r="AO148" s="9"/>
      <x:c r="AP148" s="9"/>
      <x:c r="AQ148" s="27" t="s">
        <x:v>420</x:v>
      </x:c>
    </x:row>
    <x:row r="149" ht="118.05000305175781" customHeight="1">
      <x:c r="A149" s="6" t="s">
        <x:v>1027</x:v>
      </x:c>
      <x:c r="B149" s="6" t="s">
        <x:v>417</x:v>
      </x:c>
      <x:c r="C149" s="6" t="s">
        <x:v>43</x:v>
      </x:c>
      <x:c r="D149" s="6" t="s">
        <x:v>418</x:v>
      </x:c>
      <x:c r="E149" s="6" t="s">
        <x:v>249</x:v>
      </x:c>
      <x:c r="F149" s="6" t="s">
        <x:v>419</x:v>
      </x:c>
      <x:c r="G149" s="6" t="s">
        <x:v>724</x:v>
      </x:c>
      <x:c r="H149" s="6" t="s">
        <x:v>726</x:v>
      </x:c>
      <x:c r="I149" s="6" t="s">
        <x:v>975</x:v>
      </x:c>
      <x:c r="J149" s="6" t="s">
        <x:v>976</x:v>
      </x:c>
      <x:c r="K149" s="6" t="s">
        <x:v>421</x:v>
      </x:c>
      <x:c r="L149" s="6" t="s">
        <x:v>356</x:v>
      </x:c>
      <x:c r="M149" s="6" t="s">
        <x:v>422</x:v>
      </x:c>
      <x:c r="N149" s="6" t="s">
        <x:v>423</x:v>
      </x:c>
      <x:c r="O149" s="6" t="s">
        <x:v>230</x:v>
      </x:c>
      <x:c r="P149" s="9"/>
      <x:c r="Q149" s="9"/>
      <x:c r="R149" s="9"/>
      <x:c r="S149" s="9"/>
      <x:c r="T149" s="9"/>
      <x:c r="U149" s="9"/>
      <x:c r="V149" s="9"/>
      <x:c r="W149" s="9"/>
      <x:c r="X149" s="12" t="str">
        <x:f t="shared" si="10"/>
      </x:c>
      <x:c r="Y149" s="12" t="str">
        <x:f t="shared" si="11"/>
      </x:c>
      <x:c r="Z149" s="9" t="s">
        <x:v>870</x:v>
      </x:c>
      <x:c r="AA149" s="9"/>
      <x:c r="AB149" s="9"/>
      <x:c r="AC149" s="9"/>
      <x:c r="AD149" s="9"/>
      <x:c r="AE149" s="9"/>
      <x:c r="AF149" s="9"/>
      <x:c r="AG149" s="9"/>
      <x:c r="AH149" s="9"/>
      <x:c r="AI149" s="9"/>
      <x:c r="AJ149" s="9"/>
      <x:c r="AK149" s="9"/>
      <x:c r="AL149" s="12" t="str">
        <x:f t="shared" si="12"/>
      </x:c>
      <x:c r="AM149" s="11" t="str">
        <x:f t="shared" si="13"/>
      </x:c>
      <x:c r="AN149" s="11" t="str">
        <x:f t="shared" si="14"/>
      </x:c>
      <x:c r="AO149" s="9"/>
      <x:c r="AP149" s="9"/>
      <x:c r="AQ149" s="27" t="s">
        <x:v>420</x:v>
      </x:c>
    </x:row>
    <x:row r="150" ht="118.05000305175781" customHeight="1">
      <x:c r="A150" s="6" t="s">
        <x:v>1028</x:v>
      </x:c>
      <x:c r="B150" s="6" t="s">
        <x:v>424</x:v>
      </x:c>
      <x:c r="C150" s="6" t="s">
        <x:v>43</x:v>
      </x:c>
      <x:c r="D150" s="6" t="s">
        <x:v>425</x:v>
      </x:c>
      <x:c r="E150" s="6" t="s">
        <x:v>268</x:v>
      </x:c>
      <x:c r="F150" s="6" t="s">
        <x:v>426</x:v>
      </x:c>
      <x:c r="G150" s="6" t="s">
        <x:v>271</x:v>
      </x:c>
      <x:c r="H150" s="6" t="s">
        <x:v>721</x:v>
      </x:c>
      <x:c r="I150" s="6" t="s">
        <x:v>910</x:v>
      </x:c>
      <x:c r="J150" s="6" t="s">
        <x:v>911</x:v>
      </x:c>
      <x:c r="K150" s="6" t="s">
        <x:v>428</x:v>
      </x:c>
      <x:c r="L150" s="6" t="s">
        <x:v>356</x:v>
      </x:c>
      <x:c r="M150" s="6" t="s">
        <x:v>429</x:v>
      </x:c>
      <x:c r="N150" s="6" t="s">
        <x:v>430</x:v>
      </x:c>
      <x:c r="O150" s="6" t="s">
        <x:v>431</x:v>
      </x:c>
      <x:c r="P150" s="9"/>
      <x:c r="Q150" s="9"/>
      <x:c r="R150" s="9"/>
      <x:c r="S150" s="9"/>
      <x:c r="T150" s="9"/>
      <x:c r="U150" s="9"/>
      <x:c r="V150" s="9"/>
      <x:c r="W150" s="9"/>
      <x:c r="X150" s="12" t="str">
        <x:f t="shared" si="10"/>
      </x:c>
      <x:c r="Y150" s="12" t="str">
        <x:f t="shared" si="11"/>
      </x:c>
      <x:c r="Z150" s="9" t="s">
        <x:v>870</x:v>
      </x:c>
      <x:c r="AA150" s="9"/>
      <x:c r="AB150" s="9"/>
      <x:c r="AC150" s="9"/>
      <x:c r="AD150" s="9"/>
      <x:c r="AE150" s="9"/>
      <x:c r="AF150" s="9"/>
      <x:c r="AG150" s="9"/>
      <x:c r="AH150" s="9"/>
      <x:c r="AI150" s="9"/>
      <x:c r="AJ150" s="9"/>
      <x:c r="AK150" s="9"/>
      <x:c r="AL150" s="12" t="str">
        <x:f t="shared" si="12"/>
      </x:c>
      <x:c r="AM150" s="11" t="str">
        <x:f t="shared" si="13"/>
      </x:c>
      <x:c r="AN150" s="11" t="str">
        <x:f t="shared" si="14"/>
      </x:c>
      <x:c r="AO150" s="9"/>
      <x:c r="AP150" s="9"/>
      <x:c r="AQ150" s="27" t="s">
        <x:v>427</x:v>
      </x:c>
    </x:row>
    <x:row r="151" ht="118.05000305175781" customHeight="1">
      <x:c r="A151" s="6" t="s">
        <x:v>1029</x:v>
      </x:c>
      <x:c r="B151" s="6" t="s">
        <x:v>424</x:v>
      </x:c>
      <x:c r="C151" s="6" t="s">
        <x:v>43</x:v>
      </x:c>
      <x:c r="D151" s="6" t="s">
        <x:v>425</x:v>
      </x:c>
      <x:c r="E151" s="6" t="s">
        <x:v>268</x:v>
      </x:c>
      <x:c r="F151" s="6" t="s">
        <x:v>426</x:v>
      </x:c>
      <x:c r="G151" s="6" t="s">
        <x:v>271</x:v>
      </x:c>
      <x:c r="H151" s="6" t="s">
        <x:v>721</x:v>
      </x:c>
      <x:c r="I151" s="6" t="s">
        <x:v>932</x:v>
      </x:c>
      <x:c r="J151" s="6" t="s">
        <x:v>933</x:v>
      </x:c>
      <x:c r="K151" s="6" t="s">
        <x:v>428</x:v>
      </x:c>
      <x:c r="L151" s="6" t="s">
        <x:v>356</x:v>
      </x:c>
      <x:c r="M151" s="6" t="s">
        <x:v>429</x:v>
      </x:c>
      <x:c r="N151" s="6" t="s">
        <x:v>430</x:v>
      </x:c>
      <x:c r="O151" s="6" t="s">
        <x:v>431</x:v>
      </x:c>
      <x:c r="P151" s="9"/>
      <x:c r="Q151" s="9"/>
      <x:c r="R151" s="9"/>
      <x:c r="S151" s="9"/>
      <x:c r="T151" s="9"/>
      <x:c r="U151" s="9"/>
      <x:c r="V151" s="9"/>
      <x:c r="W151" s="9"/>
      <x:c r="X151" s="12" t="str">
        <x:f t="shared" si="10"/>
      </x:c>
      <x:c r="Y151" s="12" t="str">
        <x:f t="shared" si="11"/>
      </x:c>
      <x:c r="Z151" s="9" t="s">
        <x:v>870</x:v>
      </x:c>
      <x:c r="AA151" s="9"/>
      <x:c r="AB151" s="9"/>
      <x:c r="AC151" s="9"/>
      <x:c r="AD151" s="9"/>
      <x:c r="AE151" s="9"/>
      <x:c r="AF151" s="9"/>
      <x:c r="AG151" s="9"/>
      <x:c r="AH151" s="9"/>
      <x:c r="AI151" s="9"/>
      <x:c r="AJ151" s="9"/>
      <x:c r="AK151" s="9"/>
      <x:c r="AL151" s="12" t="str">
        <x:f t="shared" si="12"/>
      </x:c>
      <x:c r="AM151" s="11" t="str">
        <x:f t="shared" si="13"/>
      </x:c>
      <x:c r="AN151" s="11" t="str">
        <x:f t="shared" si="14"/>
      </x:c>
      <x:c r="AO151" s="9"/>
      <x:c r="AP151" s="9"/>
      <x:c r="AQ151" s="27" t="s">
        <x:v>427</x:v>
      </x:c>
    </x:row>
    <x:row r="152" ht="118.05000305175781" customHeight="1">
      <x:c r="A152" s="6" t="s">
        <x:v>1030</x:v>
      </x:c>
      <x:c r="B152" s="6" t="s">
        <x:v>432</x:v>
      </x:c>
      <x:c r="C152" s="6" t="s">
        <x:v>50</x:v>
      </x:c>
      <x:c r="D152" s="6" t="s">
        <x:v>433</x:v>
      </x:c>
      <x:c r="E152" s="6" t="s">
        <x:v>192</x:v>
      </x:c>
      <x:c r="F152" s="6" t="s">
        <x:v>434</x:v>
      </x:c>
      <x:c r="G152" s="6" t="s">
        <x:v>696</x:v>
      </x:c>
      <x:c r="H152" s="6" t="s">
        <x:v>698</x:v>
      </x:c>
      <x:c r="I152" s="6" t="s">
        <x:v>1031</x:v>
      </x:c>
      <x:c r="J152" s="6" t="s">
        <x:v>1032</x:v>
      </x:c>
      <x:c r="K152" s="6" t="s">
        <x:v>437</x:v>
      </x:c>
      <x:c r="L152" s="6" t="s">
        <x:v>438</x:v>
      </x:c>
      <x:c r="M152" s="6" t="s">
        <x:v>439</x:v>
      </x:c>
      <x:c r="N152" s="6" t="s">
        <x:v>440</x:v>
      </x:c>
      <x:c r="O152" s="6" t="s">
        <x:v>441</x:v>
      </x:c>
      <x:c r="P152" s="9"/>
      <x:c r="Q152" s="9"/>
      <x:c r="R152" s="9"/>
      <x:c r="S152" s="9"/>
      <x:c r="T152" s="9"/>
      <x:c r="U152" s="9"/>
      <x:c r="V152" s="9"/>
      <x:c r="W152" s="9"/>
      <x:c r="X152" s="12" t="str">
        <x:f t="shared" si="10"/>
      </x:c>
      <x:c r="Y152" s="12" t="str">
        <x:f t="shared" si="11"/>
      </x:c>
      <x:c r="Z152" s="9" t="s">
        <x:v>870</x:v>
      </x:c>
      <x:c r="AA152" s="9"/>
      <x:c r="AB152" s="9"/>
      <x:c r="AC152" s="9"/>
      <x:c r="AD152" s="9"/>
      <x:c r="AE152" s="9"/>
      <x:c r="AF152" s="9"/>
      <x:c r="AG152" s="9"/>
      <x:c r="AH152" s="9"/>
      <x:c r="AI152" s="9"/>
      <x:c r="AJ152" s="9"/>
      <x:c r="AK152" s="9"/>
      <x:c r="AL152" s="12" t="str">
        <x:f t="shared" si="12"/>
      </x:c>
      <x:c r="AM152" s="11" t="str">
        <x:f t="shared" si="13"/>
      </x:c>
      <x:c r="AN152" s="11" t="str">
        <x:f t="shared" si="14"/>
      </x:c>
      <x:c r="AO152" s="9"/>
      <x:c r="AP152" s="9"/>
      <x:c r="AQ152" s="27" t="s">
        <x:v>435</x:v>
      </x:c>
    </x:row>
    <x:row r="153" ht="118.05000305175781" customHeight="1">
      <x:c r="A153" s="6" t="s">
        <x:v>1033</x:v>
      </x:c>
      <x:c r="B153" s="6" t="s">
        <x:v>432</x:v>
      </x:c>
      <x:c r="C153" s="6" t="s">
        <x:v>50</x:v>
      </x:c>
      <x:c r="D153" s="6" t="s">
        <x:v>433</x:v>
      </x:c>
      <x:c r="E153" s="6" t="s">
        <x:v>192</x:v>
      </x:c>
      <x:c r="F153" s="6" t="s">
        <x:v>434</x:v>
      </x:c>
      <x:c r="G153" s="6" t="s">
        <x:v>696</x:v>
      </x:c>
      <x:c r="H153" s="6" t="s">
        <x:v>698</x:v>
      </x:c>
      <x:c r="I153" s="6" t="s">
        <x:v>1034</x:v>
      </x:c>
      <x:c r="J153" s="6" t="s">
        <x:v>1035</x:v>
      </x:c>
      <x:c r="K153" s="6" t="s">
        <x:v>437</x:v>
      </x:c>
      <x:c r="L153" s="6" t="s">
        <x:v>438</x:v>
      </x:c>
      <x:c r="M153" s="6" t="s">
        <x:v>439</x:v>
      </x:c>
      <x:c r="N153" s="6" t="s">
        <x:v>440</x:v>
      </x:c>
      <x:c r="O153" s="6" t="s">
        <x:v>441</x:v>
      </x:c>
      <x:c r="P153" s="9"/>
      <x:c r="Q153" s="9"/>
      <x:c r="R153" s="9"/>
      <x:c r="S153" s="9"/>
      <x:c r="T153" s="9"/>
      <x:c r="U153" s="9"/>
      <x:c r="V153" s="9"/>
      <x:c r="W153" s="9"/>
      <x:c r="X153" s="12" t="str">
        <x:f t="shared" si="10"/>
      </x:c>
      <x:c r="Y153" s="12" t="str">
        <x:f t="shared" si="11"/>
      </x:c>
      <x:c r="Z153" s="9" t="s">
        <x:v>870</x:v>
      </x:c>
      <x:c r="AA153" s="9"/>
      <x:c r="AB153" s="9"/>
      <x:c r="AC153" s="9"/>
      <x:c r="AD153" s="9"/>
      <x:c r="AE153" s="9"/>
      <x:c r="AF153" s="9"/>
      <x:c r="AG153" s="9"/>
      <x:c r="AH153" s="9"/>
      <x:c r="AI153" s="9"/>
      <x:c r="AJ153" s="9"/>
      <x:c r="AK153" s="9"/>
      <x:c r="AL153" s="12" t="str">
        <x:f t="shared" si="12"/>
      </x:c>
      <x:c r="AM153" s="11" t="str">
        <x:f t="shared" si="13"/>
      </x:c>
      <x:c r="AN153" s="11" t="str">
        <x:f t="shared" si="14"/>
      </x:c>
      <x:c r="AO153" s="9"/>
      <x:c r="AP153" s="9"/>
      <x:c r="AQ153" s="27" t="s">
        <x:v>435</x:v>
      </x:c>
    </x:row>
    <x:row r="154" ht="118.05000305175781" customHeight="1">
      <x:c r="A154" s="6" t="s">
        <x:v>1036</x:v>
      </x:c>
      <x:c r="B154" s="6" t="s">
        <x:v>432</x:v>
      </x:c>
      <x:c r="C154" s="6" t="s">
        <x:v>50</x:v>
      </x:c>
      <x:c r="D154" s="6" t="s">
        <x:v>433</x:v>
      </x:c>
      <x:c r="E154" s="6" t="s">
        <x:v>192</x:v>
      </x:c>
      <x:c r="F154" s="6" t="s">
        <x:v>434</x:v>
      </x:c>
      <x:c r="G154" s="6" t="s">
        <x:v>702</x:v>
      </x:c>
      <x:c r="H154" s="6" t="s">
        <x:v>704</x:v>
      </x:c>
      <x:c r="I154" s="6" t="s">
        <x:v>1031</x:v>
      </x:c>
      <x:c r="J154" s="6" t="s">
        <x:v>1032</x:v>
      </x:c>
      <x:c r="K154" s="6" t="s">
        <x:v>437</x:v>
      </x:c>
      <x:c r="L154" s="6" t="s">
        <x:v>438</x:v>
      </x:c>
      <x:c r="M154" s="6" t="s">
        <x:v>439</x:v>
      </x:c>
      <x:c r="N154" s="6" t="s">
        <x:v>440</x:v>
      </x:c>
      <x:c r="O154" s="6" t="s">
        <x:v>441</x:v>
      </x:c>
      <x:c r="P154" s="9"/>
      <x:c r="Q154" s="9"/>
      <x:c r="R154" s="9"/>
      <x:c r="S154" s="9"/>
      <x:c r="T154" s="9"/>
      <x:c r="U154" s="9"/>
      <x:c r="V154" s="9"/>
      <x:c r="W154" s="9"/>
      <x:c r="X154" s="12" t="str">
        <x:f t="shared" si="10"/>
      </x:c>
      <x:c r="Y154" s="12" t="str">
        <x:f t="shared" si="11"/>
      </x:c>
      <x:c r="Z154" s="9" t="s">
        <x:v>870</x:v>
      </x:c>
      <x:c r="AA154" s="9"/>
      <x:c r="AB154" s="9"/>
      <x:c r="AC154" s="9"/>
      <x:c r="AD154" s="9"/>
      <x:c r="AE154" s="9"/>
      <x:c r="AF154" s="9"/>
      <x:c r="AG154" s="9"/>
      <x:c r="AH154" s="9"/>
      <x:c r="AI154" s="9"/>
      <x:c r="AJ154" s="9"/>
      <x:c r="AK154" s="9"/>
      <x:c r="AL154" s="12" t="str">
        <x:f t="shared" si="12"/>
      </x:c>
      <x:c r="AM154" s="11" t="str">
        <x:f t="shared" si="13"/>
      </x:c>
      <x:c r="AN154" s="11" t="str">
        <x:f t="shared" si="14"/>
      </x:c>
      <x:c r="AO154" s="9"/>
      <x:c r="AP154" s="9"/>
      <x:c r="AQ154" s="27" t="s">
        <x:v>435</x:v>
      </x:c>
    </x:row>
    <x:row r="155" ht="118.05000305175781" customHeight="1">
      <x:c r="A155" s="6" t="s">
        <x:v>1037</x:v>
      </x:c>
      <x:c r="B155" s="6" t="s">
        <x:v>432</x:v>
      </x:c>
      <x:c r="C155" s="6" t="s">
        <x:v>50</x:v>
      </x:c>
      <x:c r="D155" s="6" t="s">
        <x:v>433</x:v>
      </x:c>
      <x:c r="E155" s="6" t="s">
        <x:v>192</x:v>
      </x:c>
      <x:c r="F155" s="6" t="s">
        <x:v>434</x:v>
      </x:c>
      <x:c r="G155" s="6" t="s">
        <x:v>702</x:v>
      </x:c>
      <x:c r="H155" s="6" t="s">
        <x:v>704</x:v>
      </x:c>
      <x:c r="I155" s="6" t="s">
        <x:v>1034</x:v>
      </x:c>
      <x:c r="J155" s="6" t="s">
        <x:v>1035</x:v>
      </x:c>
      <x:c r="K155" s="6" t="s">
        <x:v>437</x:v>
      </x:c>
      <x:c r="L155" s="6" t="s">
        <x:v>438</x:v>
      </x:c>
      <x:c r="M155" s="6" t="s">
        <x:v>439</x:v>
      </x:c>
      <x:c r="N155" s="6" t="s">
        <x:v>440</x:v>
      </x:c>
      <x:c r="O155" s="6" t="s">
        <x:v>441</x:v>
      </x:c>
      <x:c r="P155" s="9"/>
      <x:c r="Q155" s="9"/>
      <x:c r="R155" s="9"/>
      <x:c r="S155" s="9"/>
      <x:c r="T155" s="9"/>
      <x:c r="U155" s="9"/>
      <x:c r="V155" s="9"/>
      <x:c r="W155" s="9"/>
      <x:c r="X155" s="12" t="str">
        <x:f t="shared" si="10"/>
      </x:c>
      <x:c r="Y155" s="12" t="str">
        <x:f t="shared" si="11"/>
      </x:c>
      <x:c r="Z155" s="9" t="s">
        <x:v>870</x:v>
      </x:c>
      <x:c r="AA155" s="9"/>
      <x:c r="AB155" s="9"/>
      <x:c r="AC155" s="9"/>
      <x:c r="AD155" s="9"/>
      <x:c r="AE155" s="9"/>
      <x:c r="AF155" s="9"/>
      <x:c r="AG155" s="9"/>
      <x:c r="AH155" s="9"/>
      <x:c r="AI155" s="9"/>
      <x:c r="AJ155" s="9"/>
      <x:c r="AK155" s="9"/>
      <x:c r="AL155" s="12" t="str">
        <x:f t="shared" si="12"/>
      </x:c>
      <x:c r="AM155" s="11" t="str">
        <x:f t="shared" si="13"/>
      </x:c>
      <x:c r="AN155" s="11" t="str">
        <x:f t="shared" si="14"/>
      </x:c>
      <x:c r="AO155" s="9"/>
      <x:c r="AP155" s="9"/>
      <x:c r="AQ155" s="27" t="s">
        <x:v>435</x:v>
      </x:c>
    </x:row>
    <x:row r="156" ht="118.05000305175781" customHeight="1">
      <x:c r="A156" s="6" t="s">
        <x:v>1038</x:v>
      </x:c>
      <x:c r="B156" s="6" t="s">
        <x:v>432</x:v>
      </x:c>
      <x:c r="C156" s="6" t="s">
        <x:v>50</x:v>
      </x:c>
      <x:c r="D156" s="6" t="s">
        <x:v>433</x:v>
      </x:c>
      <x:c r="E156" s="6" t="s">
        <x:v>192</x:v>
      </x:c>
      <x:c r="F156" s="6" t="s">
        <x:v>434</x:v>
      </x:c>
      <x:c r="G156" s="6" t="s">
        <x:v>707</x:v>
      </x:c>
      <x:c r="H156" s="6" t="s">
        <x:v>709</x:v>
      </x:c>
      <x:c r="I156" s="6" t="s">
        <x:v>1031</x:v>
      </x:c>
      <x:c r="J156" s="6" t="s">
        <x:v>1032</x:v>
      </x:c>
      <x:c r="K156" s="6" t="s">
        <x:v>437</x:v>
      </x:c>
      <x:c r="L156" s="6" t="s">
        <x:v>438</x:v>
      </x:c>
      <x:c r="M156" s="6" t="s">
        <x:v>439</x:v>
      </x:c>
      <x:c r="N156" s="6" t="s">
        <x:v>440</x:v>
      </x:c>
      <x:c r="O156" s="6" t="s">
        <x:v>441</x:v>
      </x:c>
      <x:c r="P156" s="9"/>
      <x:c r="Q156" s="9"/>
      <x:c r="R156" s="9"/>
      <x:c r="S156" s="9"/>
      <x:c r="T156" s="9"/>
      <x:c r="U156" s="9"/>
      <x:c r="V156" s="9"/>
      <x:c r="W156" s="9"/>
      <x:c r="X156" s="12" t="str">
        <x:f t="shared" si="10"/>
      </x:c>
      <x:c r="Y156" s="12" t="str">
        <x:f t="shared" si="11"/>
      </x:c>
      <x:c r="Z156" s="9" t="s">
        <x:v>870</x:v>
      </x:c>
      <x:c r="AA156" s="9"/>
      <x:c r="AB156" s="9"/>
      <x:c r="AC156" s="9"/>
      <x:c r="AD156" s="9"/>
      <x:c r="AE156" s="9"/>
      <x:c r="AF156" s="9"/>
      <x:c r="AG156" s="9"/>
      <x:c r="AH156" s="9"/>
      <x:c r="AI156" s="9"/>
      <x:c r="AJ156" s="9"/>
      <x:c r="AK156" s="9"/>
      <x:c r="AL156" s="12" t="str">
        <x:f t="shared" si="12"/>
      </x:c>
      <x:c r="AM156" s="11" t="str">
        <x:f t="shared" si="13"/>
      </x:c>
      <x:c r="AN156" s="11" t="str">
        <x:f t="shared" si="14"/>
      </x:c>
      <x:c r="AO156" s="9"/>
      <x:c r="AP156" s="9"/>
      <x:c r="AQ156" s="27" t="s">
        <x:v>435</x:v>
      </x:c>
    </x:row>
    <x:row r="157" ht="118.05000305175781" customHeight="1">
      <x:c r="A157" s="6" t="s">
        <x:v>1039</x:v>
      </x:c>
      <x:c r="B157" s="6" t="s">
        <x:v>432</x:v>
      </x:c>
      <x:c r="C157" s="6" t="s">
        <x:v>50</x:v>
      </x:c>
      <x:c r="D157" s="6" t="s">
        <x:v>433</x:v>
      </x:c>
      <x:c r="E157" s="6" t="s">
        <x:v>192</x:v>
      </x:c>
      <x:c r="F157" s="6" t="s">
        <x:v>434</x:v>
      </x:c>
      <x:c r="G157" s="6" t="s">
        <x:v>707</x:v>
      </x:c>
      <x:c r="H157" s="6" t="s">
        <x:v>709</x:v>
      </x:c>
      <x:c r="I157" s="6" t="s">
        <x:v>1034</x:v>
      </x:c>
      <x:c r="J157" s="6" t="s">
        <x:v>1035</x:v>
      </x:c>
      <x:c r="K157" s="6" t="s">
        <x:v>437</x:v>
      </x:c>
      <x:c r="L157" s="6" t="s">
        <x:v>438</x:v>
      </x:c>
      <x:c r="M157" s="6" t="s">
        <x:v>439</x:v>
      </x:c>
      <x:c r="N157" s="6" t="s">
        <x:v>440</x:v>
      </x:c>
      <x:c r="O157" s="6" t="s">
        <x:v>441</x:v>
      </x:c>
      <x:c r="P157" s="9"/>
      <x:c r="Q157" s="9"/>
      <x:c r="R157" s="9"/>
      <x:c r="S157" s="9"/>
      <x:c r="T157" s="9"/>
      <x:c r="U157" s="9"/>
      <x:c r="V157" s="9"/>
      <x:c r="W157" s="9"/>
      <x:c r="X157" s="12" t="str">
        <x:f t="shared" si="10"/>
      </x:c>
      <x:c r="Y157" s="12" t="str">
        <x:f t="shared" si="11"/>
      </x:c>
      <x:c r="Z157" s="9" t="s">
        <x:v>870</x:v>
      </x:c>
      <x:c r="AA157" s="9"/>
      <x:c r="AB157" s="9"/>
      <x:c r="AC157" s="9"/>
      <x:c r="AD157" s="9"/>
      <x:c r="AE157" s="9"/>
      <x:c r="AF157" s="9"/>
      <x:c r="AG157" s="9"/>
      <x:c r="AH157" s="9"/>
      <x:c r="AI157" s="9"/>
      <x:c r="AJ157" s="9"/>
      <x:c r="AK157" s="9"/>
      <x:c r="AL157" s="12" t="str">
        <x:f t="shared" si="12"/>
      </x:c>
      <x:c r="AM157" s="11" t="str">
        <x:f t="shared" si="13"/>
      </x:c>
      <x:c r="AN157" s="11" t="str">
        <x:f t="shared" si="14"/>
      </x:c>
      <x:c r="AO157" s="9"/>
      <x:c r="AP157" s="9"/>
      <x:c r="AQ157" s="27" t="s">
        <x:v>435</x:v>
      </x:c>
    </x:row>
    <x:row r="158" ht="118.05000305175781" customHeight="1">
      <x:c r="A158" s="6" t="s">
        <x:v>1040</x:v>
      </x:c>
      <x:c r="B158" s="6" t="s">
        <x:v>442</x:v>
      </x:c>
      <x:c r="C158" s="6" t="s">
        <x:v>50</x:v>
      </x:c>
      <x:c r="D158" s="6" t="s">
        <x:v>443</x:v>
      </x:c>
      <x:c r="E158" s="6" t="s">
        <x:v>205</x:v>
      </x:c>
      <x:c r="F158" s="6" t="s">
        <x:v>444</x:v>
      </x:c>
      <x:c r="G158" s="6" t="s">
        <x:v>696</x:v>
      </x:c>
      <x:c r="H158" s="6" t="s">
        <x:v>698</x:v>
      </x:c>
      <x:c r="I158" s="6" t="s">
        <x:v>1031</x:v>
      </x:c>
      <x:c r="J158" s="6" t="s">
        <x:v>1032</x:v>
      </x:c>
      <x:c r="K158" s="6" t="s">
        <x:v>437</x:v>
      </x:c>
      <x:c r="L158" s="6" t="s">
        <x:v>438</x:v>
      </x:c>
      <x:c r="M158" s="6" t="s">
        <x:v>446</x:v>
      </x:c>
      <x:c r="N158" s="6" t="s">
        <x:v>447</x:v>
      </x:c>
      <x:c r="O158" s="6" t="s">
        <x:v>448</x:v>
      </x:c>
      <x:c r="P158" s="9"/>
      <x:c r="Q158" s="9"/>
      <x:c r="R158" s="9"/>
      <x:c r="S158" s="9"/>
      <x:c r="T158" s="9"/>
      <x:c r="U158" s="9"/>
      <x:c r="V158" s="9"/>
      <x:c r="W158" s="9"/>
      <x:c r="X158" s="12" t="str">
        <x:f t="shared" si="10"/>
      </x:c>
      <x:c r="Y158" s="12" t="str">
        <x:f t="shared" si="11"/>
      </x:c>
      <x:c r="Z158" s="9" t="s">
        <x:v>870</x:v>
      </x:c>
      <x:c r="AA158" s="9"/>
      <x:c r="AB158" s="9"/>
      <x:c r="AC158" s="9"/>
      <x:c r="AD158" s="9"/>
      <x:c r="AE158" s="9"/>
      <x:c r="AF158" s="9"/>
      <x:c r="AG158" s="9"/>
      <x:c r="AH158" s="9"/>
      <x:c r="AI158" s="9"/>
      <x:c r="AJ158" s="9"/>
      <x:c r="AK158" s="9"/>
      <x:c r="AL158" s="12" t="str">
        <x:f t="shared" si="12"/>
      </x:c>
      <x:c r="AM158" s="11" t="str">
        <x:f t="shared" si="13"/>
      </x:c>
      <x:c r="AN158" s="11" t="str">
        <x:f t="shared" si="14"/>
      </x:c>
      <x:c r="AO158" s="9"/>
      <x:c r="AP158" s="9"/>
      <x:c r="AQ158" s="27" t="s">
        <x:v>445</x:v>
      </x:c>
    </x:row>
    <x:row r="159" ht="118.05000305175781" customHeight="1">
      <x:c r="A159" s="6" t="s">
        <x:v>1041</x:v>
      </x:c>
      <x:c r="B159" s="6" t="s">
        <x:v>442</x:v>
      </x:c>
      <x:c r="C159" s="6" t="s">
        <x:v>50</x:v>
      </x:c>
      <x:c r="D159" s="6" t="s">
        <x:v>443</x:v>
      </x:c>
      <x:c r="E159" s="6" t="s">
        <x:v>205</x:v>
      </x:c>
      <x:c r="F159" s="6" t="s">
        <x:v>444</x:v>
      </x:c>
      <x:c r="G159" s="6" t="s">
        <x:v>696</x:v>
      </x:c>
      <x:c r="H159" s="6" t="s">
        <x:v>698</x:v>
      </x:c>
      <x:c r="I159" s="6" t="s">
        <x:v>1034</x:v>
      </x:c>
      <x:c r="J159" s="6" t="s">
        <x:v>1035</x:v>
      </x:c>
      <x:c r="K159" s="6" t="s">
        <x:v>437</x:v>
      </x:c>
      <x:c r="L159" s="6" t="s">
        <x:v>438</x:v>
      </x:c>
      <x:c r="M159" s="6" t="s">
        <x:v>446</x:v>
      </x:c>
      <x:c r="N159" s="6" t="s">
        <x:v>447</x:v>
      </x:c>
      <x:c r="O159" s="6" t="s">
        <x:v>448</x:v>
      </x:c>
      <x:c r="P159" s="9"/>
      <x:c r="Q159" s="9"/>
      <x:c r="R159" s="9"/>
      <x:c r="S159" s="9"/>
      <x:c r="T159" s="9"/>
      <x:c r="U159" s="9"/>
      <x:c r="V159" s="9"/>
      <x:c r="W159" s="9"/>
      <x:c r="X159" s="12" t="str">
        <x:f t="shared" si="10"/>
      </x:c>
      <x:c r="Y159" s="12" t="str">
        <x:f t="shared" si="11"/>
      </x:c>
      <x:c r="Z159" s="9" t="s">
        <x:v>870</x:v>
      </x:c>
      <x:c r="AA159" s="9"/>
      <x:c r="AB159" s="9"/>
      <x:c r="AC159" s="9"/>
      <x:c r="AD159" s="9"/>
      <x:c r="AE159" s="9"/>
      <x:c r="AF159" s="9"/>
      <x:c r="AG159" s="9"/>
      <x:c r="AH159" s="9"/>
      <x:c r="AI159" s="9"/>
      <x:c r="AJ159" s="9"/>
      <x:c r="AK159" s="9"/>
      <x:c r="AL159" s="12" t="str">
        <x:f t="shared" si="12"/>
      </x:c>
      <x:c r="AM159" s="11" t="str">
        <x:f t="shared" si="13"/>
      </x:c>
      <x:c r="AN159" s="11" t="str">
        <x:f t="shared" si="14"/>
      </x:c>
      <x:c r="AO159" s="9"/>
      <x:c r="AP159" s="9"/>
      <x:c r="AQ159" s="27" t="s">
        <x:v>445</x:v>
      </x:c>
    </x:row>
    <x:row r="160" ht="118.05000305175781" customHeight="1">
      <x:c r="A160" s="6" t="s">
        <x:v>1042</x:v>
      </x:c>
      <x:c r="B160" s="6" t="s">
        <x:v>442</x:v>
      </x:c>
      <x:c r="C160" s="6" t="s">
        <x:v>50</x:v>
      </x:c>
      <x:c r="D160" s="6" t="s">
        <x:v>443</x:v>
      </x:c>
      <x:c r="E160" s="6" t="s">
        <x:v>205</x:v>
      </x:c>
      <x:c r="F160" s="6" t="s">
        <x:v>444</x:v>
      </x:c>
      <x:c r="G160" s="6" t="s">
        <x:v>707</x:v>
      </x:c>
      <x:c r="H160" s="6" t="s">
        <x:v>709</x:v>
      </x:c>
      <x:c r="I160" s="6" t="s">
        <x:v>1031</x:v>
      </x:c>
      <x:c r="J160" s="6" t="s">
        <x:v>1032</x:v>
      </x:c>
      <x:c r="K160" s="6" t="s">
        <x:v>437</x:v>
      </x:c>
      <x:c r="L160" s="6" t="s">
        <x:v>438</x:v>
      </x:c>
      <x:c r="M160" s="6" t="s">
        <x:v>446</x:v>
      </x:c>
      <x:c r="N160" s="6" t="s">
        <x:v>447</x:v>
      </x:c>
      <x:c r="O160" s="6" t="s">
        <x:v>448</x:v>
      </x:c>
      <x:c r="P160" s="9"/>
      <x:c r="Q160" s="9"/>
      <x:c r="R160" s="9"/>
      <x:c r="S160" s="9"/>
      <x:c r="T160" s="9"/>
      <x:c r="U160" s="9"/>
      <x:c r="V160" s="9"/>
      <x:c r="W160" s="9"/>
      <x:c r="X160" s="12" t="str">
        <x:f t="shared" si="10"/>
      </x:c>
      <x:c r="Y160" s="12" t="str">
        <x:f t="shared" si="11"/>
      </x:c>
      <x:c r="Z160" s="9" t="s">
        <x:v>870</x:v>
      </x:c>
      <x:c r="AA160" s="9"/>
      <x:c r="AB160" s="9"/>
      <x:c r="AC160" s="9"/>
      <x:c r="AD160" s="9"/>
      <x:c r="AE160" s="9"/>
      <x:c r="AF160" s="9"/>
      <x:c r="AG160" s="9"/>
      <x:c r="AH160" s="9"/>
      <x:c r="AI160" s="9"/>
      <x:c r="AJ160" s="9"/>
      <x:c r="AK160" s="9"/>
      <x:c r="AL160" s="12" t="str">
        <x:f t="shared" si="12"/>
      </x:c>
      <x:c r="AM160" s="11" t="str">
        <x:f t="shared" si="13"/>
      </x:c>
      <x:c r="AN160" s="11" t="str">
        <x:f t="shared" si="14"/>
      </x:c>
      <x:c r="AO160" s="9"/>
      <x:c r="AP160" s="9"/>
      <x:c r="AQ160" s="27" t="s">
        <x:v>445</x:v>
      </x:c>
    </x:row>
    <x:row r="161" ht="118.05000305175781" customHeight="1">
      <x:c r="A161" s="6" t="s">
        <x:v>1043</x:v>
      </x:c>
      <x:c r="B161" s="6" t="s">
        <x:v>442</x:v>
      </x:c>
      <x:c r="C161" s="6" t="s">
        <x:v>50</x:v>
      </x:c>
      <x:c r="D161" s="6" t="s">
        <x:v>443</x:v>
      </x:c>
      <x:c r="E161" s="6" t="s">
        <x:v>205</x:v>
      </x:c>
      <x:c r="F161" s="6" t="s">
        <x:v>444</x:v>
      </x:c>
      <x:c r="G161" s="6" t="s">
        <x:v>707</x:v>
      </x:c>
      <x:c r="H161" s="6" t="s">
        <x:v>709</x:v>
      </x:c>
      <x:c r="I161" s="6" t="s">
        <x:v>1034</x:v>
      </x:c>
      <x:c r="J161" s="6" t="s">
        <x:v>1035</x:v>
      </x:c>
      <x:c r="K161" s="6" t="s">
        <x:v>437</x:v>
      </x:c>
      <x:c r="L161" s="6" t="s">
        <x:v>438</x:v>
      </x:c>
      <x:c r="M161" s="6" t="s">
        <x:v>446</x:v>
      </x:c>
      <x:c r="N161" s="6" t="s">
        <x:v>447</x:v>
      </x:c>
      <x:c r="O161" s="6" t="s">
        <x:v>448</x:v>
      </x:c>
      <x:c r="P161" s="9"/>
      <x:c r="Q161" s="9"/>
      <x:c r="R161" s="9"/>
      <x:c r="S161" s="9"/>
      <x:c r="T161" s="9"/>
      <x:c r="U161" s="9"/>
      <x:c r="V161" s="9"/>
      <x:c r="W161" s="9"/>
      <x:c r="X161" s="12" t="str">
        <x:f t="shared" si="10"/>
      </x:c>
      <x:c r="Y161" s="12" t="str">
        <x:f t="shared" si="11"/>
      </x:c>
      <x:c r="Z161" s="9" t="s">
        <x:v>870</x:v>
      </x:c>
      <x:c r="AA161" s="9"/>
      <x:c r="AB161" s="9"/>
      <x:c r="AC161" s="9"/>
      <x:c r="AD161" s="9"/>
      <x:c r="AE161" s="9"/>
      <x:c r="AF161" s="9"/>
      <x:c r="AG161" s="9"/>
      <x:c r="AH161" s="9"/>
      <x:c r="AI161" s="9"/>
      <x:c r="AJ161" s="9"/>
      <x:c r="AK161" s="9"/>
      <x:c r="AL161" s="12" t="str">
        <x:f t="shared" si="12"/>
      </x:c>
      <x:c r="AM161" s="11" t="str">
        <x:f t="shared" si="13"/>
      </x:c>
      <x:c r="AN161" s="11" t="str">
        <x:f t="shared" si="14"/>
      </x:c>
      <x:c r="AO161" s="9"/>
      <x:c r="AP161" s="9"/>
      <x:c r="AQ161" s="27" t="s">
        <x:v>445</x:v>
      </x:c>
    </x:row>
    <x:row r="162" ht="118.05000305175781" customHeight="1">
      <x:c r="A162" s="6" t="s">
        <x:v>1044</x:v>
      </x:c>
      <x:c r="B162" s="6" t="s">
        <x:v>449</x:v>
      </x:c>
      <x:c r="C162" s="6" t="s">
        <x:v>50</x:v>
      </x:c>
      <x:c r="D162" s="6" t="s">
        <x:v>450</x:v>
      </x:c>
      <x:c r="E162" s="6" t="s">
        <x:v>214</x:v>
      </x:c>
      <x:c r="F162" s="6" t="s">
        <x:v>451</x:v>
      </x:c>
      <x:c r="G162" s="6" t="s">
        <x:v>696</x:v>
      </x:c>
      <x:c r="H162" s="6" t="s">
        <x:v>698</x:v>
      </x:c>
      <x:c r="I162" s="6" t="s">
        <x:v>1031</x:v>
      </x:c>
      <x:c r="J162" s="6" t="s">
        <x:v>1032</x:v>
      </x:c>
      <x:c r="K162" s="6" t="s">
        <x:v>454</x:v>
      </x:c>
      <x:c r="L162" s="6" t="s">
        <x:v>438</x:v>
      </x:c>
      <x:c r="M162" s="6" t="s">
        <x:v>455</x:v>
      </x:c>
      <x:c r="N162" s="6" t="s">
        <x:v>456</x:v>
      </x:c>
      <x:c r="O162" s="6" t="s">
        <x:v>230</x:v>
      </x:c>
      <x:c r="P162" s="9"/>
      <x:c r="Q162" s="9"/>
      <x:c r="R162" s="9"/>
      <x:c r="S162" s="9"/>
      <x:c r="T162" s="9"/>
      <x:c r="U162" s="9"/>
      <x:c r="V162" s="9"/>
      <x:c r="W162" s="9"/>
      <x:c r="X162" s="12" t="str">
        <x:f t="shared" si="10"/>
      </x:c>
      <x:c r="Y162" s="12" t="str">
        <x:f t="shared" si="11"/>
      </x:c>
      <x:c r="Z162" s="9" t="s">
        <x:v>870</x:v>
      </x:c>
      <x:c r="AA162" s="9"/>
      <x:c r="AB162" s="9"/>
      <x:c r="AC162" s="9"/>
      <x:c r="AD162" s="9"/>
      <x:c r="AE162" s="9"/>
      <x:c r="AF162" s="9"/>
      <x:c r="AG162" s="9"/>
      <x:c r="AH162" s="9"/>
      <x:c r="AI162" s="9"/>
      <x:c r="AJ162" s="9"/>
      <x:c r="AK162" s="9"/>
      <x:c r="AL162" s="12" t="str">
        <x:f t="shared" si="12"/>
      </x:c>
      <x:c r="AM162" s="11" t="str">
        <x:f t="shared" si="13"/>
      </x:c>
      <x:c r="AN162" s="11" t="str">
        <x:f t="shared" si="14"/>
      </x:c>
      <x:c r="AO162" s="9"/>
      <x:c r="AP162" s="9"/>
      <x:c r="AQ162" s="27" t="s">
        <x:v>452</x:v>
      </x:c>
    </x:row>
    <x:row r="163" ht="118.05000305175781" customHeight="1">
      <x:c r="A163" s="6" t="s">
        <x:v>1045</x:v>
      </x:c>
      <x:c r="B163" s="6" t="s">
        <x:v>449</x:v>
      </x:c>
      <x:c r="C163" s="6" t="s">
        <x:v>50</x:v>
      </x:c>
      <x:c r="D163" s="6" t="s">
        <x:v>450</x:v>
      </x:c>
      <x:c r="E163" s="6" t="s">
        <x:v>214</x:v>
      </x:c>
      <x:c r="F163" s="6" t="s">
        <x:v>451</x:v>
      </x:c>
      <x:c r="G163" s="6" t="s">
        <x:v>696</x:v>
      </x:c>
      <x:c r="H163" s="6" t="s">
        <x:v>698</x:v>
      </x:c>
      <x:c r="I163" s="6" t="s">
        <x:v>1046</x:v>
      </x:c>
      <x:c r="J163" s="6" t="s">
        <x:v>1047</x:v>
      </x:c>
      <x:c r="K163" s="6" t="s">
        <x:v>454</x:v>
      </x:c>
      <x:c r="L163" s="6" t="s">
        <x:v>438</x:v>
      </x:c>
      <x:c r="M163" s="6" t="s">
        <x:v>455</x:v>
      </x:c>
      <x:c r="N163" s="6" t="s">
        <x:v>456</x:v>
      </x:c>
      <x:c r="O163" s="6" t="s">
        <x:v>230</x:v>
      </x:c>
      <x:c r="P163" s="9"/>
      <x:c r="Q163" s="9"/>
      <x:c r="R163" s="9"/>
      <x:c r="S163" s="9"/>
      <x:c r="T163" s="9"/>
      <x:c r="U163" s="9"/>
      <x:c r="V163" s="9"/>
      <x:c r="W163" s="9"/>
      <x:c r="X163" s="12" t="str">
        <x:f t="shared" si="10"/>
      </x:c>
      <x:c r="Y163" s="12" t="str">
        <x:f t="shared" si="11"/>
      </x:c>
      <x:c r="Z163" s="9" t="s">
        <x:v>870</x:v>
      </x:c>
      <x:c r="AA163" s="9"/>
      <x:c r="AB163" s="9"/>
      <x:c r="AC163" s="9"/>
      <x:c r="AD163" s="9"/>
      <x:c r="AE163" s="9"/>
      <x:c r="AF163" s="9"/>
      <x:c r="AG163" s="9"/>
      <x:c r="AH163" s="9"/>
      <x:c r="AI163" s="9"/>
      <x:c r="AJ163" s="9"/>
      <x:c r="AK163" s="9"/>
      <x:c r="AL163" s="12" t="str">
        <x:f t="shared" si="12"/>
      </x:c>
      <x:c r="AM163" s="11" t="str">
        <x:f t="shared" si="13"/>
      </x:c>
      <x:c r="AN163" s="11" t="str">
        <x:f t="shared" si="14"/>
      </x:c>
      <x:c r="AO163" s="9"/>
      <x:c r="AP163" s="9"/>
      <x:c r="AQ163" s="27" t="s">
        <x:v>452</x:v>
      </x:c>
    </x:row>
    <x:row r="164" ht="118.05000305175781" customHeight="1">
      <x:c r="A164" s="6" t="s">
        <x:v>1048</x:v>
      </x:c>
      <x:c r="B164" s="6" t="s">
        <x:v>449</x:v>
      </x:c>
      <x:c r="C164" s="6" t="s">
        <x:v>50</x:v>
      </x:c>
      <x:c r="D164" s="6" t="s">
        <x:v>450</x:v>
      </x:c>
      <x:c r="E164" s="6" t="s">
        <x:v>214</x:v>
      </x:c>
      <x:c r="F164" s="6" t="s">
        <x:v>451</x:v>
      </x:c>
      <x:c r="G164" s="6" t="s">
        <x:v>707</x:v>
      </x:c>
      <x:c r="H164" s="6" t="s">
        <x:v>709</x:v>
      </x:c>
      <x:c r="I164" s="6" t="s">
        <x:v>1031</x:v>
      </x:c>
      <x:c r="J164" s="6" t="s">
        <x:v>1032</x:v>
      </x:c>
      <x:c r="K164" s="6" t="s">
        <x:v>454</x:v>
      </x:c>
      <x:c r="L164" s="6" t="s">
        <x:v>438</x:v>
      </x:c>
      <x:c r="M164" s="6" t="s">
        <x:v>455</x:v>
      </x:c>
      <x:c r="N164" s="6" t="s">
        <x:v>456</x:v>
      </x:c>
      <x:c r="O164" s="6" t="s">
        <x:v>230</x:v>
      </x:c>
      <x:c r="P164" s="9"/>
      <x:c r="Q164" s="9"/>
      <x:c r="R164" s="9"/>
      <x:c r="S164" s="9"/>
      <x:c r="T164" s="9"/>
      <x:c r="U164" s="9"/>
      <x:c r="V164" s="9"/>
      <x:c r="W164" s="9"/>
      <x:c r="X164" s="12" t="str">
        <x:f t="shared" si="10"/>
      </x:c>
      <x:c r="Y164" s="12" t="str">
        <x:f t="shared" si="11"/>
      </x:c>
      <x:c r="Z164" s="9" t="s">
        <x:v>870</x:v>
      </x:c>
      <x:c r="AA164" s="9"/>
      <x:c r="AB164" s="9"/>
      <x:c r="AC164" s="9"/>
      <x:c r="AD164" s="9"/>
      <x:c r="AE164" s="9"/>
      <x:c r="AF164" s="9"/>
      <x:c r="AG164" s="9"/>
      <x:c r="AH164" s="9"/>
      <x:c r="AI164" s="9"/>
      <x:c r="AJ164" s="9"/>
      <x:c r="AK164" s="9"/>
      <x:c r="AL164" s="12" t="str">
        <x:f t="shared" si="12"/>
      </x:c>
      <x:c r="AM164" s="11" t="str">
        <x:f t="shared" si="13"/>
      </x:c>
      <x:c r="AN164" s="11" t="str">
        <x:f t="shared" si="14"/>
      </x:c>
      <x:c r="AO164" s="9"/>
      <x:c r="AP164" s="9"/>
      <x:c r="AQ164" s="27" t="s">
        <x:v>452</x:v>
      </x:c>
    </x:row>
    <x:row r="165" ht="118.05000305175781" customHeight="1">
      <x:c r="A165" s="6" t="s">
        <x:v>1049</x:v>
      </x:c>
      <x:c r="B165" s="6" t="s">
        <x:v>449</x:v>
      </x:c>
      <x:c r="C165" s="6" t="s">
        <x:v>50</x:v>
      </x:c>
      <x:c r="D165" s="6" t="s">
        <x:v>450</x:v>
      </x:c>
      <x:c r="E165" s="6" t="s">
        <x:v>214</x:v>
      </x:c>
      <x:c r="F165" s="6" t="s">
        <x:v>451</x:v>
      </x:c>
      <x:c r="G165" s="6" t="s">
        <x:v>707</x:v>
      </x:c>
      <x:c r="H165" s="6" t="s">
        <x:v>709</x:v>
      </x:c>
      <x:c r="I165" s="6" t="s">
        <x:v>1046</x:v>
      </x:c>
      <x:c r="J165" s="6" t="s">
        <x:v>1047</x:v>
      </x:c>
      <x:c r="K165" s="6" t="s">
        <x:v>454</x:v>
      </x:c>
      <x:c r="L165" s="6" t="s">
        <x:v>438</x:v>
      </x:c>
      <x:c r="M165" s="6" t="s">
        <x:v>455</x:v>
      </x:c>
      <x:c r="N165" s="6" t="s">
        <x:v>456</x:v>
      </x:c>
      <x:c r="O165" s="6" t="s">
        <x:v>230</x:v>
      </x:c>
      <x:c r="P165" s="9"/>
      <x:c r="Q165" s="9"/>
      <x:c r="R165" s="9"/>
      <x:c r="S165" s="9"/>
      <x:c r="T165" s="9"/>
      <x:c r="U165" s="9"/>
      <x:c r="V165" s="9"/>
      <x:c r="W165" s="9"/>
      <x:c r="X165" s="12" t="str">
        <x:f t="shared" si="10"/>
      </x:c>
      <x:c r="Y165" s="12" t="str">
        <x:f t="shared" si="11"/>
      </x:c>
      <x:c r="Z165" s="9" t="s">
        <x:v>870</x:v>
      </x:c>
      <x:c r="AA165" s="9"/>
      <x:c r="AB165" s="9"/>
      <x:c r="AC165" s="9"/>
      <x:c r="AD165" s="9"/>
      <x:c r="AE165" s="9"/>
      <x:c r="AF165" s="9"/>
      <x:c r="AG165" s="9"/>
      <x:c r="AH165" s="9"/>
      <x:c r="AI165" s="9"/>
      <x:c r="AJ165" s="9"/>
      <x:c r="AK165" s="9"/>
      <x:c r="AL165" s="12" t="str">
        <x:f t="shared" si="12"/>
      </x:c>
      <x:c r="AM165" s="11" t="str">
        <x:f t="shared" si="13"/>
      </x:c>
      <x:c r="AN165" s="11" t="str">
        <x:f t="shared" si="14"/>
      </x:c>
      <x:c r="AO165" s="9"/>
      <x:c r="AP165" s="9"/>
      <x:c r="AQ165" s="27" t="s">
        <x:v>452</x:v>
      </x:c>
    </x:row>
    <x:row r="166" ht="118.05000305175781" customHeight="1">
      <x:c r="A166" s="6" t="s">
        <x:v>1050</x:v>
      </x:c>
      <x:c r="B166" s="6" t="s">
        <x:v>449</x:v>
      </x:c>
      <x:c r="C166" s="6" t="s">
        <x:v>50</x:v>
      </x:c>
      <x:c r="D166" s="6" t="s">
        <x:v>450</x:v>
      </x:c>
      <x:c r="E166" s="6" t="s">
        <x:v>214</x:v>
      </x:c>
      <x:c r="F166" s="6" t="s">
        <x:v>451</x:v>
      </x:c>
      <x:c r="G166" s="6" t="s">
        <x:v>724</x:v>
      </x:c>
      <x:c r="H166" s="6" t="s">
        <x:v>726</x:v>
      </x:c>
      <x:c r="I166" s="6" t="s">
        <x:v>1031</x:v>
      </x:c>
      <x:c r="J166" s="6" t="s">
        <x:v>1032</x:v>
      </x:c>
      <x:c r="K166" s="6" t="s">
        <x:v>454</x:v>
      </x:c>
      <x:c r="L166" s="6" t="s">
        <x:v>438</x:v>
      </x:c>
      <x:c r="M166" s="6" t="s">
        <x:v>455</x:v>
      </x:c>
      <x:c r="N166" s="6" t="s">
        <x:v>456</x:v>
      </x:c>
      <x:c r="O166" s="6" t="s">
        <x:v>230</x:v>
      </x:c>
      <x:c r="P166" s="9"/>
      <x:c r="Q166" s="9"/>
      <x:c r="R166" s="9"/>
      <x:c r="S166" s="9"/>
      <x:c r="T166" s="9"/>
      <x:c r="U166" s="9"/>
      <x:c r="V166" s="9"/>
      <x:c r="W166" s="9"/>
      <x:c r="X166" s="12" t="str">
        <x:f t="shared" si="10"/>
      </x:c>
      <x:c r="Y166" s="12" t="str">
        <x:f t="shared" si="11"/>
      </x:c>
      <x:c r="Z166" s="9" t="s">
        <x:v>870</x:v>
      </x:c>
      <x:c r="AA166" s="9"/>
      <x:c r="AB166" s="9"/>
      <x:c r="AC166" s="9"/>
      <x:c r="AD166" s="9"/>
      <x:c r="AE166" s="9"/>
      <x:c r="AF166" s="9"/>
      <x:c r="AG166" s="9"/>
      <x:c r="AH166" s="9"/>
      <x:c r="AI166" s="9"/>
      <x:c r="AJ166" s="9"/>
      <x:c r="AK166" s="9"/>
      <x:c r="AL166" s="12" t="str">
        <x:f t="shared" si="12"/>
      </x:c>
      <x:c r="AM166" s="11" t="str">
        <x:f t="shared" si="13"/>
      </x:c>
      <x:c r="AN166" s="11" t="str">
        <x:f t="shared" si="14"/>
      </x:c>
      <x:c r="AO166" s="9"/>
      <x:c r="AP166" s="9"/>
      <x:c r="AQ166" s="27" t="s">
        <x:v>452</x:v>
      </x:c>
    </x:row>
    <x:row r="167" ht="118.05000305175781" customHeight="1">
      <x:c r="A167" s="6" t="s">
        <x:v>1051</x:v>
      </x:c>
      <x:c r="B167" s="6" t="s">
        <x:v>449</x:v>
      </x:c>
      <x:c r="C167" s="6" t="s">
        <x:v>50</x:v>
      </x:c>
      <x:c r="D167" s="6" t="s">
        <x:v>450</x:v>
      </x:c>
      <x:c r="E167" s="6" t="s">
        <x:v>214</x:v>
      </x:c>
      <x:c r="F167" s="6" t="s">
        <x:v>451</x:v>
      </x:c>
      <x:c r="G167" s="6" t="s">
        <x:v>724</x:v>
      </x:c>
      <x:c r="H167" s="6" t="s">
        <x:v>726</x:v>
      </x:c>
      <x:c r="I167" s="6" t="s">
        <x:v>1046</x:v>
      </x:c>
      <x:c r="J167" s="6" t="s">
        <x:v>1047</x:v>
      </x:c>
      <x:c r="K167" s="6" t="s">
        <x:v>454</x:v>
      </x:c>
      <x:c r="L167" s="6" t="s">
        <x:v>438</x:v>
      </x:c>
      <x:c r="M167" s="6" t="s">
        <x:v>455</x:v>
      </x:c>
      <x:c r="N167" s="6" t="s">
        <x:v>456</x:v>
      </x:c>
      <x:c r="O167" s="6" t="s">
        <x:v>230</x:v>
      </x:c>
      <x:c r="P167" s="9"/>
      <x:c r="Q167" s="9"/>
      <x:c r="R167" s="9"/>
      <x:c r="S167" s="9"/>
      <x:c r="T167" s="9"/>
      <x:c r="U167" s="9"/>
      <x:c r="V167" s="9"/>
      <x:c r="W167" s="9"/>
      <x:c r="X167" s="12" t="str">
        <x:f t="shared" si="10"/>
      </x:c>
      <x:c r="Y167" s="12" t="str">
        <x:f t="shared" si="11"/>
      </x:c>
      <x:c r="Z167" s="9" t="s">
        <x:v>870</x:v>
      </x:c>
      <x:c r="AA167" s="9"/>
      <x:c r="AB167" s="9"/>
      <x:c r="AC167" s="9"/>
      <x:c r="AD167" s="9"/>
      <x:c r="AE167" s="9"/>
      <x:c r="AF167" s="9"/>
      <x:c r="AG167" s="9"/>
      <x:c r="AH167" s="9"/>
      <x:c r="AI167" s="9"/>
      <x:c r="AJ167" s="9"/>
      <x:c r="AK167" s="9"/>
      <x:c r="AL167" s="12" t="str">
        <x:f t="shared" si="12"/>
      </x:c>
      <x:c r="AM167" s="11" t="str">
        <x:f t="shared" si="13"/>
      </x:c>
      <x:c r="AN167" s="11" t="str">
        <x:f t="shared" si="14"/>
      </x:c>
      <x:c r="AO167" s="9"/>
      <x:c r="AP167" s="9"/>
      <x:c r="AQ167" s="27" t="s">
        <x:v>452</x:v>
      </x:c>
    </x:row>
    <x:row r="168" ht="118.05000305175781" customHeight="1">
      <x:c r="A168" s="6" t="s">
        <x:v>1052</x:v>
      </x:c>
      <x:c r="B168" s="6" t="s">
        <x:v>457</x:v>
      </x:c>
      <x:c r="C168" s="6" t="s">
        <x:v>50</x:v>
      </x:c>
      <x:c r="D168" s="6" t="s">
        <x:v>458</x:v>
      </x:c>
      <x:c r="E168" s="6" t="s">
        <x:v>214</x:v>
      </x:c>
      <x:c r="F168" s="6" t="s">
        <x:v>459</x:v>
      </x:c>
      <x:c r="G168" s="6" t="s">
        <x:v>696</x:v>
      </x:c>
      <x:c r="H168" s="6" t="s">
        <x:v>698</x:v>
      </x:c>
      <x:c r="I168" s="6" t="s">
        <x:v>1034</x:v>
      </x:c>
      <x:c r="J168" s="6" t="s">
        <x:v>1035</x:v>
      </x:c>
      <x:c r="K168" s="6" t="s">
        <x:v>462</x:v>
      </x:c>
      <x:c r="L168" s="6" t="s">
        <x:v>438</x:v>
      </x:c>
      <x:c r="M168" s="6" t="s">
        <x:v>463</x:v>
      </x:c>
      <x:c r="N168" s="6" t="s">
        <x:v>464</x:v>
      </x:c>
      <x:c r="O168" s="6" t="s">
        <x:v>230</x:v>
      </x:c>
      <x:c r="P168" s="9"/>
      <x:c r="Q168" s="9"/>
      <x:c r="R168" s="9"/>
      <x:c r="S168" s="9"/>
      <x:c r="T168" s="9"/>
      <x:c r="U168" s="9"/>
      <x:c r="V168" s="9"/>
      <x:c r="W168" s="9"/>
      <x:c r="X168" s="12" t="str">
        <x:f t="shared" si="10"/>
      </x:c>
      <x:c r="Y168" s="12" t="str">
        <x:f t="shared" si="11"/>
      </x:c>
      <x:c r="Z168" s="9" t="s">
        <x:v>870</x:v>
      </x:c>
      <x:c r="AA168" s="9"/>
      <x:c r="AB168" s="9"/>
      <x:c r="AC168" s="9"/>
      <x:c r="AD168" s="9"/>
      <x:c r="AE168" s="9"/>
      <x:c r="AF168" s="9"/>
      <x:c r="AG168" s="9"/>
      <x:c r="AH168" s="9"/>
      <x:c r="AI168" s="9"/>
      <x:c r="AJ168" s="9"/>
      <x:c r="AK168" s="9"/>
      <x:c r="AL168" s="12" t="str">
        <x:f t="shared" si="12"/>
      </x:c>
      <x:c r="AM168" s="11" t="str">
        <x:f t="shared" si="13"/>
      </x:c>
      <x:c r="AN168" s="11" t="str">
        <x:f t="shared" si="14"/>
      </x:c>
      <x:c r="AO168" s="9"/>
      <x:c r="AP168" s="9"/>
      <x:c r="AQ168" s="27" t="s">
        <x:v>460</x:v>
      </x:c>
    </x:row>
    <x:row r="169" ht="118.05000305175781" customHeight="1">
      <x:c r="A169" s="6" t="s">
        <x:v>1053</x:v>
      </x:c>
      <x:c r="B169" s="6" t="s">
        <x:v>457</x:v>
      </x:c>
      <x:c r="C169" s="6" t="s">
        <x:v>50</x:v>
      </x:c>
      <x:c r="D169" s="6" t="s">
        <x:v>458</x:v>
      </x:c>
      <x:c r="E169" s="6" t="s">
        <x:v>214</x:v>
      </x:c>
      <x:c r="F169" s="6" t="s">
        <x:v>459</x:v>
      </x:c>
      <x:c r="G169" s="6" t="s">
        <x:v>696</x:v>
      </x:c>
      <x:c r="H169" s="6" t="s">
        <x:v>698</x:v>
      </x:c>
      <x:c r="I169" s="6" t="s">
        <x:v>1054</x:v>
      </x:c>
      <x:c r="J169" s="6" t="s">
        <x:v>1055</x:v>
      </x:c>
      <x:c r="K169" s="6" t="s">
        <x:v>462</x:v>
      </x:c>
      <x:c r="L169" s="6" t="s">
        <x:v>438</x:v>
      </x:c>
      <x:c r="M169" s="6" t="s">
        <x:v>463</x:v>
      </x:c>
      <x:c r="N169" s="6" t="s">
        <x:v>464</x:v>
      </x:c>
      <x:c r="O169" s="6" t="s">
        <x:v>230</x:v>
      </x:c>
      <x:c r="P169" s="9"/>
      <x:c r="Q169" s="9"/>
      <x:c r="R169" s="9"/>
      <x:c r="S169" s="9"/>
      <x:c r="T169" s="9"/>
      <x:c r="U169" s="9"/>
      <x:c r="V169" s="9"/>
      <x:c r="W169" s="9"/>
      <x:c r="X169" s="12" t="str">
        <x:f t="shared" si="10"/>
      </x:c>
      <x:c r="Y169" s="12" t="str">
        <x:f t="shared" si="11"/>
      </x:c>
      <x:c r="Z169" s="9" t="s">
        <x:v>870</x:v>
      </x:c>
      <x:c r="AA169" s="9"/>
      <x:c r="AB169" s="9"/>
      <x:c r="AC169" s="9"/>
      <x:c r="AD169" s="9"/>
      <x:c r="AE169" s="9"/>
      <x:c r="AF169" s="9"/>
      <x:c r="AG169" s="9"/>
      <x:c r="AH169" s="9"/>
      <x:c r="AI169" s="9"/>
      <x:c r="AJ169" s="9"/>
      <x:c r="AK169" s="9"/>
      <x:c r="AL169" s="12" t="str">
        <x:f t="shared" si="12"/>
      </x:c>
      <x:c r="AM169" s="11" t="str">
        <x:f t="shared" si="13"/>
      </x:c>
      <x:c r="AN169" s="11" t="str">
        <x:f t="shared" si="14"/>
      </x:c>
      <x:c r="AO169" s="9"/>
      <x:c r="AP169" s="9"/>
      <x:c r="AQ169" s="27" t="s">
        <x:v>460</x:v>
      </x:c>
    </x:row>
    <x:row r="170" ht="118.05000305175781" customHeight="1">
      <x:c r="A170" s="6" t="s">
        <x:v>1056</x:v>
      </x:c>
      <x:c r="B170" s="6" t="s">
        <x:v>457</x:v>
      </x:c>
      <x:c r="C170" s="6" t="s">
        <x:v>50</x:v>
      </x:c>
      <x:c r="D170" s="6" t="s">
        <x:v>458</x:v>
      </x:c>
      <x:c r="E170" s="6" t="s">
        <x:v>214</x:v>
      </x:c>
      <x:c r="F170" s="6" t="s">
        <x:v>459</x:v>
      </x:c>
      <x:c r="G170" s="6" t="s">
        <x:v>707</x:v>
      </x:c>
      <x:c r="H170" s="6" t="s">
        <x:v>709</x:v>
      </x:c>
      <x:c r="I170" s="6" t="s">
        <x:v>1034</x:v>
      </x:c>
      <x:c r="J170" s="6" t="s">
        <x:v>1035</x:v>
      </x:c>
      <x:c r="K170" s="6" t="s">
        <x:v>462</x:v>
      </x:c>
      <x:c r="L170" s="6" t="s">
        <x:v>438</x:v>
      </x:c>
      <x:c r="M170" s="6" t="s">
        <x:v>463</x:v>
      </x:c>
      <x:c r="N170" s="6" t="s">
        <x:v>464</x:v>
      </x:c>
      <x:c r="O170" s="6" t="s">
        <x:v>230</x:v>
      </x:c>
      <x:c r="P170" s="9"/>
      <x:c r="Q170" s="9"/>
      <x:c r="R170" s="9"/>
      <x:c r="S170" s="9"/>
      <x:c r="T170" s="9"/>
      <x:c r="U170" s="9"/>
      <x:c r="V170" s="9"/>
      <x:c r="W170" s="9"/>
      <x:c r="X170" s="12" t="str">
        <x:f t="shared" si="10"/>
      </x:c>
      <x:c r="Y170" s="12" t="str">
        <x:f t="shared" si="11"/>
      </x:c>
      <x:c r="Z170" s="9" t="s">
        <x:v>870</x:v>
      </x:c>
      <x:c r="AA170" s="9"/>
      <x:c r="AB170" s="9"/>
      <x:c r="AC170" s="9"/>
      <x:c r="AD170" s="9"/>
      <x:c r="AE170" s="9"/>
      <x:c r="AF170" s="9"/>
      <x:c r="AG170" s="9"/>
      <x:c r="AH170" s="9"/>
      <x:c r="AI170" s="9"/>
      <x:c r="AJ170" s="9"/>
      <x:c r="AK170" s="9"/>
      <x:c r="AL170" s="12" t="str">
        <x:f t="shared" si="12"/>
      </x:c>
      <x:c r="AM170" s="11" t="str">
        <x:f t="shared" si="13"/>
      </x:c>
      <x:c r="AN170" s="11" t="str">
        <x:f t="shared" si="14"/>
      </x:c>
      <x:c r="AO170" s="9"/>
      <x:c r="AP170" s="9"/>
      <x:c r="AQ170" s="27" t="s">
        <x:v>460</x:v>
      </x:c>
    </x:row>
    <x:row r="171" ht="118.05000305175781" customHeight="1">
      <x:c r="A171" s="6" t="s">
        <x:v>1057</x:v>
      </x:c>
      <x:c r="B171" s="6" t="s">
        <x:v>457</x:v>
      </x:c>
      <x:c r="C171" s="6" t="s">
        <x:v>50</x:v>
      </x:c>
      <x:c r="D171" s="6" t="s">
        <x:v>458</x:v>
      </x:c>
      <x:c r="E171" s="6" t="s">
        <x:v>214</x:v>
      </x:c>
      <x:c r="F171" s="6" t="s">
        <x:v>459</x:v>
      </x:c>
      <x:c r="G171" s="6" t="s">
        <x:v>707</x:v>
      </x:c>
      <x:c r="H171" s="6" t="s">
        <x:v>709</x:v>
      </x:c>
      <x:c r="I171" s="6" t="s">
        <x:v>1054</x:v>
      </x:c>
      <x:c r="J171" s="6" t="s">
        <x:v>1055</x:v>
      </x:c>
      <x:c r="K171" s="6" t="s">
        <x:v>462</x:v>
      </x:c>
      <x:c r="L171" s="6" t="s">
        <x:v>438</x:v>
      </x:c>
      <x:c r="M171" s="6" t="s">
        <x:v>463</x:v>
      </x:c>
      <x:c r="N171" s="6" t="s">
        <x:v>464</x:v>
      </x:c>
      <x:c r="O171" s="6" t="s">
        <x:v>230</x:v>
      </x:c>
      <x:c r="P171" s="9"/>
      <x:c r="Q171" s="9"/>
      <x:c r="R171" s="9"/>
      <x:c r="S171" s="9"/>
      <x:c r="T171" s="9"/>
      <x:c r="U171" s="9"/>
      <x:c r="V171" s="9"/>
      <x:c r="W171" s="9"/>
      <x:c r="X171" s="12" t="str">
        <x:f t="shared" si="10"/>
      </x:c>
      <x:c r="Y171" s="12" t="str">
        <x:f t="shared" si="11"/>
      </x:c>
      <x:c r="Z171" s="9" t="s">
        <x:v>870</x:v>
      </x:c>
      <x:c r="AA171" s="9"/>
      <x:c r="AB171" s="9"/>
      <x:c r="AC171" s="9"/>
      <x:c r="AD171" s="9"/>
      <x:c r="AE171" s="9"/>
      <x:c r="AF171" s="9"/>
      <x:c r="AG171" s="9"/>
      <x:c r="AH171" s="9"/>
      <x:c r="AI171" s="9"/>
      <x:c r="AJ171" s="9"/>
      <x:c r="AK171" s="9"/>
      <x:c r="AL171" s="12" t="str">
        <x:f t="shared" si="12"/>
      </x:c>
      <x:c r="AM171" s="11" t="str">
        <x:f t="shared" si="13"/>
      </x:c>
      <x:c r="AN171" s="11" t="str">
        <x:f t="shared" si="14"/>
      </x:c>
      <x:c r="AO171" s="9"/>
      <x:c r="AP171" s="9"/>
      <x:c r="AQ171" s="27" t="s">
        <x:v>460</x:v>
      </x:c>
    </x:row>
    <x:row r="172" ht="118.05000305175781" customHeight="1">
      <x:c r="A172" s="6" t="s">
        <x:v>1058</x:v>
      </x:c>
      <x:c r="B172" s="6" t="s">
        <x:v>457</x:v>
      </x:c>
      <x:c r="C172" s="6" t="s">
        <x:v>50</x:v>
      </x:c>
      <x:c r="D172" s="6" t="s">
        <x:v>458</x:v>
      </x:c>
      <x:c r="E172" s="6" t="s">
        <x:v>214</x:v>
      </x:c>
      <x:c r="F172" s="6" t="s">
        <x:v>459</x:v>
      </x:c>
      <x:c r="G172" s="6" t="s">
        <x:v>724</x:v>
      </x:c>
      <x:c r="H172" s="6" t="s">
        <x:v>726</x:v>
      </x:c>
      <x:c r="I172" s="6" t="s">
        <x:v>1034</x:v>
      </x:c>
      <x:c r="J172" s="6" t="s">
        <x:v>1035</x:v>
      </x:c>
      <x:c r="K172" s="6" t="s">
        <x:v>462</x:v>
      </x:c>
      <x:c r="L172" s="6" t="s">
        <x:v>438</x:v>
      </x:c>
      <x:c r="M172" s="6" t="s">
        <x:v>463</x:v>
      </x:c>
      <x:c r="N172" s="6" t="s">
        <x:v>464</x:v>
      </x:c>
      <x:c r="O172" s="6" t="s">
        <x:v>230</x:v>
      </x:c>
      <x:c r="P172" s="9"/>
      <x:c r="Q172" s="9"/>
      <x:c r="R172" s="9"/>
      <x:c r="S172" s="9"/>
      <x:c r="T172" s="9"/>
      <x:c r="U172" s="9"/>
      <x:c r="V172" s="9"/>
      <x:c r="W172" s="9"/>
      <x:c r="X172" s="12" t="str">
        <x:f t="shared" si="10"/>
      </x:c>
      <x:c r="Y172" s="12" t="str">
        <x:f t="shared" si="11"/>
      </x:c>
      <x:c r="Z172" s="9" t="s">
        <x:v>870</x:v>
      </x:c>
      <x:c r="AA172" s="9"/>
      <x:c r="AB172" s="9"/>
      <x:c r="AC172" s="9"/>
      <x:c r="AD172" s="9"/>
      <x:c r="AE172" s="9"/>
      <x:c r="AF172" s="9"/>
      <x:c r="AG172" s="9"/>
      <x:c r="AH172" s="9"/>
      <x:c r="AI172" s="9"/>
      <x:c r="AJ172" s="9"/>
      <x:c r="AK172" s="9"/>
      <x:c r="AL172" s="12" t="str">
        <x:f t="shared" si="12"/>
      </x:c>
      <x:c r="AM172" s="11" t="str">
        <x:f t="shared" si="13"/>
      </x:c>
      <x:c r="AN172" s="11" t="str">
        <x:f t="shared" si="14"/>
      </x:c>
      <x:c r="AO172" s="9"/>
      <x:c r="AP172" s="9"/>
      <x:c r="AQ172" s="27" t="s">
        <x:v>460</x:v>
      </x:c>
    </x:row>
    <x:row r="173" ht="118.05000305175781" customHeight="1">
      <x:c r="A173" s="6" t="s">
        <x:v>1059</x:v>
      </x:c>
      <x:c r="B173" s="6" t="s">
        <x:v>457</x:v>
      </x:c>
      <x:c r="C173" s="6" t="s">
        <x:v>50</x:v>
      </x:c>
      <x:c r="D173" s="6" t="s">
        <x:v>458</x:v>
      </x:c>
      <x:c r="E173" s="6" t="s">
        <x:v>214</x:v>
      </x:c>
      <x:c r="F173" s="6" t="s">
        <x:v>459</x:v>
      </x:c>
      <x:c r="G173" s="6" t="s">
        <x:v>724</x:v>
      </x:c>
      <x:c r="H173" s="6" t="s">
        <x:v>726</x:v>
      </x:c>
      <x:c r="I173" s="6" t="s">
        <x:v>1054</x:v>
      </x:c>
      <x:c r="J173" s="6" t="s">
        <x:v>1055</x:v>
      </x:c>
      <x:c r="K173" s="6" t="s">
        <x:v>462</x:v>
      </x:c>
      <x:c r="L173" s="6" t="s">
        <x:v>438</x:v>
      </x:c>
      <x:c r="M173" s="6" t="s">
        <x:v>463</x:v>
      </x:c>
      <x:c r="N173" s="6" t="s">
        <x:v>464</x:v>
      </x:c>
      <x:c r="O173" s="6" t="s">
        <x:v>230</x:v>
      </x:c>
      <x:c r="P173" s="9"/>
      <x:c r="Q173" s="9"/>
      <x:c r="R173" s="9"/>
      <x:c r="S173" s="9"/>
      <x:c r="T173" s="9"/>
      <x:c r="U173" s="9"/>
      <x:c r="V173" s="9"/>
      <x:c r="W173" s="9"/>
      <x:c r="X173" s="12" t="str">
        <x:f t="shared" si="10"/>
      </x:c>
      <x:c r="Y173" s="12" t="str">
        <x:f t="shared" si="11"/>
      </x:c>
      <x:c r="Z173" s="9" t="s">
        <x:v>870</x:v>
      </x:c>
      <x:c r="AA173" s="9"/>
      <x:c r="AB173" s="9"/>
      <x:c r="AC173" s="9"/>
      <x:c r="AD173" s="9"/>
      <x:c r="AE173" s="9"/>
      <x:c r="AF173" s="9"/>
      <x:c r="AG173" s="9"/>
      <x:c r="AH173" s="9"/>
      <x:c r="AI173" s="9"/>
      <x:c r="AJ173" s="9"/>
      <x:c r="AK173" s="9"/>
      <x:c r="AL173" s="12" t="str">
        <x:f t="shared" si="12"/>
      </x:c>
      <x:c r="AM173" s="11" t="str">
        <x:f t="shared" si="13"/>
      </x:c>
      <x:c r="AN173" s="11" t="str">
        <x:f t="shared" si="14"/>
      </x:c>
      <x:c r="AO173" s="9"/>
      <x:c r="AP173" s="9"/>
      <x:c r="AQ173" s="27" t="s">
        <x:v>460</x:v>
      </x:c>
    </x:row>
    <x:row r="174" ht="118.05000305175781" customHeight="1">
      <x:c r="A174" s="6" t="s">
        <x:v>1060</x:v>
      </x:c>
      <x:c r="B174" s="6" t="s">
        <x:v>465</x:v>
      </x:c>
      <x:c r="C174" s="6" t="s">
        <x:v>50</x:v>
      </x:c>
      <x:c r="D174" s="6" t="s">
        <x:v>466</x:v>
      </x:c>
      <x:c r="E174" s="6" t="s">
        <x:v>241</x:v>
      </x:c>
      <x:c r="F174" s="6" t="s">
        <x:v>467</x:v>
      </x:c>
      <x:c r="G174" s="6" t="s">
        <x:v>696</x:v>
      </x:c>
      <x:c r="H174" s="6" t="s">
        <x:v>698</x:v>
      </x:c>
      <x:c r="I174" s="6" t="s">
        <x:v>1034</x:v>
      </x:c>
      <x:c r="J174" s="6" t="s">
        <x:v>1035</x:v>
      </x:c>
      <x:c r="K174" s="6" t="s">
        <x:v>470</x:v>
      </x:c>
      <x:c r="L174" s="6" t="s">
        <x:v>438</x:v>
      </x:c>
      <x:c r="M174" s="6" t="s">
        <x:v>471</x:v>
      </x:c>
      <x:c r="N174" s="6" t="s">
        <x:v>472</x:v>
      </x:c>
      <x:c r="O174" s="6" t="s">
        <x:v>230</x:v>
      </x:c>
      <x:c r="P174" s="9"/>
      <x:c r="Q174" s="9"/>
      <x:c r="R174" s="9"/>
      <x:c r="S174" s="9"/>
      <x:c r="T174" s="9"/>
      <x:c r="U174" s="9"/>
      <x:c r="V174" s="9"/>
      <x:c r="W174" s="9"/>
      <x:c r="X174" s="12" t="str">
        <x:f t="shared" si="10"/>
      </x:c>
      <x:c r="Y174" s="12" t="str">
        <x:f t="shared" si="11"/>
      </x:c>
      <x:c r="Z174" s="9" t="s">
        <x:v>870</x:v>
      </x:c>
      <x:c r="AA174" s="9"/>
      <x:c r="AB174" s="9"/>
      <x:c r="AC174" s="9"/>
      <x:c r="AD174" s="9"/>
      <x:c r="AE174" s="9"/>
      <x:c r="AF174" s="9"/>
      <x:c r="AG174" s="9"/>
      <x:c r="AH174" s="9"/>
      <x:c r="AI174" s="9"/>
      <x:c r="AJ174" s="9"/>
      <x:c r="AK174" s="9"/>
      <x:c r="AL174" s="12" t="str">
        <x:f t="shared" si="12"/>
      </x:c>
      <x:c r="AM174" s="11" t="str">
        <x:f t="shared" si="13"/>
      </x:c>
      <x:c r="AN174" s="11" t="str">
        <x:f t="shared" si="14"/>
      </x:c>
      <x:c r="AO174" s="9"/>
      <x:c r="AP174" s="9"/>
      <x:c r="AQ174" s="27" t="s">
        <x:v>468</x:v>
      </x:c>
    </x:row>
    <x:row r="175" ht="118.05000305175781" customHeight="1">
      <x:c r="A175" s="6" t="s">
        <x:v>1061</x:v>
      </x:c>
      <x:c r="B175" s="6" t="s">
        <x:v>465</x:v>
      </x:c>
      <x:c r="C175" s="6" t="s">
        <x:v>50</x:v>
      </x:c>
      <x:c r="D175" s="6" t="s">
        <x:v>466</x:v>
      </x:c>
      <x:c r="E175" s="6" t="s">
        <x:v>241</x:v>
      </x:c>
      <x:c r="F175" s="6" t="s">
        <x:v>467</x:v>
      </x:c>
      <x:c r="G175" s="6" t="s">
        <x:v>696</x:v>
      </x:c>
      <x:c r="H175" s="6" t="s">
        <x:v>698</x:v>
      </x:c>
      <x:c r="I175" s="6" t="s">
        <x:v>1046</x:v>
      </x:c>
      <x:c r="J175" s="6" t="s">
        <x:v>1047</x:v>
      </x:c>
      <x:c r="K175" s="6" t="s">
        <x:v>470</x:v>
      </x:c>
      <x:c r="L175" s="6" t="s">
        <x:v>438</x:v>
      </x:c>
      <x:c r="M175" s="6" t="s">
        <x:v>471</x:v>
      </x:c>
      <x:c r="N175" s="6" t="s">
        <x:v>472</x:v>
      </x:c>
      <x:c r="O175" s="6" t="s">
        <x:v>230</x:v>
      </x:c>
      <x:c r="P175" s="9"/>
      <x:c r="Q175" s="9"/>
      <x:c r="R175" s="9"/>
      <x:c r="S175" s="9"/>
      <x:c r="T175" s="9"/>
      <x:c r="U175" s="9"/>
      <x:c r="V175" s="9"/>
      <x:c r="W175" s="9"/>
      <x:c r="X175" s="12" t="str">
        <x:f t="shared" si="10"/>
      </x:c>
      <x:c r="Y175" s="12" t="str">
        <x:f t="shared" si="11"/>
      </x:c>
      <x:c r="Z175" s="9" t="s">
        <x:v>870</x:v>
      </x:c>
      <x:c r="AA175" s="9"/>
      <x:c r="AB175" s="9"/>
      <x:c r="AC175" s="9"/>
      <x:c r="AD175" s="9"/>
      <x:c r="AE175" s="9"/>
      <x:c r="AF175" s="9"/>
      <x:c r="AG175" s="9"/>
      <x:c r="AH175" s="9"/>
      <x:c r="AI175" s="9"/>
      <x:c r="AJ175" s="9"/>
      <x:c r="AK175" s="9"/>
      <x:c r="AL175" s="12" t="str">
        <x:f t="shared" si="12"/>
      </x:c>
      <x:c r="AM175" s="11" t="str">
        <x:f t="shared" si="13"/>
      </x:c>
      <x:c r="AN175" s="11" t="str">
        <x:f t="shared" si="14"/>
      </x:c>
      <x:c r="AO175" s="9"/>
      <x:c r="AP175" s="9"/>
      <x:c r="AQ175" s="27" t="s">
        <x:v>468</x:v>
      </x:c>
    </x:row>
    <x:row r="176" ht="118.05000305175781" customHeight="1">
      <x:c r="A176" s="6" t="s">
        <x:v>1062</x:v>
      </x:c>
      <x:c r="B176" s="6" t="s">
        <x:v>465</x:v>
      </x:c>
      <x:c r="C176" s="6" t="s">
        <x:v>50</x:v>
      </x:c>
      <x:c r="D176" s="6" t="s">
        <x:v>466</x:v>
      </x:c>
      <x:c r="E176" s="6" t="s">
        <x:v>241</x:v>
      </x:c>
      <x:c r="F176" s="6" t="s">
        <x:v>467</x:v>
      </x:c>
      <x:c r="G176" s="6" t="s">
        <x:v>707</x:v>
      </x:c>
      <x:c r="H176" s="6" t="s">
        <x:v>709</x:v>
      </x:c>
      <x:c r="I176" s="6" t="s">
        <x:v>1034</x:v>
      </x:c>
      <x:c r="J176" s="6" t="s">
        <x:v>1035</x:v>
      </x:c>
      <x:c r="K176" s="6" t="s">
        <x:v>470</x:v>
      </x:c>
      <x:c r="L176" s="6" t="s">
        <x:v>438</x:v>
      </x:c>
      <x:c r="M176" s="6" t="s">
        <x:v>471</x:v>
      </x:c>
      <x:c r="N176" s="6" t="s">
        <x:v>472</x:v>
      </x:c>
      <x:c r="O176" s="6" t="s">
        <x:v>230</x:v>
      </x:c>
      <x:c r="P176" s="9"/>
      <x:c r="Q176" s="9"/>
      <x:c r="R176" s="9"/>
      <x:c r="S176" s="9"/>
      <x:c r="T176" s="9"/>
      <x:c r="U176" s="9"/>
      <x:c r="V176" s="9"/>
      <x:c r="W176" s="9"/>
      <x:c r="X176" s="12" t="str">
        <x:f t="shared" si="10"/>
      </x:c>
      <x:c r="Y176" s="12" t="str">
        <x:f t="shared" si="11"/>
      </x:c>
      <x:c r="Z176" s="9" t="s">
        <x:v>870</x:v>
      </x:c>
      <x:c r="AA176" s="9"/>
      <x:c r="AB176" s="9"/>
      <x:c r="AC176" s="9"/>
      <x:c r="AD176" s="9"/>
      <x:c r="AE176" s="9"/>
      <x:c r="AF176" s="9"/>
      <x:c r="AG176" s="9"/>
      <x:c r="AH176" s="9"/>
      <x:c r="AI176" s="9"/>
      <x:c r="AJ176" s="9"/>
      <x:c r="AK176" s="9"/>
      <x:c r="AL176" s="12" t="str">
        <x:f t="shared" si="12"/>
      </x:c>
      <x:c r="AM176" s="11" t="str">
        <x:f t="shared" si="13"/>
      </x:c>
      <x:c r="AN176" s="11" t="str">
        <x:f t="shared" si="14"/>
      </x:c>
      <x:c r="AO176" s="9"/>
      <x:c r="AP176" s="9"/>
      <x:c r="AQ176" s="27" t="s">
        <x:v>468</x:v>
      </x:c>
    </x:row>
    <x:row r="177" ht="118.05000305175781" customHeight="1">
      <x:c r="A177" s="6" t="s">
        <x:v>1063</x:v>
      </x:c>
      <x:c r="B177" s="6" t="s">
        <x:v>465</x:v>
      </x:c>
      <x:c r="C177" s="6" t="s">
        <x:v>50</x:v>
      </x:c>
      <x:c r="D177" s="6" t="s">
        <x:v>466</x:v>
      </x:c>
      <x:c r="E177" s="6" t="s">
        <x:v>241</x:v>
      </x:c>
      <x:c r="F177" s="6" t="s">
        <x:v>467</x:v>
      </x:c>
      <x:c r="G177" s="6" t="s">
        <x:v>707</x:v>
      </x:c>
      <x:c r="H177" s="6" t="s">
        <x:v>709</x:v>
      </x:c>
      <x:c r="I177" s="6" t="s">
        <x:v>1046</x:v>
      </x:c>
      <x:c r="J177" s="6" t="s">
        <x:v>1047</x:v>
      </x:c>
      <x:c r="K177" s="6" t="s">
        <x:v>470</x:v>
      </x:c>
      <x:c r="L177" s="6" t="s">
        <x:v>438</x:v>
      </x:c>
      <x:c r="M177" s="6" t="s">
        <x:v>471</x:v>
      </x:c>
      <x:c r="N177" s="6" t="s">
        <x:v>472</x:v>
      </x:c>
      <x:c r="O177" s="6" t="s">
        <x:v>230</x:v>
      </x:c>
      <x:c r="P177" s="9"/>
      <x:c r="Q177" s="9"/>
      <x:c r="R177" s="9"/>
      <x:c r="S177" s="9"/>
      <x:c r="T177" s="9"/>
      <x:c r="U177" s="9"/>
      <x:c r="V177" s="9"/>
      <x:c r="W177" s="9"/>
      <x:c r="X177" s="12" t="str">
        <x:f t="shared" si="10"/>
      </x:c>
      <x:c r="Y177" s="12" t="str">
        <x:f t="shared" si="11"/>
      </x:c>
      <x:c r="Z177" s="9" t="s">
        <x:v>870</x:v>
      </x:c>
      <x:c r="AA177" s="9"/>
      <x:c r="AB177" s="9"/>
      <x:c r="AC177" s="9"/>
      <x:c r="AD177" s="9"/>
      <x:c r="AE177" s="9"/>
      <x:c r="AF177" s="9"/>
      <x:c r="AG177" s="9"/>
      <x:c r="AH177" s="9"/>
      <x:c r="AI177" s="9"/>
      <x:c r="AJ177" s="9"/>
      <x:c r="AK177" s="9"/>
      <x:c r="AL177" s="12" t="str">
        <x:f t="shared" si="12"/>
      </x:c>
      <x:c r="AM177" s="11" t="str">
        <x:f t="shared" si="13"/>
      </x:c>
      <x:c r="AN177" s="11" t="str">
        <x:f t="shared" si="14"/>
      </x:c>
      <x:c r="AO177" s="9"/>
      <x:c r="AP177" s="9"/>
      <x:c r="AQ177" s="27" t="s">
        <x:v>468</x:v>
      </x:c>
    </x:row>
    <x:row r="178" ht="118.05000305175781" customHeight="1">
      <x:c r="A178" s="6" t="s">
        <x:v>1064</x:v>
      </x:c>
      <x:c r="B178" s="6" t="s">
        <x:v>465</x:v>
      </x:c>
      <x:c r="C178" s="6" t="s">
        <x:v>50</x:v>
      </x:c>
      <x:c r="D178" s="6" t="s">
        <x:v>466</x:v>
      </x:c>
      <x:c r="E178" s="6" t="s">
        <x:v>241</x:v>
      </x:c>
      <x:c r="F178" s="6" t="s">
        <x:v>467</x:v>
      </x:c>
      <x:c r="G178" s="6" t="s">
        <x:v>724</x:v>
      </x:c>
      <x:c r="H178" s="6" t="s">
        <x:v>726</x:v>
      </x:c>
      <x:c r="I178" s="6" t="s">
        <x:v>1034</x:v>
      </x:c>
      <x:c r="J178" s="6" t="s">
        <x:v>1035</x:v>
      </x:c>
      <x:c r="K178" s="6" t="s">
        <x:v>470</x:v>
      </x:c>
      <x:c r="L178" s="6" t="s">
        <x:v>438</x:v>
      </x:c>
      <x:c r="M178" s="6" t="s">
        <x:v>471</x:v>
      </x:c>
      <x:c r="N178" s="6" t="s">
        <x:v>472</x:v>
      </x:c>
      <x:c r="O178" s="6" t="s">
        <x:v>230</x:v>
      </x:c>
      <x:c r="P178" s="9"/>
      <x:c r="Q178" s="9"/>
      <x:c r="R178" s="9"/>
      <x:c r="S178" s="9"/>
      <x:c r="T178" s="9"/>
      <x:c r="U178" s="9"/>
      <x:c r="V178" s="9"/>
      <x:c r="W178" s="9"/>
      <x:c r="X178" s="12" t="str">
        <x:f t="shared" si="10"/>
      </x:c>
      <x:c r="Y178" s="12" t="str">
        <x:f t="shared" si="11"/>
      </x:c>
      <x:c r="Z178" s="9" t="s">
        <x:v>870</x:v>
      </x:c>
      <x:c r="AA178" s="9"/>
      <x:c r="AB178" s="9"/>
      <x:c r="AC178" s="9"/>
      <x:c r="AD178" s="9"/>
      <x:c r="AE178" s="9"/>
      <x:c r="AF178" s="9"/>
      <x:c r="AG178" s="9"/>
      <x:c r="AH178" s="9"/>
      <x:c r="AI178" s="9"/>
      <x:c r="AJ178" s="9"/>
      <x:c r="AK178" s="9"/>
      <x:c r="AL178" s="12" t="str">
        <x:f t="shared" si="12"/>
      </x:c>
      <x:c r="AM178" s="11" t="str">
        <x:f t="shared" si="13"/>
      </x:c>
      <x:c r="AN178" s="11" t="str">
        <x:f t="shared" si="14"/>
      </x:c>
      <x:c r="AO178" s="9"/>
      <x:c r="AP178" s="9"/>
      <x:c r="AQ178" s="27" t="s">
        <x:v>468</x:v>
      </x:c>
    </x:row>
    <x:row r="179" ht="118.05000305175781" customHeight="1">
      <x:c r="A179" s="6" t="s">
        <x:v>1065</x:v>
      </x:c>
      <x:c r="B179" s="6" t="s">
        <x:v>465</x:v>
      </x:c>
      <x:c r="C179" s="6" t="s">
        <x:v>50</x:v>
      </x:c>
      <x:c r="D179" s="6" t="s">
        <x:v>466</x:v>
      </x:c>
      <x:c r="E179" s="6" t="s">
        <x:v>241</x:v>
      </x:c>
      <x:c r="F179" s="6" t="s">
        <x:v>467</x:v>
      </x:c>
      <x:c r="G179" s="6" t="s">
        <x:v>724</x:v>
      </x:c>
      <x:c r="H179" s="6" t="s">
        <x:v>726</x:v>
      </x:c>
      <x:c r="I179" s="6" t="s">
        <x:v>1046</x:v>
      </x:c>
      <x:c r="J179" s="6" t="s">
        <x:v>1047</x:v>
      </x:c>
      <x:c r="K179" s="6" t="s">
        <x:v>470</x:v>
      </x:c>
      <x:c r="L179" s="6" t="s">
        <x:v>438</x:v>
      </x:c>
      <x:c r="M179" s="6" t="s">
        <x:v>471</x:v>
      </x:c>
      <x:c r="N179" s="6" t="s">
        <x:v>472</x:v>
      </x:c>
      <x:c r="O179" s="6" t="s">
        <x:v>230</x:v>
      </x:c>
      <x:c r="P179" s="9"/>
      <x:c r="Q179" s="9"/>
      <x:c r="R179" s="9"/>
      <x:c r="S179" s="9"/>
      <x:c r="T179" s="9"/>
      <x:c r="U179" s="9"/>
      <x:c r="V179" s="9"/>
      <x:c r="W179" s="9"/>
      <x:c r="X179" s="12" t="str">
        <x:f t="shared" si="10"/>
      </x:c>
      <x:c r="Y179" s="12" t="str">
        <x:f t="shared" si="11"/>
      </x:c>
      <x:c r="Z179" s="9" t="s">
        <x:v>870</x:v>
      </x:c>
      <x:c r="AA179" s="9"/>
      <x:c r="AB179" s="9"/>
      <x:c r="AC179" s="9"/>
      <x:c r="AD179" s="9"/>
      <x:c r="AE179" s="9"/>
      <x:c r="AF179" s="9"/>
      <x:c r="AG179" s="9"/>
      <x:c r="AH179" s="9"/>
      <x:c r="AI179" s="9"/>
      <x:c r="AJ179" s="9"/>
      <x:c r="AK179" s="9"/>
      <x:c r="AL179" s="12" t="str">
        <x:f t="shared" si="12"/>
      </x:c>
      <x:c r="AM179" s="11" t="str">
        <x:f t="shared" si="13"/>
      </x:c>
      <x:c r="AN179" s="11" t="str">
        <x:f t="shared" si="14"/>
      </x:c>
      <x:c r="AO179" s="9"/>
      <x:c r="AP179" s="9"/>
      <x:c r="AQ179" s="27" t="s">
        <x:v>468</x:v>
      </x:c>
    </x:row>
    <x:row r="180" ht="118.05000305175781" customHeight="1">
      <x:c r="A180" s="6" t="s">
        <x:v>1066</x:v>
      </x:c>
      <x:c r="B180" s="6" t="s">
        <x:v>473</x:v>
      </x:c>
      <x:c r="C180" s="6" t="s">
        <x:v>50</x:v>
      </x:c>
      <x:c r="D180" s="6" t="s">
        <x:v>474</x:v>
      </x:c>
      <x:c r="E180" s="6" t="s">
        <x:v>241</x:v>
      </x:c>
      <x:c r="F180" s="6" t="s">
        <x:v>475</x:v>
      </x:c>
      <x:c r="G180" s="6" t="s">
        <x:v>696</x:v>
      </x:c>
      <x:c r="H180" s="6" t="s">
        <x:v>698</x:v>
      </x:c>
      <x:c r="I180" s="6" t="s">
        <x:v>1031</x:v>
      </x:c>
      <x:c r="J180" s="6" t="s">
        <x:v>1032</x:v>
      </x:c>
      <x:c r="K180" s="6" t="s">
        <x:v>478</x:v>
      </x:c>
      <x:c r="L180" s="6" t="s">
        <x:v>438</x:v>
      </x:c>
      <x:c r="M180" s="6" t="s">
        <x:v>479</x:v>
      </x:c>
      <x:c r="N180" s="6" t="s">
        <x:v>480</x:v>
      </x:c>
      <x:c r="O180" s="6" t="s">
        <x:v>230</x:v>
      </x:c>
      <x:c r="P180" s="9"/>
      <x:c r="Q180" s="9"/>
      <x:c r="R180" s="9"/>
      <x:c r="S180" s="9"/>
      <x:c r="T180" s="9"/>
      <x:c r="U180" s="9"/>
      <x:c r="V180" s="9"/>
      <x:c r="W180" s="9"/>
      <x:c r="X180" s="12" t="str">
        <x:f t="shared" si="10"/>
      </x:c>
      <x:c r="Y180" s="12" t="str">
        <x:f t="shared" si="11"/>
      </x:c>
      <x:c r="Z180" s="9" t="s">
        <x:v>870</x:v>
      </x:c>
      <x:c r="AA180" s="9"/>
      <x:c r="AB180" s="9"/>
      <x:c r="AC180" s="9"/>
      <x:c r="AD180" s="9"/>
      <x:c r="AE180" s="9"/>
      <x:c r="AF180" s="9"/>
      <x:c r="AG180" s="9"/>
      <x:c r="AH180" s="9"/>
      <x:c r="AI180" s="9"/>
      <x:c r="AJ180" s="9"/>
      <x:c r="AK180" s="9"/>
      <x:c r="AL180" s="12" t="str">
        <x:f t="shared" si="12"/>
      </x:c>
      <x:c r="AM180" s="11" t="str">
        <x:f t="shared" si="13"/>
      </x:c>
      <x:c r="AN180" s="11" t="str">
        <x:f t="shared" si="14"/>
      </x:c>
      <x:c r="AO180" s="9"/>
      <x:c r="AP180" s="9"/>
      <x:c r="AQ180" s="27" t="s">
        <x:v>476</x:v>
      </x:c>
    </x:row>
    <x:row r="181" ht="118.05000305175781" customHeight="1">
      <x:c r="A181" s="6" t="s">
        <x:v>1067</x:v>
      </x:c>
      <x:c r="B181" s="6" t="s">
        <x:v>473</x:v>
      </x:c>
      <x:c r="C181" s="6" t="s">
        <x:v>50</x:v>
      </x:c>
      <x:c r="D181" s="6" t="s">
        <x:v>474</x:v>
      </x:c>
      <x:c r="E181" s="6" t="s">
        <x:v>241</x:v>
      </x:c>
      <x:c r="F181" s="6" t="s">
        <x:v>475</x:v>
      </x:c>
      <x:c r="G181" s="6" t="s">
        <x:v>696</x:v>
      </x:c>
      <x:c r="H181" s="6" t="s">
        <x:v>698</x:v>
      </x:c>
      <x:c r="I181" s="6" t="s">
        <x:v>1068</x:v>
      </x:c>
      <x:c r="J181" s="6" t="s">
        <x:v>1069</x:v>
      </x:c>
      <x:c r="K181" s="6" t="s">
        <x:v>478</x:v>
      </x:c>
      <x:c r="L181" s="6" t="s">
        <x:v>438</x:v>
      </x:c>
      <x:c r="M181" s="6" t="s">
        <x:v>479</x:v>
      </x:c>
      <x:c r="N181" s="6" t="s">
        <x:v>480</x:v>
      </x:c>
      <x:c r="O181" s="6" t="s">
        <x:v>230</x:v>
      </x:c>
      <x:c r="P181" s="9"/>
      <x:c r="Q181" s="9"/>
      <x:c r="R181" s="9"/>
      <x:c r="S181" s="9"/>
      <x:c r="T181" s="9"/>
      <x:c r="U181" s="9"/>
      <x:c r="V181" s="9"/>
      <x:c r="W181" s="9"/>
      <x:c r="X181" s="12" t="str">
        <x:f t="shared" si="10"/>
      </x:c>
      <x:c r="Y181" s="12" t="str">
        <x:f t="shared" si="11"/>
      </x:c>
      <x:c r="Z181" s="9" t="s">
        <x:v>870</x:v>
      </x:c>
      <x:c r="AA181" s="9"/>
      <x:c r="AB181" s="9"/>
      <x:c r="AC181" s="9"/>
      <x:c r="AD181" s="9"/>
      <x:c r="AE181" s="9"/>
      <x:c r="AF181" s="9"/>
      <x:c r="AG181" s="9"/>
      <x:c r="AH181" s="9"/>
      <x:c r="AI181" s="9"/>
      <x:c r="AJ181" s="9"/>
      <x:c r="AK181" s="9"/>
      <x:c r="AL181" s="12" t="str">
        <x:f t="shared" si="12"/>
      </x:c>
      <x:c r="AM181" s="11" t="str">
        <x:f t="shared" si="13"/>
      </x:c>
      <x:c r="AN181" s="11" t="str">
        <x:f t="shared" si="14"/>
      </x:c>
      <x:c r="AO181" s="9"/>
      <x:c r="AP181" s="9"/>
      <x:c r="AQ181" s="27" t="s">
        <x:v>476</x:v>
      </x:c>
    </x:row>
    <x:row r="182" ht="118.05000305175781" customHeight="1">
      <x:c r="A182" s="6" t="s">
        <x:v>1070</x:v>
      </x:c>
      <x:c r="B182" s="6" t="s">
        <x:v>473</x:v>
      </x:c>
      <x:c r="C182" s="6" t="s">
        <x:v>50</x:v>
      </x:c>
      <x:c r="D182" s="6" t="s">
        <x:v>474</x:v>
      </x:c>
      <x:c r="E182" s="6" t="s">
        <x:v>241</x:v>
      </x:c>
      <x:c r="F182" s="6" t="s">
        <x:v>475</x:v>
      </x:c>
      <x:c r="G182" s="6" t="s">
        <x:v>707</x:v>
      </x:c>
      <x:c r="H182" s="6" t="s">
        <x:v>709</x:v>
      </x:c>
      <x:c r="I182" s="6" t="s">
        <x:v>1031</x:v>
      </x:c>
      <x:c r="J182" s="6" t="s">
        <x:v>1032</x:v>
      </x:c>
      <x:c r="K182" s="6" t="s">
        <x:v>478</x:v>
      </x:c>
      <x:c r="L182" s="6" t="s">
        <x:v>438</x:v>
      </x:c>
      <x:c r="M182" s="6" t="s">
        <x:v>479</x:v>
      </x:c>
      <x:c r="N182" s="6" t="s">
        <x:v>480</x:v>
      </x:c>
      <x:c r="O182" s="6" t="s">
        <x:v>230</x:v>
      </x:c>
      <x:c r="P182" s="9"/>
      <x:c r="Q182" s="9"/>
      <x:c r="R182" s="9"/>
      <x:c r="S182" s="9"/>
      <x:c r="T182" s="9"/>
      <x:c r="U182" s="9"/>
      <x:c r="V182" s="9"/>
      <x:c r="W182" s="9"/>
      <x:c r="X182" s="12" t="str">
        <x:f t="shared" si="10"/>
      </x:c>
      <x:c r="Y182" s="12" t="str">
        <x:f t="shared" si="11"/>
      </x:c>
      <x:c r="Z182" s="9" t="s">
        <x:v>870</x:v>
      </x:c>
      <x:c r="AA182" s="9"/>
      <x:c r="AB182" s="9"/>
      <x:c r="AC182" s="9"/>
      <x:c r="AD182" s="9"/>
      <x:c r="AE182" s="9"/>
      <x:c r="AF182" s="9"/>
      <x:c r="AG182" s="9"/>
      <x:c r="AH182" s="9"/>
      <x:c r="AI182" s="9"/>
      <x:c r="AJ182" s="9"/>
      <x:c r="AK182" s="9"/>
      <x:c r="AL182" s="12" t="str">
        <x:f t="shared" si="12"/>
      </x:c>
      <x:c r="AM182" s="11" t="str">
        <x:f t="shared" si="13"/>
      </x:c>
      <x:c r="AN182" s="11" t="str">
        <x:f t="shared" si="14"/>
      </x:c>
      <x:c r="AO182" s="9"/>
      <x:c r="AP182" s="9"/>
      <x:c r="AQ182" s="27" t="s">
        <x:v>476</x:v>
      </x:c>
    </x:row>
    <x:row r="183" ht="118.05000305175781" customHeight="1">
      <x:c r="A183" s="6" t="s">
        <x:v>1071</x:v>
      </x:c>
      <x:c r="B183" s="6" t="s">
        <x:v>473</x:v>
      </x:c>
      <x:c r="C183" s="6" t="s">
        <x:v>50</x:v>
      </x:c>
      <x:c r="D183" s="6" t="s">
        <x:v>474</x:v>
      </x:c>
      <x:c r="E183" s="6" t="s">
        <x:v>241</x:v>
      </x:c>
      <x:c r="F183" s="6" t="s">
        <x:v>475</x:v>
      </x:c>
      <x:c r="G183" s="6" t="s">
        <x:v>707</x:v>
      </x:c>
      <x:c r="H183" s="6" t="s">
        <x:v>709</x:v>
      </x:c>
      <x:c r="I183" s="6" t="s">
        <x:v>1068</x:v>
      </x:c>
      <x:c r="J183" s="6" t="s">
        <x:v>1069</x:v>
      </x:c>
      <x:c r="K183" s="6" t="s">
        <x:v>478</x:v>
      </x:c>
      <x:c r="L183" s="6" t="s">
        <x:v>438</x:v>
      </x:c>
      <x:c r="M183" s="6" t="s">
        <x:v>479</x:v>
      </x:c>
      <x:c r="N183" s="6" t="s">
        <x:v>480</x:v>
      </x:c>
      <x:c r="O183" s="6" t="s">
        <x:v>230</x:v>
      </x:c>
      <x:c r="P183" s="9"/>
      <x:c r="Q183" s="9"/>
      <x:c r="R183" s="9"/>
      <x:c r="S183" s="9"/>
      <x:c r="T183" s="9"/>
      <x:c r="U183" s="9"/>
      <x:c r="V183" s="9"/>
      <x:c r="W183" s="9"/>
      <x:c r="X183" s="12" t="str">
        <x:f t="shared" si="10"/>
      </x:c>
      <x:c r="Y183" s="12" t="str">
        <x:f t="shared" si="11"/>
      </x:c>
      <x:c r="Z183" s="9" t="s">
        <x:v>870</x:v>
      </x:c>
      <x:c r="AA183" s="9"/>
      <x:c r="AB183" s="9"/>
      <x:c r="AC183" s="9"/>
      <x:c r="AD183" s="9"/>
      <x:c r="AE183" s="9"/>
      <x:c r="AF183" s="9"/>
      <x:c r="AG183" s="9"/>
      <x:c r="AH183" s="9"/>
      <x:c r="AI183" s="9"/>
      <x:c r="AJ183" s="9"/>
      <x:c r="AK183" s="9"/>
      <x:c r="AL183" s="12" t="str">
        <x:f t="shared" si="12"/>
      </x:c>
      <x:c r="AM183" s="11" t="str">
        <x:f t="shared" si="13"/>
      </x:c>
      <x:c r="AN183" s="11" t="str">
        <x:f t="shared" si="14"/>
      </x:c>
      <x:c r="AO183" s="9"/>
      <x:c r="AP183" s="9"/>
      <x:c r="AQ183" s="27" t="s">
        <x:v>476</x:v>
      </x:c>
    </x:row>
    <x:row r="184" ht="118.05000305175781" customHeight="1">
      <x:c r="A184" s="6" t="s">
        <x:v>1072</x:v>
      </x:c>
      <x:c r="B184" s="6" t="s">
        <x:v>473</x:v>
      </x:c>
      <x:c r="C184" s="6" t="s">
        <x:v>50</x:v>
      </x:c>
      <x:c r="D184" s="6" t="s">
        <x:v>474</x:v>
      </x:c>
      <x:c r="E184" s="6" t="s">
        <x:v>241</x:v>
      </x:c>
      <x:c r="F184" s="6" t="s">
        <x:v>475</x:v>
      </x:c>
      <x:c r="G184" s="6" t="s">
        <x:v>724</x:v>
      </x:c>
      <x:c r="H184" s="6" t="s">
        <x:v>726</x:v>
      </x:c>
      <x:c r="I184" s="6" t="s">
        <x:v>1031</x:v>
      </x:c>
      <x:c r="J184" s="6" t="s">
        <x:v>1032</x:v>
      </x:c>
      <x:c r="K184" s="6" t="s">
        <x:v>478</x:v>
      </x:c>
      <x:c r="L184" s="6" t="s">
        <x:v>438</x:v>
      </x:c>
      <x:c r="M184" s="6" t="s">
        <x:v>479</x:v>
      </x:c>
      <x:c r="N184" s="6" t="s">
        <x:v>480</x:v>
      </x:c>
      <x:c r="O184" s="6" t="s">
        <x:v>230</x:v>
      </x:c>
      <x:c r="P184" s="9"/>
      <x:c r="Q184" s="9"/>
      <x:c r="R184" s="9"/>
      <x:c r="S184" s="9"/>
      <x:c r="T184" s="9"/>
      <x:c r="U184" s="9"/>
      <x:c r="V184" s="9"/>
      <x:c r="W184" s="9"/>
      <x:c r="X184" s="12" t="str">
        <x:f t="shared" si="10"/>
      </x:c>
      <x:c r="Y184" s="12" t="str">
        <x:f t="shared" si="11"/>
      </x:c>
      <x:c r="Z184" s="9" t="s">
        <x:v>870</x:v>
      </x:c>
      <x:c r="AA184" s="9"/>
      <x:c r="AB184" s="9"/>
      <x:c r="AC184" s="9"/>
      <x:c r="AD184" s="9"/>
      <x:c r="AE184" s="9"/>
      <x:c r="AF184" s="9"/>
      <x:c r="AG184" s="9"/>
      <x:c r="AH184" s="9"/>
      <x:c r="AI184" s="9"/>
      <x:c r="AJ184" s="9"/>
      <x:c r="AK184" s="9"/>
      <x:c r="AL184" s="12" t="str">
        <x:f t="shared" si="12"/>
      </x:c>
      <x:c r="AM184" s="11" t="str">
        <x:f t="shared" si="13"/>
      </x:c>
      <x:c r="AN184" s="11" t="str">
        <x:f t="shared" si="14"/>
      </x:c>
      <x:c r="AO184" s="9"/>
      <x:c r="AP184" s="9"/>
      <x:c r="AQ184" s="27" t="s">
        <x:v>476</x:v>
      </x:c>
    </x:row>
    <x:row r="185" ht="118.05000305175781" customHeight="1">
      <x:c r="A185" s="6" t="s">
        <x:v>1073</x:v>
      </x:c>
      <x:c r="B185" s="6" t="s">
        <x:v>473</x:v>
      </x:c>
      <x:c r="C185" s="6" t="s">
        <x:v>50</x:v>
      </x:c>
      <x:c r="D185" s="6" t="s">
        <x:v>474</x:v>
      </x:c>
      <x:c r="E185" s="6" t="s">
        <x:v>241</x:v>
      </x:c>
      <x:c r="F185" s="6" t="s">
        <x:v>475</x:v>
      </x:c>
      <x:c r="G185" s="6" t="s">
        <x:v>724</x:v>
      </x:c>
      <x:c r="H185" s="6" t="s">
        <x:v>726</x:v>
      </x:c>
      <x:c r="I185" s="6" t="s">
        <x:v>1068</x:v>
      </x:c>
      <x:c r="J185" s="6" t="s">
        <x:v>1069</x:v>
      </x:c>
      <x:c r="K185" s="6" t="s">
        <x:v>478</x:v>
      </x:c>
      <x:c r="L185" s="6" t="s">
        <x:v>438</x:v>
      </x:c>
      <x:c r="M185" s="6" t="s">
        <x:v>479</x:v>
      </x:c>
      <x:c r="N185" s="6" t="s">
        <x:v>480</x:v>
      </x:c>
      <x:c r="O185" s="6" t="s">
        <x:v>230</x:v>
      </x:c>
      <x:c r="P185" s="9"/>
      <x:c r="Q185" s="9"/>
      <x:c r="R185" s="9"/>
      <x:c r="S185" s="9"/>
      <x:c r="T185" s="9"/>
      <x:c r="U185" s="9"/>
      <x:c r="V185" s="9"/>
      <x:c r="W185" s="9"/>
      <x:c r="X185" s="12" t="str">
        <x:f t="shared" si="10"/>
      </x:c>
      <x:c r="Y185" s="12" t="str">
        <x:f t="shared" si="11"/>
      </x:c>
      <x:c r="Z185" s="9" t="s">
        <x:v>870</x:v>
      </x:c>
      <x:c r="AA185" s="9"/>
      <x:c r="AB185" s="9"/>
      <x:c r="AC185" s="9"/>
      <x:c r="AD185" s="9"/>
      <x:c r="AE185" s="9"/>
      <x:c r="AF185" s="9"/>
      <x:c r="AG185" s="9"/>
      <x:c r="AH185" s="9"/>
      <x:c r="AI185" s="9"/>
      <x:c r="AJ185" s="9"/>
      <x:c r="AK185" s="9"/>
      <x:c r="AL185" s="12" t="str">
        <x:f t="shared" si="12"/>
      </x:c>
      <x:c r="AM185" s="11" t="str">
        <x:f t="shared" si="13"/>
      </x:c>
      <x:c r="AN185" s="11" t="str">
        <x:f t="shared" si="14"/>
      </x:c>
      <x:c r="AO185" s="9"/>
      <x:c r="AP185" s="9"/>
      <x:c r="AQ185" s="27" t="s">
        <x:v>476</x:v>
      </x:c>
    </x:row>
    <x:row r="186" ht="118.05000305175781" customHeight="1">
      <x:c r="A186" s="6" t="s">
        <x:v>1074</x:v>
      </x:c>
      <x:c r="B186" s="6" t="s">
        <x:v>481</x:v>
      </x:c>
      <x:c r="C186" s="6" t="s">
        <x:v>50</x:v>
      </x:c>
      <x:c r="D186" s="6" t="s">
        <x:v>482</x:v>
      </x:c>
      <x:c r="E186" s="6" t="s">
        <x:v>233</x:v>
      </x:c>
      <x:c r="F186" s="6" t="s">
        <x:v>483</x:v>
      </x:c>
      <x:c r="G186" s="6" t="s">
        <x:v>696</x:v>
      </x:c>
      <x:c r="H186" s="6" t="s">
        <x:v>698</x:v>
      </x:c>
      <x:c r="I186" s="6" t="s">
        <x:v>1034</x:v>
      </x:c>
      <x:c r="J186" s="6" t="s">
        <x:v>1035</x:v>
      </x:c>
      <x:c r="K186" s="6" t="s">
        <x:v>485</x:v>
      </x:c>
      <x:c r="L186" s="6" t="s">
        <x:v>438</x:v>
      </x:c>
      <x:c r="M186" s="6" t="s">
        <x:v>486</x:v>
      </x:c>
      <x:c r="N186" s="6" t="s">
        <x:v>487</x:v>
      </x:c>
      <x:c r="O186" s="6" t="s">
        <x:v>230</x:v>
      </x:c>
      <x:c r="P186" s="9"/>
      <x:c r="Q186" s="9"/>
      <x:c r="R186" s="9"/>
      <x:c r="S186" s="9"/>
      <x:c r="T186" s="9"/>
      <x:c r="U186" s="9"/>
      <x:c r="V186" s="9"/>
      <x:c r="W186" s="9"/>
      <x:c r="X186" s="12" t="str">
        <x:f t="shared" si="10"/>
      </x:c>
      <x:c r="Y186" s="12" t="str">
        <x:f t="shared" si="11"/>
      </x:c>
      <x:c r="Z186" s="9" t="s">
        <x:v>870</x:v>
      </x:c>
      <x:c r="AA186" s="9"/>
      <x:c r="AB186" s="9"/>
      <x:c r="AC186" s="9"/>
      <x:c r="AD186" s="9"/>
      <x:c r="AE186" s="9"/>
      <x:c r="AF186" s="9"/>
      <x:c r="AG186" s="9"/>
      <x:c r="AH186" s="9"/>
      <x:c r="AI186" s="9"/>
      <x:c r="AJ186" s="9"/>
      <x:c r="AK186" s="9"/>
      <x:c r="AL186" s="12" t="str">
        <x:f t="shared" si="12"/>
      </x:c>
      <x:c r="AM186" s="11" t="str">
        <x:f t="shared" si="13"/>
      </x:c>
      <x:c r="AN186" s="11" t="str">
        <x:f t="shared" si="14"/>
      </x:c>
      <x:c r="AO186" s="9"/>
      <x:c r="AP186" s="9"/>
      <x:c r="AQ186" s="27" t="s">
        <x:v>484</x:v>
      </x:c>
    </x:row>
    <x:row r="187" ht="118.05000305175781" customHeight="1">
      <x:c r="A187" s="6" t="s">
        <x:v>1075</x:v>
      </x:c>
      <x:c r="B187" s="6" t="s">
        <x:v>481</x:v>
      </x:c>
      <x:c r="C187" s="6" t="s">
        <x:v>50</x:v>
      </x:c>
      <x:c r="D187" s="6" t="s">
        <x:v>482</x:v>
      </x:c>
      <x:c r="E187" s="6" t="s">
        <x:v>233</x:v>
      </x:c>
      <x:c r="F187" s="6" t="s">
        <x:v>483</x:v>
      </x:c>
      <x:c r="G187" s="6" t="s">
        <x:v>696</x:v>
      </x:c>
      <x:c r="H187" s="6" t="s">
        <x:v>698</x:v>
      </x:c>
      <x:c r="I187" s="6" t="s">
        <x:v>1054</x:v>
      </x:c>
      <x:c r="J187" s="6" t="s">
        <x:v>1055</x:v>
      </x:c>
      <x:c r="K187" s="6" t="s">
        <x:v>485</x:v>
      </x:c>
      <x:c r="L187" s="6" t="s">
        <x:v>438</x:v>
      </x:c>
      <x:c r="M187" s="6" t="s">
        <x:v>486</x:v>
      </x:c>
      <x:c r="N187" s="6" t="s">
        <x:v>487</x:v>
      </x:c>
      <x:c r="O187" s="6" t="s">
        <x:v>230</x:v>
      </x:c>
      <x:c r="P187" s="9"/>
      <x:c r="Q187" s="9"/>
      <x:c r="R187" s="9"/>
      <x:c r="S187" s="9"/>
      <x:c r="T187" s="9"/>
      <x:c r="U187" s="9"/>
      <x:c r="V187" s="9"/>
      <x:c r="W187" s="9"/>
      <x:c r="X187" s="12" t="str">
        <x:f t="shared" si="10"/>
      </x:c>
      <x:c r="Y187" s="12" t="str">
        <x:f t="shared" si="11"/>
      </x:c>
      <x:c r="Z187" s="9" t="s">
        <x:v>870</x:v>
      </x:c>
      <x:c r="AA187" s="9"/>
      <x:c r="AB187" s="9"/>
      <x:c r="AC187" s="9"/>
      <x:c r="AD187" s="9"/>
      <x:c r="AE187" s="9"/>
      <x:c r="AF187" s="9"/>
      <x:c r="AG187" s="9"/>
      <x:c r="AH187" s="9"/>
      <x:c r="AI187" s="9"/>
      <x:c r="AJ187" s="9"/>
      <x:c r="AK187" s="9"/>
      <x:c r="AL187" s="12" t="str">
        <x:f t="shared" si="12"/>
      </x:c>
      <x:c r="AM187" s="11" t="str">
        <x:f t="shared" si="13"/>
      </x:c>
      <x:c r="AN187" s="11" t="str">
        <x:f t="shared" si="14"/>
      </x:c>
      <x:c r="AO187" s="9"/>
      <x:c r="AP187" s="9"/>
      <x:c r="AQ187" s="27" t="s">
        <x:v>484</x:v>
      </x:c>
    </x:row>
    <x:row r="188" ht="118.05000305175781" customHeight="1">
      <x:c r="A188" s="6" t="s">
        <x:v>1076</x:v>
      </x:c>
      <x:c r="B188" s="6" t="s">
        <x:v>481</x:v>
      </x:c>
      <x:c r="C188" s="6" t="s">
        <x:v>50</x:v>
      </x:c>
      <x:c r="D188" s="6" t="s">
        <x:v>482</x:v>
      </x:c>
      <x:c r="E188" s="6" t="s">
        <x:v>233</x:v>
      </x:c>
      <x:c r="F188" s="6" t="s">
        <x:v>483</x:v>
      </x:c>
      <x:c r="G188" s="6" t="s">
        <x:v>707</x:v>
      </x:c>
      <x:c r="H188" s="6" t="s">
        <x:v>709</x:v>
      </x:c>
      <x:c r="I188" s="6" t="s">
        <x:v>1034</x:v>
      </x:c>
      <x:c r="J188" s="6" t="s">
        <x:v>1035</x:v>
      </x:c>
      <x:c r="K188" s="6" t="s">
        <x:v>485</x:v>
      </x:c>
      <x:c r="L188" s="6" t="s">
        <x:v>438</x:v>
      </x:c>
      <x:c r="M188" s="6" t="s">
        <x:v>486</x:v>
      </x:c>
      <x:c r="N188" s="6" t="s">
        <x:v>487</x:v>
      </x:c>
      <x:c r="O188" s="6" t="s">
        <x:v>230</x:v>
      </x:c>
      <x:c r="P188" s="9"/>
      <x:c r="Q188" s="9"/>
      <x:c r="R188" s="9"/>
      <x:c r="S188" s="9"/>
      <x:c r="T188" s="9"/>
      <x:c r="U188" s="9"/>
      <x:c r="V188" s="9"/>
      <x:c r="W188" s="9"/>
      <x:c r="X188" s="12" t="str">
        <x:f t="shared" si="10"/>
      </x:c>
      <x:c r="Y188" s="12" t="str">
        <x:f t="shared" si="11"/>
      </x:c>
      <x:c r="Z188" s="9" t="s">
        <x:v>870</x:v>
      </x:c>
      <x:c r="AA188" s="9"/>
      <x:c r="AB188" s="9"/>
      <x:c r="AC188" s="9"/>
      <x:c r="AD188" s="9"/>
      <x:c r="AE188" s="9"/>
      <x:c r="AF188" s="9"/>
      <x:c r="AG188" s="9"/>
      <x:c r="AH188" s="9"/>
      <x:c r="AI188" s="9"/>
      <x:c r="AJ188" s="9"/>
      <x:c r="AK188" s="9"/>
      <x:c r="AL188" s="12" t="str">
        <x:f t="shared" si="12"/>
      </x:c>
      <x:c r="AM188" s="11" t="str">
        <x:f t="shared" si="13"/>
      </x:c>
      <x:c r="AN188" s="11" t="str">
        <x:f t="shared" si="14"/>
      </x:c>
      <x:c r="AO188" s="9"/>
      <x:c r="AP188" s="9"/>
      <x:c r="AQ188" s="27" t="s">
        <x:v>484</x:v>
      </x:c>
    </x:row>
    <x:row r="189" ht="118.05000305175781" customHeight="1">
      <x:c r="A189" s="6" t="s">
        <x:v>1077</x:v>
      </x:c>
      <x:c r="B189" s="6" t="s">
        <x:v>481</x:v>
      </x:c>
      <x:c r="C189" s="6" t="s">
        <x:v>50</x:v>
      </x:c>
      <x:c r="D189" s="6" t="s">
        <x:v>482</x:v>
      </x:c>
      <x:c r="E189" s="6" t="s">
        <x:v>233</x:v>
      </x:c>
      <x:c r="F189" s="6" t="s">
        <x:v>483</x:v>
      </x:c>
      <x:c r="G189" s="6" t="s">
        <x:v>707</x:v>
      </x:c>
      <x:c r="H189" s="6" t="s">
        <x:v>709</x:v>
      </x:c>
      <x:c r="I189" s="6" t="s">
        <x:v>1054</x:v>
      </x:c>
      <x:c r="J189" s="6" t="s">
        <x:v>1055</x:v>
      </x:c>
      <x:c r="K189" s="6" t="s">
        <x:v>485</x:v>
      </x:c>
      <x:c r="L189" s="6" t="s">
        <x:v>438</x:v>
      </x:c>
      <x:c r="M189" s="6" t="s">
        <x:v>486</x:v>
      </x:c>
      <x:c r="N189" s="6" t="s">
        <x:v>487</x:v>
      </x:c>
      <x:c r="O189" s="6" t="s">
        <x:v>230</x:v>
      </x:c>
      <x:c r="P189" s="9"/>
      <x:c r="Q189" s="9"/>
      <x:c r="R189" s="9"/>
      <x:c r="S189" s="9"/>
      <x:c r="T189" s="9"/>
      <x:c r="U189" s="9"/>
      <x:c r="V189" s="9"/>
      <x:c r="W189" s="9"/>
      <x:c r="X189" s="12" t="str">
        <x:f t="shared" si="10"/>
      </x:c>
      <x:c r="Y189" s="12" t="str">
        <x:f t="shared" si="11"/>
      </x:c>
      <x:c r="Z189" s="9" t="s">
        <x:v>870</x:v>
      </x:c>
      <x:c r="AA189" s="9"/>
      <x:c r="AB189" s="9"/>
      <x:c r="AC189" s="9"/>
      <x:c r="AD189" s="9"/>
      <x:c r="AE189" s="9"/>
      <x:c r="AF189" s="9"/>
      <x:c r="AG189" s="9"/>
      <x:c r="AH189" s="9"/>
      <x:c r="AI189" s="9"/>
      <x:c r="AJ189" s="9"/>
      <x:c r="AK189" s="9"/>
      <x:c r="AL189" s="12" t="str">
        <x:f t="shared" si="12"/>
      </x:c>
      <x:c r="AM189" s="11" t="str">
        <x:f t="shared" si="13"/>
      </x:c>
      <x:c r="AN189" s="11" t="str">
        <x:f t="shared" si="14"/>
      </x:c>
      <x:c r="AO189" s="9"/>
      <x:c r="AP189" s="9"/>
      <x:c r="AQ189" s="27" t="s">
        <x:v>484</x:v>
      </x:c>
    </x:row>
    <x:row r="190" ht="118.05000305175781" customHeight="1">
      <x:c r="A190" s="6" t="s">
        <x:v>1078</x:v>
      </x:c>
      <x:c r="B190" s="6" t="s">
        <x:v>481</x:v>
      </x:c>
      <x:c r="C190" s="6" t="s">
        <x:v>50</x:v>
      </x:c>
      <x:c r="D190" s="6" t="s">
        <x:v>482</x:v>
      </x:c>
      <x:c r="E190" s="6" t="s">
        <x:v>233</x:v>
      </x:c>
      <x:c r="F190" s="6" t="s">
        <x:v>483</x:v>
      </x:c>
      <x:c r="G190" s="6" t="s">
        <x:v>724</x:v>
      </x:c>
      <x:c r="H190" s="6" t="s">
        <x:v>726</x:v>
      </x:c>
      <x:c r="I190" s="6" t="s">
        <x:v>1034</x:v>
      </x:c>
      <x:c r="J190" s="6" t="s">
        <x:v>1035</x:v>
      </x:c>
      <x:c r="K190" s="6" t="s">
        <x:v>485</x:v>
      </x:c>
      <x:c r="L190" s="6" t="s">
        <x:v>438</x:v>
      </x:c>
      <x:c r="M190" s="6" t="s">
        <x:v>486</x:v>
      </x:c>
      <x:c r="N190" s="6" t="s">
        <x:v>487</x:v>
      </x:c>
      <x:c r="O190" s="6" t="s">
        <x:v>230</x:v>
      </x:c>
      <x:c r="P190" s="9"/>
      <x:c r="Q190" s="9"/>
      <x:c r="R190" s="9"/>
      <x:c r="S190" s="9"/>
      <x:c r="T190" s="9"/>
      <x:c r="U190" s="9"/>
      <x:c r="V190" s="9"/>
      <x:c r="W190" s="9"/>
      <x:c r="X190" s="12" t="str">
        <x:f t="shared" si="10"/>
      </x:c>
      <x:c r="Y190" s="12" t="str">
        <x:f t="shared" si="11"/>
      </x:c>
      <x:c r="Z190" s="9" t="s">
        <x:v>870</x:v>
      </x:c>
      <x:c r="AA190" s="9"/>
      <x:c r="AB190" s="9"/>
      <x:c r="AC190" s="9"/>
      <x:c r="AD190" s="9"/>
      <x:c r="AE190" s="9"/>
      <x:c r="AF190" s="9"/>
      <x:c r="AG190" s="9"/>
      <x:c r="AH190" s="9"/>
      <x:c r="AI190" s="9"/>
      <x:c r="AJ190" s="9"/>
      <x:c r="AK190" s="9"/>
      <x:c r="AL190" s="12" t="str">
        <x:f t="shared" si="12"/>
      </x:c>
      <x:c r="AM190" s="11" t="str">
        <x:f t="shared" si="13"/>
      </x:c>
      <x:c r="AN190" s="11" t="str">
        <x:f t="shared" si="14"/>
      </x:c>
      <x:c r="AO190" s="9"/>
      <x:c r="AP190" s="9"/>
      <x:c r="AQ190" s="27" t="s">
        <x:v>484</x:v>
      </x:c>
    </x:row>
    <x:row r="191" ht="118.05000305175781" customHeight="1">
      <x:c r="A191" s="6" t="s">
        <x:v>1079</x:v>
      </x:c>
      <x:c r="B191" s="6" t="s">
        <x:v>481</x:v>
      </x:c>
      <x:c r="C191" s="6" t="s">
        <x:v>50</x:v>
      </x:c>
      <x:c r="D191" s="6" t="s">
        <x:v>482</x:v>
      </x:c>
      <x:c r="E191" s="6" t="s">
        <x:v>233</x:v>
      </x:c>
      <x:c r="F191" s="6" t="s">
        <x:v>483</x:v>
      </x:c>
      <x:c r="G191" s="6" t="s">
        <x:v>724</x:v>
      </x:c>
      <x:c r="H191" s="6" t="s">
        <x:v>726</x:v>
      </x:c>
      <x:c r="I191" s="6" t="s">
        <x:v>1054</x:v>
      </x:c>
      <x:c r="J191" s="6" t="s">
        <x:v>1055</x:v>
      </x:c>
      <x:c r="K191" s="6" t="s">
        <x:v>485</x:v>
      </x:c>
      <x:c r="L191" s="6" t="s">
        <x:v>438</x:v>
      </x:c>
      <x:c r="M191" s="6" t="s">
        <x:v>486</x:v>
      </x:c>
      <x:c r="N191" s="6" t="s">
        <x:v>487</x:v>
      </x:c>
      <x:c r="O191" s="6" t="s">
        <x:v>230</x:v>
      </x:c>
      <x:c r="P191" s="9"/>
      <x:c r="Q191" s="9"/>
      <x:c r="R191" s="9"/>
      <x:c r="S191" s="9"/>
      <x:c r="T191" s="9"/>
      <x:c r="U191" s="9"/>
      <x:c r="V191" s="9"/>
      <x:c r="W191" s="9"/>
      <x:c r="X191" s="12" t="str">
        <x:f t="shared" si="10"/>
      </x:c>
      <x:c r="Y191" s="12" t="str">
        <x:f t="shared" si="11"/>
      </x:c>
      <x:c r="Z191" s="9" t="s">
        <x:v>870</x:v>
      </x:c>
      <x:c r="AA191" s="9"/>
      <x:c r="AB191" s="9"/>
      <x:c r="AC191" s="9"/>
      <x:c r="AD191" s="9"/>
      <x:c r="AE191" s="9"/>
      <x:c r="AF191" s="9"/>
      <x:c r="AG191" s="9"/>
      <x:c r="AH191" s="9"/>
      <x:c r="AI191" s="9"/>
      <x:c r="AJ191" s="9"/>
      <x:c r="AK191" s="9"/>
      <x:c r="AL191" s="12" t="str">
        <x:f t="shared" si="12"/>
      </x:c>
      <x:c r="AM191" s="11" t="str">
        <x:f t="shared" si="13"/>
      </x:c>
      <x:c r="AN191" s="11" t="str">
        <x:f t="shared" si="14"/>
      </x:c>
      <x:c r="AO191" s="9"/>
      <x:c r="AP191" s="9"/>
      <x:c r="AQ191" s="27" t="s">
        <x:v>484</x:v>
      </x:c>
    </x:row>
    <x:row r="192" ht="118.05000305175781" customHeight="1">
      <x:c r="A192" s="6" t="s">
        <x:v>1080</x:v>
      </x:c>
      <x:c r="B192" s="6" t="s">
        <x:v>488</x:v>
      </x:c>
      <x:c r="C192" s="6" t="s">
        <x:v>50</x:v>
      </x:c>
      <x:c r="D192" s="6" t="s">
        <x:v>489</x:v>
      </x:c>
      <x:c r="E192" s="6" t="s">
        <x:v>260</x:v>
      </x:c>
      <x:c r="F192" s="6" t="s">
        <x:v>490</x:v>
      </x:c>
      <x:c r="G192" s="6" t="s">
        <x:v>696</x:v>
      </x:c>
      <x:c r="H192" s="6" t="s">
        <x:v>698</x:v>
      </x:c>
      <x:c r="I192" s="6" t="s">
        <x:v>1034</x:v>
      </x:c>
      <x:c r="J192" s="6" t="s">
        <x:v>1035</x:v>
      </x:c>
      <x:c r="K192" s="6" t="s">
        <x:v>492</x:v>
      </x:c>
      <x:c r="L192" s="6" t="s">
        <x:v>438</x:v>
      </x:c>
      <x:c r="M192" s="6" t="s">
        <x:v>493</x:v>
      </x:c>
      <x:c r="N192" s="6" t="s">
        <x:v>494</x:v>
      </x:c>
      <x:c r="O192" s="6" t="s">
        <x:v>230</x:v>
      </x:c>
      <x:c r="P192" s="9"/>
      <x:c r="Q192" s="9"/>
      <x:c r="R192" s="9"/>
      <x:c r="S192" s="9"/>
      <x:c r="T192" s="9"/>
      <x:c r="U192" s="9"/>
      <x:c r="V192" s="9"/>
      <x:c r="W192" s="9"/>
      <x:c r="X192" s="12" t="str">
        <x:f t="shared" si="10"/>
      </x:c>
      <x:c r="Y192" s="12" t="str">
        <x:f t="shared" si="11"/>
      </x:c>
      <x:c r="Z192" s="9" t="s">
        <x:v>870</x:v>
      </x:c>
      <x:c r="AA192" s="9"/>
      <x:c r="AB192" s="9"/>
      <x:c r="AC192" s="9"/>
      <x:c r="AD192" s="9"/>
      <x:c r="AE192" s="9"/>
      <x:c r="AF192" s="9"/>
      <x:c r="AG192" s="9"/>
      <x:c r="AH192" s="9"/>
      <x:c r="AI192" s="9"/>
      <x:c r="AJ192" s="9"/>
      <x:c r="AK192" s="9"/>
      <x:c r="AL192" s="12" t="str">
        <x:f t="shared" si="12"/>
      </x:c>
      <x:c r="AM192" s="11" t="str">
        <x:f t="shared" si="13"/>
      </x:c>
      <x:c r="AN192" s="11" t="str">
        <x:f t="shared" si="14"/>
      </x:c>
      <x:c r="AO192" s="9"/>
      <x:c r="AP192" s="9"/>
      <x:c r="AQ192" s="27" t="s">
        <x:v>491</x:v>
      </x:c>
    </x:row>
    <x:row r="193" ht="118.05000305175781" customHeight="1">
      <x:c r="A193" s="6" t="s">
        <x:v>1081</x:v>
      </x:c>
      <x:c r="B193" s="6" t="s">
        <x:v>488</x:v>
      </x:c>
      <x:c r="C193" s="6" t="s">
        <x:v>50</x:v>
      </x:c>
      <x:c r="D193" s="6" t="s">
        <x:v>489</x:v>
      </x:c>
      <x:c r="E193" s="6" t="s">
        <x:v>260</x:v>
      </x:c>
      <x:c r="F193" s="6" t="s">
        <x:v>490</x:v>
      </x:c>
      <x:c r="G193" s="6" t="s">
        <x:v>696</x:v>
      </x:c>
      <x:c r="H193" s="6" t="s">
        <x:v>698</x:v>
      </x:c>
      <x:c r="I193" s="6" t="s">
        <x:v>1046</x:v>
      </x:c>
      <x:c r="J193" s="6" t="s">
        <x:v>1047</x:v>
      </x:c>
      <x:c r="K193" s="6" t="s">
        <x:v>492</x:v>
      </x:c>
      <x:c r="L193" s="6" t="s">
        <x:v>438</x:v>
      </x:c>
      <x:c r="M193" s="6" t="s">
        <x:v>493</x:v>
      </x:c>
      <x:c r="N193" s="6" t="s">
        <x:v>494</x:v>
      </x:c>
      <x:c r="O193" s="6" t="s">
        <x:v>230</x:v>
      </x:c>
      <x:c r="P193" s="9"/>
      <x:c r="Q193" s="9"/>
      <x:c r="R193" s="9"/>
      <x:c r="S193" s="9"/>
      <x:c r="T193" s="9"/>
      <x:c r="U193" s="9"/>
      <x:c r="V193" s="9"/>
      <x:c r="W193" s="9"/>
      <x:c r="X193" s="12" t="str">
        <x:f t="shared" si="10"/>
      </x:c>
      <x:c r="Y193" s="12" t="str">
        <x:f t="shared" si="11"/>
      </x:c>
      <x:c r="Z193" s="9" t="s">
        <x:v>870</x:v>
      </x:c>
      <x:c r="AA193" s="9"/>
      <x:c r="AB193" s="9"/>
      <x:c r="AC193" s="9"/>
      <x:c r="AD193" s="9"/>
      <x:c r="AE193" s="9"/>
      <x:c r="AF193" s="9"/>
      <x:c r="AG193" s="9"/>
      <x:c r="AH193" s="9"/>
      <x:c r="AI193" s="9"/>
      <x:c r="AJ193" s="9"/>
      <x:c r="AK193" s="9"/>
      <x:c r="AL193" s="12" t="str">
        <x:f t="shared" si="12"/>
      </x:c>
      <x:c r="AM193" s="11" t="str">
        <x:f t="shared" si="13"/>
      </x:c>
      <x:c r="AN193" s="11" t="str">
        <x:f t="shared" si="14"/>
      </x:c>
      <x:c r="AO193" s="9"/>
      <x:c r="AP193" s="9"/>
      <x:c r="AQ193" s="27" t="s">
        <x:v>491</x:v>
      </x:c>
    </x:row>
    <x:row r="194" ht="118.05000305175781" customHeight="1">
      <x:c r="A194" s="6" t="s">
        <x:v>1082</x:v>
      </x:c>
      <x:c r="B194" s="6" t="s">
        <x:v>488</x:v>
      </x:c>
      <x:c r="C194" s="6" t="s">
        <x:v>50</x:v>
      </x:c>
      <x:c r="D194" s="6" t="s">
        <x:v>489</x:v>
      </x:c>
      <x:c r="E194" s="6" t="s">
        <x:v>260</x:v>
      </x:c>
      <x:c r="F194" s="6" t="s">
        <x:v>490</x:v>
      </x:c>
      <x:c r="G194" s="6" t="s">
        <x:v>715</x:v>
      </x:c>
      <x:c r="H194" s="6" t="s">
        <x:v>717</x:v>
      </x:c>
      <x:c r="I194" s="6" t="s">
        <x:v>1034</x:v>
      </x:c>
      <x:c r="J194" s="6" t="s">
        <x:v>1035</x:v>
      </x:c>
      <x:c r="K194" s="6" t="s">
        <x:v>492</x:v>
      </x:c>
      <x:c r="L194" s="6" t="s">
        <x:v>438</x:v>
      </x:c>
      <x:c r="M194" s="6" t="s">
        <x:v>493</x:v>
      </x:c>
      <x:c r="N194" s="6" t="s">
        <x:v>494</x:v>
      </x:c>
      <x:c r="O194" s="6" t="s">
        <x:v>230</x:v>
      </x:c>
      <x:c r="P194" s="9"/>
      <x:c r="Q194" s="9"/>
      <x:c r="R194" s="9"/>
      <x:c r="S194" s="9"/>
      <x:c r="T194" s="9"/>
      <x:c r="U194" s="9"/>
      <x:c r="V194" s="9"/>
      <x:c r="W194" s="9"/>
      <x:c r="X194" s="12" t="str">
        <x:f t="shared" ref="X194:X257" si="15">IF(OR(R194="",R194-AP194&lt;=0),"",AB194/(R194-AP194))</x:f>
      </x:c>
      <x:c r="Y194" s="12" t="str">
        <x:f t="shared" ref="Y194:Y257" si="16">IF(OR(Q194="",Q194=0),"",R194/Q194)</x:f>
      </x:c>
      <x:c r="Z194" s="9" t="s">
        <x:v>870</x:v>
      </x:c>
      <x:c r="AA194" s="9"/>
      <x:c r="AB194" s="9"/>
      <x:c r="AC194" s="9"/>
      <x:c r="AD194" s="9"/>
      <x:c r="AE194" s="9"/>
      <x:c r="AF194" s="9"/>
      <x:c r="AG194" s="9"/>
      <x:c r="AH194" s="9"/>
      <x:c r="AI194" s="9"/>
      <x:c r="AJ194" s="9"/>
      <x:c r="AK194" s="9"/>
      <x:c r="AL194" s="12" t="str">
        <x:f t="shared" ref="AL194:AL257" si="17">IF(OR(R194="",R194-AP194&lt;=0),"",AO194/(R194-AP194))</x:f>
      </x:c>
      <x:c r="AM194" s="11" t="str">
        <x:f t="shared" ref="AM194:AM257" si="18">IF(R194="","",SUM(AC194:AF194)-(R194-AP194))</x:f>
      </x:c>
      <x:c r="AN194" s="11" t="str">
        <x:f t="shared" ref="AN194:AN257" si="19">IF(R194="","",SUM(S194:W194)+AP194-R194)</x:f>
      </x:c>
      <x:c r="AO194" s="9"/>
      <x:c r="AP194" s="9"/>
      <x:c r="AQ194" s="27" t="s">
        <x:v>491</x:v>
      </x:c>
    </x:row>
    <x:row r="195" ht="118.05000305175781" customHeight="1">
      <x:c r="A195" s="6" t="s">
        <x:v>1083</x:v>
      </x:c>
      <x:c r="B195" s="6" t="s">
        <x:v>488</x:v>
      </x:c>
      <x:c r="C195" s="6" t="s">
        <x:v>50</x:v>
      </x:c>
      <x:c r="D195" s="6" t="s">
        <x:v>489</x:v>
      </x:c>
      <x:c r="E195" s="6" t="s">
        <x:v>260</x:v>
      </x:c>
      <x:c r="F195" s="6" t="s">
        <x:v>490</x:v>
      </x:c>
      <x:c r="G195" s="6" t="s">
        <x:v>715</x:v>
      </x:c>
      <x:c r="H195" s="6" t="s">
        <x:v>717</x:v>
      </x:c>
      <x:c r="I195" s="6" t="s">
        <x:v>1046</x:v>
      </x:c>
      <x:c r="J195" s="6" t="s">
        <x:v>1047</x:v>
      </x:c>
      <x:c r="K195" s="6" t="s">
        <x:v>492</x:v>
      </x:c>
      <x:c r="L195" s="6" t="s">
        <x:v>438</x:v>
      </x:c>
      <x:c r="M195" s="6" t="s">
        <x:v>493</x:v>
      </x:c>
      <x:c r="N195" s="6" t="s">
        <x:v>494</x:v>
      </x:c>
      <x:c r="O195" s="6" t="s">
        <x:v>230</x:v>
      </x:c>
      <x:c r="P195" s="9"/>
      <x:c r="Q195" s="9"/>
      <x:c r="R195" s="9"/>
      <x:c r="S195" s="9"/>
      <x:c r="T195" s="9"/>
      <x:c r="U195" s="9"/>
      <x:c r="V195" s="9"/>
      <x:c r="W195" s="9"/>
      <x:c r="X195" s="12" t="str">
        <x:f t="shared" si="15"/>
      </x:c>
      <x:c r="Y195" s="12" t="str">
        <x:f t="shared" si="16"/>
      </x:c>
      <x:c r="Z195" s="9" t="s">
        <x:v>870</x:v>
      </x:c>
      <x:c r="AA195" s="9"/>
      <x:c r="AB195" s="9"/>
      <x:c r="AC195" s="9"/>
      <x:c r="AD195" s="9"/>
      <x:c r="AE195" s="9"/>
      <x:c r="AF195" s="9"/>
      <x:c r="AG195" s="9"/>
      <x:c r="AH195" s="9"/>
      <x:c r="AI195" s="9"/>
      <x:c r="AJ195" s="9"/>
      <x:c r="AK195" s="9"/>
      <x:c r="AL195" s="12" t="str">
        <x:f t="shared" si="17"/>
      </x:c>
      <x:c r="AM195" s="11" t="str">
        <x:f t="shared" si="18"/>
      </x:c>
      <x:c r="AN195" s="11" t="str">
        <x:f t="shared" si="19"/>
      </x:c>
      <x:c r="AO195" s="9"/>
      <x:c r="AP195" s="9"/>
      <x:c r="AQ195" s="27" t="s">
        <x:v>491</x:v>
      </x:c>
    </x:row>
    <x:row r="196" ht="118.05000305175781" customHeight="1">
      <x:c r="A196" s="6" t="s">
        <x:v>1084</x:v>
      </x:c>
      <x:c r="B196" s="6" t="s">
        <x:v>488</x:v>
      </x:c>
      <x:c r="C196" s="6" t="s">
        <x:v>50</x:v>
      </x:c>
      <x:c r="D196" s="6" t="s">
        <x:v>489</x:v>
      </x:c>
      <x:c r="E196" s="6" t="s">
        <x:v>260</x:v>
      </x:c>
      <x:c r="F196" s="6" t="s">
        <x:v>490</x:v>
      </x:c>
      <x:c r="G196" s="6" t="s">
        <x:v>724</x:v>
      </x:c>
      <x:c r="H196" s="6" t="s">
        <x:v>726</x:v>
      </x:c>
      <x:c r="I196" s="6" t="s">
        <x:v>1034</x:v>
      </x:c>
      <x:c r="J196" s="6" t="s">
        <x:v>1035</x:v>
      </x:c>
      <x:c r="K196" s="6" t="s">
        <x:v>492</x:v>
      </x:c>
      <x:c r="L196" s="6" t="s">
        <x:v>438</x:v>
      </x:c>
      <x:c r="M196" s="6" t="s">
        <x:v>493</x:v>
      </x:c>
      <x:c r="N196" s="6" t="s">
        <x:v>494</x:v>
      </x:c>
      <x:c r="O196" s="6" t="s">
        <x:v>230</x:v>
      </x:c>
      <x:c r="P196" s="9"/>
      <x:c r="Q196" s="9"/>
      <x:c r="R196" s="9"/>
      <x:c r="S196" s="9"/>
      <x:c r="T196" s="9"/>
      <x:c r="U196" s="9"/>
      <x:c r="V196" s="9"/>
      <x:c r="W196" s="9"/>
      <x:c r="X196" s="12" t="str">
        <x:f t="shared" si="15"/>
      </x:c>
      <x:c r="Y196" s="12" t="str">
        <x:f t="shared" si="16"/>
      </x:c>
      <x:c r="Z196" s="9" t="s">
        <x:v>870</x:v>
      </x:c>
      <x:c r="AA196" s="9"/>
      <x:c r="AB196" s="9"/>
      <x:c r="AC196" s="9"/>
      <x:c r="AD196" s="9"/>
      <x:c r="AE196" s="9"/>
      <x:c r="AF196" s="9"/>
      <x:c r="AG196" s="9"/>
      <x:c r="AH196" s="9"/>
      <x:c r="AI196" s="9"/>
      <x:c r="AJ196" s="9"/>
      <x:c r="AK196" s="9"/>
      <x:c r="AL196" s="12" t="str">
        <x:f t="shared" si="17"/>
      </x:c>
      <x:c r="AM196" s="11" t="str">
        <x:f t="shared" si="18"/>
      </x:c>
      <x:c r="AN196" s="11" t="str">
        <x:f t="shared" si="19"/>
      </x:c>
      <x:c r="AO196" s="9"/>
      <x:c r="AP196" s="9"/>
      <x:c r="AQ196" s="27" t="s">
        <x:v>491</x:v>
      </x:c>
    </x:row>
    <x:row r="197" ht="118.05000305175781" customHeight="1">
      <x:c r="A197" s="6" t="s">
        <x:v>1085</x:v>
      </x:c>
      <x:c r="B197" s="6" t="s">
        <x:v>488</x:v>
      </x:c>
      <x:c r="C197" s="6" t="s">
        <x:v>50</x:v>
      </x:c>
      <x:c r="D197" s="6" t="s">
        <x:v>489</x:v>
      </x:c>
      <x:c r="E197" s="6" t="s">
        <x:v>260</x:v>
      </x:c>
      <x:c r="F197" s="6" t="s">
        <x:v>490</x:v>
      </x:c>
      <x:c r="G197" s="6" t="s">
        <x:v>724</x:v>
      </x:c>
      <x:c r="H197" s="6" t="s">
        <x:v>726</x:v>
      </x:c>
      <x:c r="I197" s="6" t="s">
        <x:v>1046</x:v>
      </x:c>
      <x:c r="J197" s="6" t="s">
        <x:v>1047</x:v>
      </x:c>
      <x:c r="K197" s="6" t="s">
        <x:v>492</x:v>
      </x:c>
      <x:c r="L197" s="6" t="s">
        <x:v>438</x:v>
      </x:c>
      <x:c r="M197" s="6" t="s">
        <x:v>493</x:v>
      </x:c>
      <x:c r="N197" s="6" t="s">
        <x:v>494</x:v>
      </x:c>
      <x:c r="O197" s="6" t="s">
        <x:v>230</x:v>
      </x:c>
      <x:c r="P197" s="9"/>
      <x:c r="Q197" s="9"/>
      <x:c r="R197" s="9"/>
      <x:c r="S197" s="9"/>
      <x:c r="T197" s="9"/>
      <x:c r="U197" s="9"/>
      <x:c r="V197" s="9"/>
      <x:c r="W197" s="9"/>
      <x:c r="X197" s="12" t="str">
        <x:f t="shared" si="15"/>
      </x:c>
      <x:c r="Y197" s="12" t="str">
        <x:f t="shared" si="16"/>
      </x:c>
      <x:c r="Z197" s="9" t="s">
        <x:v>870</x:v>
      </x:c>
      <x:c r="AA197" s="9"/>
      <x:c r="AB197" s="9"/>
      <x:c r="AC197" s="9"/>
      <x:c r="AD197" s="9"/>
      <x:c r="AE197" s="9"/>
      <x:c r="AF197" s="9"/>
      <x:c r="AG197" s="9"/>
      <x:c r="AH197" s="9"/>
      <x:c r="AI197" s="9"/>
      <x:c r="AJ197" s="9"/>
      <x:c r="AK197" s="9"/>
      <x:c r="AL197" s="12" t="str">
        <x:f t="shared" si="17"/>
      </x:c>
      <x:c r="AM197" s="11" t="str">
        <x:f t="shared" si="18"/>
      </x:c>
      <x:c r="AN197" s="11" t="str">
        <x:f t="shared" si="19"/>
      </x:c>
      <x:c r="AO197" s="9"/>
      <x:c r="AP197" s="9"/>
      <x:c r="AQ197" s="27" t="s">
        <x:v>491</x:v>
      </x:c>
    </x:row>
    <x:row r="198" ht="118.05000305175781" customHeight="1">
      <x:c r="A198" s="6" t="s">
        <x:v>1086</x:v>
      </x:c>
      <x:c r="B198" s="6" t="s">
        <x:v>495</x:v>
      </x:c>
      <x:c r="C198" s="6" t="s">
        <x:v>50</x:v>
      </x:c>
      <x:c r="D198" s="6" t="s">
        <x:v>496</x:v>
      </x:c>
      <x:c r="E198" s="6" t="s">
        <x:v>249</x:v>
      </x:c>
      <x:c r="F198" s="6" t="s">
        <x:v>497</x:v>
      </x:c>
      <x:c r="G198" s="6" t="s">
        <x:v>696</x:v>
      </x:c>
      <x:c r="H198" s="6" t="s">
        <x:v>698</x:v>
      </x:c>
      <x:c r="I198" s="6" t="s">
        <x:v>1031</x:v>
      </x:c>
      <x:c r="J198" s="6" t="s">
        <x:v>1032</x:v>
      </x:c>
      <x:c r="K198" s="6" t="s">
        <x:v>499</x:v>
      </x:c>
      <x:c r="L198" s="6" t="s">
        <x:v>438</x:v>
      </x:c>
      <x:c r="M198" s="6" t="s">
        <x:v>500</x:v>
      </x:c>
      <x:c r="N198" s="6" t="s">
        <x:v>501</x:v>
      </x:c>
      <x:c r="O198" s="6" t="s">
        <x:v>257</x:v>
      </x:c>
      <x:c r="P198" s="9"/>
      <x:c r="Q198" s="9"/>
      <x:c r="R198" s="9"/>
      <x:c r="S198" s="9"/>
      <x:c r="T198" s="9"/>
      <x:c r="U198" s="9"/>
      <x:c r="V198" s="9"/>
      <x:c r="W198" s="9"/>
      <x:c r="X198" s="12" t="str">
        <x:f t="shared" si="15"/>
      </x:c>
      <x:c r="Y198" s="12" t="str">
        <x:f t="shared" si="16"/>
      </x:c>
      <x:c r="Z198" s="9" t="s">
        <x:v>870</x:v>
      </x:c>
      <x:c r="AA198" s="9"/>
      <x:c r="AB198" s="9"/>
      <x:c r="AC198" s="9"/>
      <x:c r="AD198" s="9"/>
      <x:c r="AE198" s="9"/>
      <x:c r="AF198" s="9"/>
      <x:c r="AG198" s="9"/>
      <x:c r="AH198" s="9"/>
      <x:c r="AI198" s="9"/>
      <x:c r="AJ198" s="9"/>
      <x:c r="AK198" s="9"/>
      <x:c r="AL198" s="12" t="str">
        <x:f t="shared" si="17"/>
      </x:c>
      <x:c r="AM198" s="11" t="str">
        <x:f t="shared" si="18"/>
      </x:c>
      <x:c r="AN198" s="11" t="str">
        <x:f t="shared" si="19"/>
      </x:c>
      <x:c r="AO198" s="9"/>
      <x:c r="AP198" s="9"/>
      <x:c r="AQ198" s="27" t="s">
        <x:v>498</x:v>
      </x:c>
    </x:row>
    <x:row r="199" ht="118.05000305175781" customHeight="1">
      <x:c r="A199" s="6" t="s">
        <x:v>1087</x:v>
      </x:c>
      <x:c r="B199" s="6" t="s">
        <x:v>495</x:v>
      </x:c>
      <x:c r="C199" s="6" t="s">
        <x:v>50</x:v>
      </x:c>
      <x:c r="D199" s="6" t="s">
        <x:v>496</x:v>
      </x:c>
      <x:c r="E199" s="6" t="s">
        <x:v>249</x:v>
      </x:c>
      <x:c r="F199" s="6" t="s">
        <x:v>497</x:v>
      </x:c>
      <x:c r="G199" s="6" t="s">
        <x:v>696</x:v>
      </x:c>
      <x:c r="H199" s="6" t="s">
        <x:v>698</x:v>
      </x:c>
      <x:c r="I199" s="6" t="s">
        <x:v>1034</x:v>
      </x:c>
      <x:c r="J199" s="6" t="s">
        <x:v>1035</x:v>
      </x:c>
      <x:c r="K199" s="6" t="s">
        <x:v>499</x:v>
      </x:c>
      <x:c r="L199" s="6" t="s">
        <x:v>438</x:v>
      </x:c>
      <x:c r="M199" s="6" t="s">
        <x:v>500</x:v>
      </x:c>
      <x:c r="N199" s="6" t="s">
        <x:v>501</x:v>
      </x:c>
      <x:c r="O199" s="6" t="s">
        <x:v>257</x:v>
      </x:c>
      <x:c r="P199" s="9"/>
      <x:c r="Q199" s="9"/>
      <x:c r="R199" s="9"/>
      <x:c r="S199" s="9"/>
      <x:c r="T199" s="9"/>
      <x:c r="U199" s="9"/>
      <x:c r="V199" s="9"/>
      <x:c r="W199" s="9"/>
      <x:c r="X199" s="12" t="str">
        <x:f t="shared" si="15"/>
      </x:c>
      <x:c r="Y199" s="12" t="str">
        <x:f t="shared" si="16"/>
      </x:c>
      <x:c r="Z199" s="9" t="s">
        <x:v>870</x:v>
      </x:c>
      <x:c r="AA199" s="9"/>
      <x:c r="AB199" s="9"/>
      <x:c r="AC199" s="9"/>
      <x:c r="AD199" s="9"/>
      <x:c r="AE199" s="9"/>
      <x:c r="AF199" s="9"/>
      <x:c r="AG199" s="9"/>
      <x:c r="AH199" s="9"/>
      <x:c r="AI199" s="9"/>
      <x:c r="AJ199" s="9"/>
      <x:c r="AK199" s="9"/>
      <x:c r="AL199" s="12" t="str">
        <x:f t="shared" si="17"/>
      </x:c>
      <x:c r="AM199" s="11" t="str">
        <x:f t="shared" si="18"/>
      </x:c>
      <x:c r="AN199" s="11" t="str">
        <x:f t="shared" si="19"/>
      </x:c>
      <x:c r="AO199" s="9"/>
      <x:c r="AP199" s="9"/>
      <x:c r="AQ199" s="27" t="s">
        <x:v>498</x:v>
      </x:c>
    </x:row>
    <x:row r="200" ht="118.05000305175781" customHeight="1">
      <x:c r="A200" s="6" t="s">
        <x:v>1088</x:v>
      </x:c>
      <x:c r="B200" s="6" t="s">
        <x:v>495</x:v>
      </x:c>
      <x:c r="C200" s="6" t="s">
        <x:v>50</x:v>
      </x:c>
      <x:c r="D200" s="6" t="s">
        <x:v>496</x:v>
      </x:c>
      <x:c r="E200" s="6" t="s">
        <x:v>249</x:v>
      </x:c>
      <x:c r="F200" s="6" t="s">
        <x:v>497</x:v>
      </x:c>
      <x:c r="G200" s="6" t="s">
        <x:v>715</x:v>
      </x:c>
      <x:c r="H200" s="6" t="s">
        <x:v>717</x:v>
      </x:c>
      <x:c r="I200" s="6" t="s">
        <x:v>1031</x:v>
      </x:c>
      <x:c r="J200" s="6" t="s">
        <x:v>1032</x:v>
      </x:c>
      <x:c r="K200" s="6" t="s">
        <x:v>499</x:v>
      </x:c>
      <x:c r="L200" s="6" t="s">
        <x:v>438</x:v>
      </x:c>
      <x:c r="M200" s="6" t="s">
        <x:v>500</x:v>
      </x:c>
      <x:c r="N200" s="6" t="s">
        <x:v>501</x:v>
      </x:c>
      <x:c r="O200" s="6" t="s">
        <x:v>257</x:v>
      </x:c>
      <x:c r="P200" s="9"/>
      <x:c r="Q200" s="9"/>
      <x:c r="R200" s="9"/>
      <x:c r="S200" s="9"/>
      <x:c r="T200" s="9"/>
      <x:c r="U200" s="9"/>
      <x:c r="V200" s="9"/>
      <x:c r="W200" s="9"/>
      <x:c r="X200" s="12" t="str">
        <x:f t="shared" si="15"/>
      </x:c>
      <x:c r="Y200" s="12" t="str">
        <x:f t="shared" si="16"/>
      </x:c>
      <x:c r="Z200" s="9" t="s">
        <x:v>870</x:v>
      </x:c>
      <x:c r="AA200" s="9"/>
      <x:c r="AB200" s="9"/>
      <x:c r="AC200" s="9"/>
      <x:c r="AD200" s="9"/>
      <x:c r="AE200" s="9"/>
      <x:c r="AF200" s="9"/>
      <x:c r="AG200" s="9"/>
      <x:c r="AH200" s="9"/>
      <x:c r="AI200" s="9"/>
      <x:c r="AJ200" s="9"/>
      <x:c r="AK200" s="9"/>
      <x:c r="AL200" s="12" t="str">
        <x:f t="shared" si="17"/>
      </x:c>
      <x:c r="AM200" s="11" t="str">
        <x:f t="shared" si="18"/>
      </x:c>
      <x:c r="AN200" s="11" t="str">
        <x:f t="shared" si="19"/>
      </x:c>
      <x:c r="AO200" s="9"/>
      <x:c r="AP200" s="9"/>
      <x:c r="AQ200" s="27" t="s">
        <x:v>498</x:v>
      </x:c>
    </x:row>
    <x:row r="201" ht="118.05000305175781" customHeight="1">
      <x:c r="A201" s="6" t="s">
        <x:v>1089</x:v>
      </x:c>
      <x:c r="B201" s="6" t="s">
        <x:v>495</x:v>
      </x:c>
      <x:c r="C201" s="6" t="s">
        <x:v>50</x:v>
      </x:c>
      <x:c r="D201" s="6" t="s">
        <x:v>496</x:v>
      </x:c>
      <x:c r="E201" s="6" t="s">
        <x:v>249</x:v>
      </x:c>
      <x:c r="F201" s="6" t="s">
        <x:v>497</x:v>
      </x:c>
      <x:c r="G201" s="6" t="s">
        <x:v>715</x:v>
      </x:c>
      <x:c r="H201" s="6" t="s">
        <x:v>717</x:v>
      </x:c>
      <x:c r="I201" s="6" t="s">
        <x:v>1034</x:v>
      </x:c>
      <x:c r="J201" s="6" t="s">
        <x:v>1035</x:v>
      </x:c>
      <x:c r="K201" s="6" t="s">
        <x:v>499</x:v>
      </x:c>
      <x:c r="L201" s="6" t="s">
        <x:v>438</x:v>
      </x:c>
      <x:c r="M201" s="6" t="s">
        <x:v>500</x:v>
      </x:c>
      <x:c r="N201" s="6" t="s">
        <x:v>501</x:v>
      </x:c>
      <x:c r="O201" s="6" t="s">
        <x:v>257</x:v>
      </x:c>
      <x:c r="P201" s="9"/>
      <x:c r="Q201" s="9"/>
      <x:c r="R201" s="9"/>
      <x:c r="S201" s="9"/>
      <x:c r="T201" s="9"/>
      <x:c r="U201" s="9"/>
      <x:c r="V201" s="9"/>
      <x:c r="W201" s="9"/>
      <x:c r="X201" s="12" t="str">
        <x:f t="shared" si="15"/>
      </x:c>
      <x:c r="Y201" s="12" t="str">
        <x:f t="shared" si="16"/>
      </x:c>
      <x:c r="Z201" s="9" t="s">
        <x:v>870</x:v>
      </x:c>
      <x:c r="AA201" s="9"/>
      <x:c r="AB201" s="9"/>
      <x:c r="AC201" s="9"/>
      <x:c r="AD201" s="9"/>
      <x:c r="AE201" s="9"/>
      <x:c r="AF201" s="9"/>
      <x:c r="AG201" s="9"/>
      <x:c r="AH201" s="9"/>
      <x:c r="AI201" s="9"/>
      <x:c r="AJ201" s="9"/>
      <x:c r="AK201" s="9"/>
      <x:c r="AL201" s="12" t="str">
        <x:f t="shared" si="17"/>
      </x:c>
      <x:c r="AM201" s="11" t="str">
        <x:f t="shared" si="18"/>
      </x:c>
      <x:c r="AN201" s="11" t="str">
        <x:f t="shared" si="19"/>
      </x:c>
      <x:c r="AO201" s="9"/>
      <x:c r="AP201" s="9"/>
      <x:c r="AQ201" s="27" t="s">
        <x:v>498</x:v>
      </x:c>
    </x:row>
    <x:row r="202" ht="118.05000305175781" customHeight="1">
      <x:c r="A202" s="6" t="s">
        <x:v>1090</x:v>
      </x:c>
      <x:c r="B202" s="6" t="s">
        <x:v>495</x:v>
      </x:c>
      <x:c r="C202" s="6" t="s">
        <x:v>50</x:v>
      </x:c>
      <x:c r="D202" s="6" t="s">
        <x:v>496</x:v>
      </x:c>
      <x:c r="E202" s="6" t="s">
        <x:v>249</x:v>
      </x:c>
      <x:c r="F202" s="6" t="s">
        <x:v>497</x:v>
      </x:c>
      <x:c r="G202" s="6" t="s">
        <x:v>724</x:v>
      </x:c>
      <x:c r="H202" s="6" t="s">
        <x:v>726</x:v>
      </x:c>
      <x:c r="I202" s="6" t="s">
        <x:v>1031</x:v>
      </x:c>
      <x:c r="J202" s="6" t="s">
        <x:v>1032</x:v>
      </x:c>
      <x:c r="K202" s="6" t="s">
        <x:v>499</x:v>
      </x:c>
      <x:c r="L202" s="6" t="s">
        <x:v>438</x:v>
      </x:c>
      <x:c r="M202" s="6" t="s">
        <x:v>500</x:v>
      </x:c>
      <x:c r="N202" s="6" t="s">
        <x:v>501</x:v>
      </x:c>
      <x:c r="O202" s="6" t="s">
        <x:v>257</x:v>
      </x:c>
      <x:c r="P202" s="9"/>
      <x:c r="Q202" s="9"/>
      <x:c r="R202" s="9"/>
      <x:c r="S202" s="9"/>
      <x:c r="T202" s="9"/>
      <x:c r="U202" s="9"/>
      <x:c r="V202" s="9"/>
      <x:c r="W202" s="9"/>
      <x:c r="X202" s="12" t="str">
        <x:f t="shared" si="15"/>
      </x:c>
      <x:c r="Y202" s="12" t="str">
        <x:f t="shared" si="16"/>
      </x:c>
      <x:c r="Z202" s="9" t="s">
        <x:v>870</x:v>
      </x:c>
      <x:c r="AA202" s="9"/>
      <x:c r="AB202" s="9"/>
      <x:c r="AC202" s="9"/>
      <x:c r="AD202" s="9"/>
      <x:c r="AE202" s="9"/>
      <x:c r="AF202" s="9"/>
      <x:c r="AG202" s="9"/>
      <x:c r="AH202" s="9"/>
      <x:c r="AI202" s="9"/>
      <x:c r="AJ202" s="9"/>
      <x:c r="AK202" s="9"/>
      <x:c r="AL202" s="12" t="str">
        <x:f t="shared" si="17"/>
      </x:c>
      <x:c r="AM202" s="11" t="str">
        <x:f t="shared" si="18"/>
      </x:c>
      <x:c r="AN202" s="11" t="str">
        <x:f t="shared" si="19"/>
      </x:c>
      <x:c r="AO202" s="9"/>
      <x:c r="AP202" s="9"/>
      <x:c r="AQ202" s="27" t="s">
        <x:v>498</x:v>
      </x:c>
    </x:row>
    <x:row r="203" ht="118.05000305175781" customHeight="1">
      <x:c r="A203" s="6" t="s">
        <x:v>1091</x:v>
      </x:c>
      <x:c r="B203" s="6" t="s">
        <x:v>495</x:v>
      </x:c>
      <x:c r="C203" s="6" t="s">
        <x:v>50</x:v>
      </x:c>
      <x:c r="D203" s="6" t="s">
        <x:v>496</x:v>
      </x:c>
      <x:c r="E203" s="6" t="s">
        <x:v>249</x:v>
      </x:c>
      <x:c r="F203" s="6" t="s">
        <x:v>497</x:v>
      </x:c>
      <x:c r="G203" s="6" t="s">
        <x:v>724</x:v>
      </x:c>
      <x:c r="H203" s="6" t="s">
        <x:v>726</x:v>
      </x:c>
      <x:c r="I203" s="6" t="s">
        <x:v>1034</x:v>
      </x:c>
      <x:c r="J203" s="6" t="s">
        <x:v>1035</x:v>
      </x:c>
      <x:c r="K203" s="6" t="s">
        <x:v>499</x:v>
      </x:c>
      <x:c r="L203" s="6" t="s">
        <x:v>438</x:v>
      </x:c>
      <x:c r="M203" s="6" t="s">
        <x:v>500</x:v>
      </x:c>
      <x:c r="N203" s="6" t="s">
        <x:v>501</x:v>
      </x:c>
      <x:c r="O203" s="6" t="s">
        <x:v>257</x:v>
      </x:c>
      <x:c r="P203" s="9"/>
      <x:c r="Q203" s="9"/>
      <x:c r="R203" s="9"/>
      <x:c r="S203" s="9"/>
      <x:c r="T203" s="9"/>
      <x:c r="U203" s="9"/>
      <x:c r="V203" s="9"/>
      <x:c r="W203" s="9"/>
      <x:c r="X203" s="12" t="str">
        <x:f t="shared" si="15"/>
      </x:c>
      <x:c r="Y203" s="12" t="str">
        <x:f t="shared" si="16"/>
      </x:c>
      <x:c r="Z203" s="9" t="s">
        <x:v>870</x:v>
      </x:c>
      <x:c r="AA203" s="9"/>
      <x:c r="AB203" s="9"/>
      <x:c r="AC203" s="9"/>
      <x:c r="AD203" s="9"/>
      <x:c r="AE203" s="9"/>
      <x:c r="AF203" s="9"/>
      <x:c r="AG203" s="9"/>
      <x:c r="AH203" s="9"/>
      <x:c r="AI203" s="9"/>
      <x:c r="AJ203" s="9"/>
      <x:c r="AK203" s="9"/>
      <x:c r="AL203" s="12" t="str">
        <x:f t="shared" si="17"/>
      </x:c>
      <x:c r="AM203" s="11" t="str">
        <x:f t="shared" si="18"/>
      </x:c>
      <x:c r="AN203" s="11" t="str">
        <x:f t="shared" si="19"/>
      </x:c>
      <x:c r="AO203" s="9"/>
      <x:c r="AP203" s="9"/>
      <x:c r="AQ203" s="27" t="s">
        <x:v>498</x:v>
      </x:c>
    </x:row>
    <x:row r="204" ht="118.05000305175781" customHeight="1">
      <x:c r="A204" s="6" t="s">
        <x:v>1092</x:v>
      </x:c>
      <x:c r="B204" s="6" t="s">
        <x:v>502</x:v>
      </x:c>
      <x:c r="C204" s="6" t="s">
        <x:v>55</x:v>
      </x:c>
      <x:c r="D204" s="6" t="s">
        <x:v>503</x:v>
      </x:c>
      <x:c r="E204" s="6" t="s">
        <x:v>192</x:v>
      </x:c>
      <x:c r="F204" s="6" t="s">
        <x:v>504</x:v>
      </x:c>
      <x:c r="G204" s="6" t="s">
        <x:v>696</x:v>
      </x:c>
      <x:c r="H204" s="6" t="s">
        <x:v>698</x:v>
      </x:c>
      <x:c r="I204" s="6" t="s">
        <x:v>1031</x:v>
      </x:c>
      <x:c r="J204" s="6" t="s">
        <x:v>1032</x:v>
      </x:c>
      <x:c r="K204" s="6" t="s">
        <x:v>506</x:v>
      </x:c>
      <x:c r="L204" s="6" t="s">
        <x:v>507</x:v>
      </x:c>
      <x:c r="M204" s="6" t="s">
        <x:v>508</x:v>
      </x:c>
      <x:c r="N204" s="6" t="s">
        <x:v>509</x:v>
      </x:c>
      <x:c r="O204" s="6" t="s">
        <x:v>510</x:v>
      </x:c>
      <x:c r="P204" s="9"/>
      <x:c r="Q204" s="9"/>
      <x:c r="R204" s="9"/>
      <x:c r="S204" s="9"/>
      <x:c r="T204" s="9"/>
      <x:c r="U204" s="9"/>
      <x:c r="V204" s="9"/>
      <x:c r="W204" s="9"/>
      <x:c r="X204" s="12" t="str">
        <x:f t="shared" si="15"/>
      </x:c>
      <x:c r="Y204" s="12" t="str">
        <x:f t="shared" si="16"/>
      </x:c>
      <x:c r="Z204" s="9" t="s">
        <x:v>870</x:v>
      </x:c>
      <x:c r="AA204" s="9"/>
      <x:c r="AB204" s="9"/>
      <x:c r="AC204" s="9"/>
      <x:c r="AD204" s="9"/>
      <x:c r="AE204" s="9"/>
      <x:c r="AF204" s="9"/>
      <x:c r="AG204" s="9"/>
      <x:c r="AH204" s="9"/>
      <x:c r="AI204" s="9"/>
      <x:c r="AJ204" s="9"/>
      <x:c r="AK204" s="9"/>
      <x:c r="AL204" s="12" t="str">
        <x:f t="shared" si="17"/>
      </x:c>
      <x:c r="AM204" s="11" t="str">
        <x:f t="shared" si="18"/>
      </x:c>
      <x:c r="AN204" s="11" t="str">
        <x:f t="shared" si="19"/>
      </x:c>
      <x:c r="AO204" s="9"/>
      <x:c r="AP204" s="9"/>
      <x:c r="AQ204" s="27" t="s">
        <x:v>505</x:v>
      </x:c>
    </x:row>
    <x:row r="205" ht="118.05000305175781" customHeight="1">
      <x:c r="A205" s="6" t="s">
        <x:v>1093</x:v>
      </x:c>
      <x:c r="B205" s="6" t="s">
        <x:v>502</x:v>
      </x:c>
      <x:c r="C205" s="6" t="s">
        <x:v>55</x:v>
      </x:c>
      <x:c r="D205" s="6" t="s">
        <x:v>503</x:v>
      </x:c>
      <x:c r="E205" s="6" t="s">
        <x:v>192</x:v>
      </x:c>
      <x:c r="F205" s="6" t="s">
        <x:v>504</x:v>
      </x:c>
      <x:c r="G205" s="6" t="s">
        <x:v>696</x:v>
      </x:c>
      <x:c r="H205" s="6" t="s">
        <x:v>698</x:v>
      </x:c>
      <x:c r="I205" s="6" t="s">
        <x:v>1034</x:v>
      </x:c>
      <x:c r="J205" s="6" t="s">
        <x:v>1035</x:v>
      </x:c>
      <x:c r="K205" s="6" t="s">
        <x:v>506</x:v>
      </x:c>
      <x:c r="L205" s="6" t="s">
        <x:v>507</x:v>
      </x:c>
      <x:c r="M205" s="6" t="s">
        <x:v>508</x:v>
      </x:c>
      <x:c r="N205" s="6" t="s">
        <x:v>509</x:v>
      </x:c>
      <x:c r="O205" s="6" t="s">
        <x:v>510</x:v>
      </x:c>
      <x:c r="P205" s="9"/>
      <x:c r="Q205" s="9"/>
      <x:c r="R205" s="9"/>
      <x:c r="S205" s="9"/>
      <x:c r="T205" s="9"/>
      <x:c r="U205" s="9"/>
      <x:c r="V205" s="9"/>
      <x:c r="W205" s="9"/>
      <x:c r="X205" s="12" t="str">
        <x:f t="shared" si="15"/>
      </x:c>
      <x:c r="Y205" s="12" t="str">
        <x:f t="shared" si="16"/>
      </x:c>
      <x:c r="Z205" s="9" t="s">
        <x:v>870</x:v>
      </x:c>
      <x:c r="AA205" s="9"/>
      <x:c r="AB205" s="9"/>
      <x:c r="AC205" s="9"/>
      <x:c r="AD205" s="9"/>
      <x:c r="AE205" s="9"/>
      <x:c r="AF205" s="9"/>
      <x:c r="AG205" s="9"/>
      <x:c r="AH205" s="9"/>
      <x:c r="AI205" s="9"/>
      <x:c r="AJ205" s="9"/>
      <x:c r="AK205" s="9"/>
      <x:c r="AL205" s="12" t="str">
        <x:f t="shared" si="17"/>
      </x:c>
      <x:c r="AM205" s="11" t="str">
        <x:f t="shared" si="18"/>
      </x:c>
      <x:c r="AN205" s="11" t="str">
        <x:f t="shared" si="19"/>
      </x:c>
      <x:c r="AO205" s="9"/>
      <x:c r="AP205" s="9"/>
      <x:c r="AQ205" s="27" t="s">
        <x:v>505</x:v>
      </x:c>
    </x:row>
    <x:row r="206" ht="118.05000305175781" customHeight="1">
      <x:c r="A206" s="6" t="s">
        <x:v>1094</x:v>
      </x:c>
      <x:c r="B206" s="6" t="s">
        <x:v>502</x:v>
      </x:c>
      <x:c r="C206" s="6" t="s">
        <x:v>55</x:v>
      </x:c>
      <x:c r="D206" s="6" t="s">
        <x:v>503</x:v>
      </x:c>
      <x:c r="E206" s="6" t="s">
        <x:v>192</x:v>
      </x:c>
      <x:c r="F206" s="6" t="s">
        <x:v>504</x:v>
      </x:c>
      <x:c r="G206" s="6" t="s">
        <x:v>702</x:v>
      </x:c>
      <x:c r="H206" s="6" t="s">
        <x:v>704</x:v>
      </x:c>
      <x:c r="I206" s="6" t="s">
        <x:v>1031</x:v>
      </x:c>
      <x:c r="J206" s="6" t="s">
        <x:v>1032</x:v>
      </x:c>
      <x:c r="K206" s="6" t="s">
        <x:v>506</x:v>
      </x:c>
      <x:c r="L206" s="6" t="s">
        <x:v>507</x:v>
      </x:c>
      <x:c r="M206" s="6" t="s">
        <x:v>508</x:v>
      </x:c>
      <x:c r="N206" s="6" t="s">
        <x:v>509</x:v>
      </x:c>
      <x:c r="O206" s="6" t="s">
        <x:v>510</x:v>
      </x:c>
      <x:c r="P206" s="9"/>
      <x:c r="Q206" s="9"/>
      <x:c r="R206" s="9"/>
      <x:c r="S206" s="9"/>
      <x:c r="T206" s="9"/>
      <x:c r="U206" s="9"/>
      <x:c r="V206" s="9"/>
      <x:c r="W206" s="9"/>
      <x:c r="X206" s="12" t="str">
        <x:f t="shared" si="15"/>
      </x:c>
      <x:c r="Y206" s="12" t="str">
        <x:f t="shared" si="16"/>
      </x:c>
      <x:c r="Z206" s="9" t="s">
        <x:v>870</x:v>
      </x:c>
      <x:c r="AA206" s="9"/>
      <x:c r="AB206" s="9"/>
      <x:c r="AC206" s="9"/>
      <x:c r="AD206" s="9"/>
      <x:c r="AE206" s="9"/>
      <x:c r="AF206" s="9"/>
      <x:c r="AG206" s="9"/>
      <x:c r="AH206" s="9"/>
      <x:c r="AI206" s="9"/>
      <x:c r="AJ206" s="9"/>
      <x:c r="AK206" s="9"/>
      <x:c r="AL206" s="12" t="str">
        <x:f t="shared" si="17"/>
      </x:c>
      <x:c r="AM206" s="11" t="str">
        <x:f t="shared" si="18"/>
      </x:c>
      <x:c r="AN206" s="11" t="str">
        <x:f t="shared" si="19"/>
      </x:c>
      <x:c r="AO206" s="9"/>
      <x:c r="AP206" s="9"/>
      <x:c r="AQ206" s="27" t="s">
        <x:v>505</x:v>
      </x:c>
    </x:row>
    <x:row r="207" ht="118.05000305175781" customHeight="1">
      <x:c r="A207" s="6" t="s">
        <x:v>1095</x:v>
      </x:c>
      <x:c r="B207" s="6" t="s">
        <x:v>502</x:v>
      </x:c>
      <x:c r="C207" s="6" t="s">
        <x:v>55</x:v>
      </x:c>
      <x:c r="D207" s="6" t="s">
        <x:v>503</x:v>
      </x:c>
      <x:c r="E207" s="6" t="s">
        <x:v>192</x:v>
      </x:c>
      <x:c r="F207" s="6" t="s">
        <x:v>504</x:v>
      </x:c>
      <x:c r="G207" s="6" t="s">
        <x:v>702</x:v>
      </x:c>
      <x:c r="H207" s="6" t="s">
        <x:v>704</x:v>
      </x:c>
      <x:c r="I207" s="6" t="s">
        <x:v>1034</x:v>
      </x:c>
      <x:c r="J207" s="6" t="s">
        <x:v>1035</x:v>
      </x:c>
      <x:c r="K207" s="6" t="s">
        <x:v>506</x:v>
      </x:c>
      <x:c r="L207" s="6" t="s">
        <x:v>507</x:v>
      </x:c>
      <x:c r="M207" s="6" t="s">
        <x:v>508</x:v>
      </x:c>
      <x:c r="N207" s="6" t="s">
        <x:v>509</x:v>
      </x:c>
      <x:c r="O207" s="6" t="s">
        <x:v>510</x:v>
      </x:c>
      <x:c r="P207" s="9"/>
      <x:c r="Q207" s="9"/>
      <x:c r="R207" s="9"/>
      <x:c r="S207" s="9"/>
      <x:c r="T207" s="9"/>
      <x:c r="U207" s="9"/>
      <x:c r="V207" s="9"/>
      <x:c r="W207" s="9"/>
      <x:c r="X207" s="12" t="str">
        <x:f t="shared" si="15"/>
      </x:c>
      <x:c r="Y207" s="12" t="str">
        <x:f t="shared" si="16"/>
      </x:c>
      <x:c r="Z207" s="9" t="s">
        <x:v>870</x:v>
      </x:c>
      <x:c r="AA207" s="9"/>
      <x:c r="AB207" s="9"/>
      <x:c r="AC207" s="9"/>
      <x:c r="AD207" s="9"/>
      <x:c r="AE207" s="9"/>
      <x:c r="AF207" s="9"/>
      <x:c r="AG207" s="9"/>
      <x:c r="AH207" s="9"/>
      <x:c r="AI207" s="9"/>
      <x:c r="AJ207" s="9"/>
      <x:c r="AK207" s="9"/>
      <x:c r="AL207" s="12" t="str">
        <x:f t="shared" si="17"/>
      </x:c>
      <x:c r="AM207" s="11" t="str">
        <x:f t="shared" si="18"/>
      </x:c>
      <x:c r="AN207" s="11" t="str">
        <x:f t="shared" si="19"/>
      </x:c>
      <x:c r="AO207" s="9"/>
      <x:c r="AP207" s="9"/>
      <x:c r="AQ207" s="27" t="s">
        <x:v>505</x:v>
      </x:c>
    </x:row>
    <x:row r="208" ht="118.05000305175781" customHeight="1">
      <x:c r="A208" s="6" t="s">
        <x:v>1096</x:v>
      </x:c>
      <x:c r="B208" s="6" t="s">
        <x:v>502</x:v>
      </x:c>
      <x:c r="C208" s="6" t="s">
        <x:v>55</x:v>
      </x:c>
      <x:c r="D208" s="6" t="s">
        <x:v>503</x:v>
      </x:c>
      <x:c r="E208" s="6" t="s">
        <x:v>192</x:v>
      </x:c>
      <x:c r="F208" s="6" t="s">
        <x:v>504</x:v>
      </x:c>
      <x:c r="G208" s="6" t="s">
        <x:v>707</x:v>
      </x:c>
      <x:c r="H208" s="6" t="s">
        <x:v>709</x:v>
      </x:c>
      <x:c r="I208" s="6" t="s">
        <x:v>1031</x:v>
      </x:c>
      <x:c r="J208" s="6" t="s">
        <x:v>1032</x:v>
      </x:c>
      <x:c r="K208" s="6" t="s">
        <x:v>506</x:v>
      </x:c>
      <x:c r="L208" s="6" t="s">
        <x:v>507</x:v>
      </x:c>
      <x:c r="M208" s="6" t="s">
        <x:v>508</x:v>
      </x:c>
      <x:c r="N208" s="6" t="s">
        <x:v>509</x:v>
      </x:c>
      <x:c r="O208" s="6" t="s">
        <x:v>510</x:v>
      </x:c>
      <x:c r="P208" s="9"/>
      <x:c r="Q208" s="9"/>
      <x:c r="R208" s="9"/>
      <x:c r="S208" s="9"/>
      <x:c r="T208" s="9"/>
      <x:c r="U208" s="9"/>
      <x:c r="V208" s="9"/>
      <x:c r="W208" s="9"/>
      <x:c r="X208" s="12" t="str">
        <x:f t="shared" si="15"/>
      </x:c>
      <x:c r="Y208" s="12" t="str">
        <x:f t="shared" si="16"/>
      </x:c>
      <x:c r="Z208" s="9" t="s">
        <x:v>870</x:v>
      </x:c>
      <x:c r="AA208" s="9"/>
      <x:c r="AB208" s="9"/>
      <x:c r="AC208" s="9"/>
      <x:c r="AD208" s="9"/>
      <x:c r="AE208" s="9"/>
      <x:c r="AF208" s="9"/>
      <x:c r="AG208" s="9"/>
      <x:c r="AH208" s="9"/>
      <x:c r="AI208" s="9"/>
      <x:c r="AJ208" s="9"/>
      <x:c r="AK208" s="9"/>
      <x:c r="AL208" s="12" t="str">
        <x:f t="shared" si="17"/>
      </x:c>
      <x:c r="AM208" s="11" t="str">
        <x:f t="shared" si="18"/>
      </x:c>
      <x:c r="AN208" s="11" t="str">
        <x:f t="shared" si="19"/>
      </x:c>
      <x:c r="AO208" s="9"/>
      <x:c r="AP208" s="9"/>
      <x:c r="AQ208" s="27" t="s">
        <x:v>505</x:v>
      </x:c>
    </x:row>
    <x:row r="209" ht="118.05000305175781" customHeight="1">
      <x:c r="A209" s="6" t="s">
        <x:v>1097</x:v>
      </x:c>
      <x:c r="B209" s="6" t="s">
        <x:v>502</x:v>
      </x:c>
      <x:c r="C209" s="6" t="s">
        <x:v>55</x:v>
      </x:c>
      <x:c r="D209" s="6" t="s">
        <x:v>503</x:v>
      </x:c>
      <x:c r="E209" s="6" t="s">
        <x:v>192</x:v>
      </x:c>
      <x:c r="F209" s="6" t="s">
        <x:v>504</x:v>
      </x:c>
      <x:c r="G209" s="6" t="s">
        <x:v>707</x:v>
      </x:c>
      <x:c r="H209" s="6" t="s">
        <x:v>709</x:v>
      </x:c>
      <x:c r="I209" s="6" t="s">
        <x:v>1034</x:v>
      </x:c>
      <x:c r="J209" s="6" t="s">
        <x:v>1035</x:v>
      </x:c>
      <x:c r="K209" s="6" t="s">
        <x:v>506</x:v>
      </x:c>
      <x:c r="L209" s="6" t="s">
        <x:v>507</x:v>
      </x:c>
      <x:c r="M209" s="6" t="s">
        <x:v>508</x:v>
      </x:c>
      <x:c r="N209" s="6" t="s">
        <x:v>509</x:v>
      </x:c>
      <x:c r="O209" s="6" t="s">
        <x:v>510</x:v>
      </x:c>
      <x:c r="P209" s="9"/>
      <x:c r="Q209" s="9"/>
      <x:c r="R209" s="9"/>
      <x:c r="S209" s="9"/>
      <x:c r="T209" s="9"/>
      <x:c r="U209" s="9"/>
      <x:c r="V209" s="9"/>
      <x:c r="W209" s="9"/>
      <x:c r="X209" s="12" t="str">
        <x:f t="shared" si="15"/>
      </x:c>
      <x:c r="Y209" s="12" t="str">
        <x:f t="shared" si="16"/>
      </x:c>
      <x:c r="Z209" s="9" t="s">
        <x:v>870</x:v>
      </x:c>
      <x:c r="AA209" s="9"/>
      <x:c r="AB209" s="9"/>
      <x:c r="AC209" s="9"/>
      <x:c r="AD209" s="9"/>
      <x:c r="AE209" s="9"/>
      <x:c r="AF209" s="9"/>
      <x:c r="AG209" s="9"/>
      <x:c r="AH209" s="9"/>
      <x:c r="AI209" s="9"/>
      <x:c r="AJ209" s="9"/>
      <x:c r="AK209" s="9"/>
      <x:c r="AL209" s="12" t="str">
        <x:f t="shared" si="17"/>
      </x:c>
      <x:c r="AM209" s="11" t="str">
        <x:f t="shared" si="18"/>
      </x:c>
      <x:c r="AN209" s="11" t="str">
        <x:f t="shared" si="19"/>
      </x:c>
      <x:c r="AO209" s="9"/>
      <x:c r="AP209" s="9"/>
      <x:c r="AQ209" s="27" t="s">
        <x:v>505</x:v>
      </x:c>
    </x:row>
    <x:row r="210" ht="118.05000305175781" customHeight="1">
      <x:c r="A210" s="6" t="s">
        <x:v>1098</x:v>
      </x:c>
      <x:c r="B210" s="6" t="s">
        <x:v>511</x:v>
      </x:c>
      <x:c r="C210" s="6" t="s">
        <x:v>55</x:v>
      </x:c>
      <x:c r="D210" s="6" t="s">
        <x:v>512</x:v>
      </x:c>
      <x:c r="E210" s="6" t="s">
        <x:v>205</x:v>
      </x:c>
      <x:c r="F210" s="6" t="s">
        <x:v>513</x:v>
      </x:c>
      <x:c r="G210" s="6" t="s">
        <x:v>696</x:v>
      </x:c>
      <x:c r="H210" s="6" t="s">
        <x:v>698</x:v>
      </x:c>
      <x:c r="I210" s="6" t="s">
        <x:v>1034</x:v>
      </x:c>
      <x:c r="J210" s="6" t="s">
        <x:v>1035</x:v>
      </x:c>
      <x:c r="K210" s="6" t="s">
        <x:v>515</x:v>
      </x:c>
      <x:c r="L210" s="6" t="s">
        <x:v>507</x:v>
      </x:c>
      <x:c r="M210" s="6" t="s">
        <x:v>516</x:v>
      </x:c>
      <x:c r="N210" s="6" t="s">
        <x:v>517</x:v>
      </x:c>
      <x:c r="O210" s="6" t="s">
        <x:v>518</x:v>
      </x:c>
      <x:c r="P210" s="9"/>
      <x:c r="Q210" s="9"/>
      <x:c r="R210" s="9"/>
      <x:c r="S210" s="9"/>
      <x:c r="T210" s="9"/>
      <x:c r="U210" s="9"/>
      <x:c r="V210" s="9"/>
      <x:c r="W210" s="9"/>
      <x:c r="X210" s="12" t="str">
        <x:f t="shared" si="15"/>
      </x:c>
      <x:c r="Y210" s="12" t="str">
        <x:f t="shared" si="16"/>
      </x:c>
      <x:c r="Z210" s="9" t="s">
        <x:v>870</x:v>
      </x:c>
      <x:c r="AA210" s="9"/>
      <x:c r="AB210" s="9"/>
      <x:c r="AC210" s="9"/>
      <x:c r="AD210" s="9"/>
      <x:c r="AE210" s="9"/>
      <x:c r="AF210" s="9"/>
      <x:c r="AG210" s="9"/>
      <x:c r="AH210" s="9"/>
      <x:c r="AI210" s="9"/>
      <x:c r="AJ210" s="9"/>
      <x:c r="AK210" s="9"/>
      <x:c r="AL210" s="12" t="str">
        <x:f t="shared" si="17"/>
      </x:c>
      <x:c r="AM210" s="11" t="str">
        <x:f t="shared" si="18"/>
      </x:c>
      <x:c r="AN210" s="11" t="str">
        <x:f t="shared" si="19"/>
      </x:c>
      <x:c r="AO210" s="9"/>
      <x:c r="AP210" s="9"/>
      <x:c r="AQ210" s="27" t="s">
        <x:v>514</x:v>
      </x:c>
    </x:row>
    <x:row r="211" ht="118.05000305175781" customHeight="1">
      <x:c r="A211" s="6" t="s">
        <x:v>1099</x:v>
      </x:c>
      <x:c r="B211" s="6" t="s">
        <x:v>511</x:v>
      </x:c>
      <x:c r="C211" s="6" t="s">
        <x:v>55</x:v>
      </x:c>
      <x:c r="D211" s="6" t="s">
        <x:v>512</x:v>
      </x:c>
      <x:c r="E211" s="6" t="s">
        <x:v>205</x:v>
      </x:c>
      <x:c r="F211" s="6" t="s">
        <x:v>513</x:v>
      </x:c>
      <x:c r="G211" s="6" t="s">
        <x:v>696</x:v>
      </x:c>
      <x:c r="H211" s="6" t="s">
        <x:v>698</x:v>
      </x:c>
      <x:c r="I211" s="6" t="s">
        <x:v>1046</x:v>
      </x:c>
      <x:c r="J211" s="6" t="s">
        <x:v>1047</x:v>
      </x:c>
      <x:c r="K211" s="6" t="s">
        <x:v>515</x:v>
      </x:c>
      <x:c r="L211" s="6" t="s">
        <x:v>507</x:v>
      </x:c>
      <x:c r="M211" s="6" t="s">
        <x:v>516</x:v>
      </x:c>
      <x:c r="N211" s="6" t="s">
        <x:v>517</x:v>
      </x:c>
      <x:c r="O211" s="6" t="s">
        <x:v>518</x:v>
      </x:c>
      <x:c r="P211" s="9"/>
      <x:c r="Q211" s="9"/>
      <x:c r="R211" s="9"/>
      <x:c r="S211" s="9"/>
      <x:c r="T211" s="9"/>
      <x:c r="U211" s="9"/>
      <x:c r="V211" s="9"/>
      <x:c r="W211" s="9"/>
      <x:c r="X211" s="12" t="str">
        <x:f t="shared" si="15"/>
      </x:c>
      <x:c r="Y211" s="12" t="str">
        <x:f t="shared" si="16"/>
      </x:c>
      <x:c r="Z211" s="9" t="s">
        <x:v>870</x:v>
      </x:c>
      <x:c r="AA211" s="9"/>
      <x:c r="AB211" s="9"/>
      <x:c r="AC211" s="9"/>
      <x:c r="AD211" s="9"/>
      <x:c r="AE211" s="9"/>
      <x:c r="AF211" s="9"/>
      <x:c r="AG211" s="9"/>
      <x:c r="AH211" s="9"/>
      <x:c r="AI211" s="9"/>
      <x:c r="AJ211" s="9"/>
      <x:c r="AK211" s="9"/>
      <x:c r="AL211" s="12" t="str">
        <x:f t="shared" si="17"/>
      </x:c>
      <x:c r="AM211" s="11" t="str">
        <x:f t="shared" si="18"/>
      </x:c>
      <x:c r="AN211" s="11" t="str">
        <x:f t="shared" si="19"/>
      </x:c>
      <x:c r="AO211" s="9"/>
      <x:c r="AP211" s="9"/>
      <x:c r="AQ211" s="27" t="s">
        <x:v>514</x:v>
      </x:c>
    </x:row>
    <x:row r="212" ht="118.05000305175781" customHeight="1">
      <x:c r="A212" s="6" t="s">
        <x:v>1100</x:v>
      </x:c>
      <x:c r="B212" s="6" t="s">
        <x:v>511</x:v>
      </x:c>
      <x:c r="C212" s="6" t="s">
        <x:v>55</x:v>
      </x:c>
      <x:c r="D212" s="6" t="s">
        <x:v>512</x:v>
      </x:c>
      <x:c r="E212" s="6" t="s">
        <x:v>205</x:v>
      </x:c>
      <x:c r="F212" s="6" t="s">
        <x:v>513</x:v>
      </x:c>
      <x:c r="G212" s="6" t="s">
        <x:v>707</x:v>
      </x:c>
      <x:c r="H212" s="6" t="s">
        <x:v>709</x:v>
      </x:c>
      <x:c r="I212" s="6" t="s">
        <x:v>1034</x:v>
      </x:c>
      <x:c r="J212" s="6" t="s">
        <x:v>1035</x:v>
      </x:c>
      <x:c r="K212" s="6" t="s">
        <x:v>515</x:v>
      </x:c>
      <x:c r="L212" s="6" t="s">
        <x:v>507</x:v>
      </x:c>
      <x:c r="M212" s="6" t="s">
        <x:v>516</x:v>
      </x:c>
      <x:c r="N212" s="6" t="s">
        <x:v>517</x:v>
      </x:c>
      <x:c r="O212" s="6" t="s">
        <x:v>518</x:v>
      </x:c>
      <x:c r="P212" s="9"/>
      <x:c r="Q212" s="9"/>
      <x:c r="R212" s="9"/>
      <x:c r="S212" s="9"/>
      <x:c r="T212" s="9"/>
      <x:c r="U212" s="9"/>
      <x:c r="V212" s="9"/>
      <x:c r="W212" s="9"/>
      <x:c r="X212" s="12" t="str">
        <x:f t="shared" si="15"/>
      </x:c>
      <x:c r="Y212" s="12" t="str">
        <x:f t="shared" si="16"/>
      </x:c>
      <x:c r="Z212" s="9" t="s">
        <x:v>870</x:v>
      </x:c>
      <x:c r="AA212" s="9"/>
      <x:c r="AB212" s="9"/>
      <x:c r="AC212" s="9"/>
      <x:c r="AD212" s="9"/>
      <x:c r="AE212" s="9"/>
      <x:c r="AF212" s="9"/>
      <x:c r="AG212" s="9"/>
      <x:c r="AH212" s="9"/>
      <x:c r="AI212" s="9"/>
      <x:c r="AJ212" s="9"/>
      <x:c r="AK212" s="9"/>
      <x:c r="AL212" s="12" t="str">
        <x:f t="shared" si="17"/>
      </x:c>
      <x:c r="AM212" s="11" t="str">
        <x:f t="shared" si="18"/>
      </x:c>
      <x:c r="AN212" s="11" t="str">
        <x:f t="shared" si="19"/>
      </x:c>
      <x:c r="AO212" s="9"/>
      <x:c r="AP212" s="9"/>
      <x:c r="AQ212" s="27" t="s">
        <x:v>514</x:v>
      </x:c>
    </x:row>
    <x:row r="213" ht="118.05000305175781" customHeight="1">
      <x:c r="A213" s="6" t="s">
        <x:v>1101</x:v>
      </x:c>
      <x:c r="B213" s="6" t="s">
        <x:v>511</x:v>
      </x:c>
      <x:c r="C213" s="6" t="s">
        <x:v>55</x:v>
      </x:c>
      <x:c r="D213" s="6" t="s">
        <x:v>512</x:v>
      </x:c>
      <x:c r="E213" s="6" t="s">
        <x:v>205</x:v>
      </x:c>
      <x:c r="F213" s="6" t="s">
        <x:v>513</x:v>
      </x:c>
      <x:c r="G213" s="6" t="s">
        <x:v>707</x:v>
      </x:c>
      <x:c r="H213" s="6" t="s">
        <x:v>709</x:v>
      </x:c>
      <x:c r="I213" s="6" t="s">
        <x:v>1046</x:v>
      </x:c>
      <x:c r="J213" s="6" t="s">
        <x:v>1047</x:v>
      </x:c>
      <x:c r="K213" s="6" t="s">
        <x:v>515</x:v>
      </x:c>
      <x:c r="L213" s="6" t="s">
        <x:v>507</x:v>
      </x:c>
      <x:c r="M213" s="6" t="s">
        <x:v>516</x:v>
      </x:c>
      <x:c r="N213" s="6" t="s">
        <x:v>517</x:v>
      </x:c>
      <x:c r="O213" s="6" t="s">
        <x:v>518</x:v>
      </x:c>
      <x:c r="P213" s="9"/>
      <x:c r="Q213" s="9"/>
      <x:c r="R213" s="9"/>
      <x:c r="S213" s="9"/>
      <x:c r="T213" s="9"/>
      <x:c r="U213" s="9"/>
      <x:c r="V213" s="9"/>
      <x:c r="W213" s="9"/>
      <x:c r="X213" s="12" t="str">
        <x:f t="shared" si="15"/>
      </x:c>
      <x:c r="Y213" s="12" t="str">
        <x:f t="shared" si="16"/>
      </x:c>
      <x:c r="Z213" s="9" t="s">
        <x:v>870</x:v>
      </x:c>
      <x:c r="AA213" s="9"/>
      <x:c r="AB213" s="9"/>
      <x:c r="AC213" s="9"/>
      <x:c r="AD213" s="9"/>
      <x:c r="AE213" s="9"/>
      <x:c r="AF213" s="9"/>
      <x:c r="AG213" s="9"/>
      <x:c r="AH213" s="9"/>
      <x:c r="AI213" s="9"/>
      <x:c r="AJ213" s="9"/>
      <x:c r="AK213" s="9"/>
      <x:c r="AL213" s="12" t="str">
        <x:f t="shared" si="17"/>
      </x:c>
      <x:c r="AM213" s="11" t="str">
        <x:f t="shared" si="18"/>
      </x:c>
      <x:c r="AN213" s="11" t="str">
        <x:f t="shared" si="19"/>
      </x:c>
      <x:c r="AO213" s="9"/>
      <x:c r="AP213" s="9"/>
      <x:c r="AQ213" s="27" t="s">
        <x:v>514</x:v>
      </x:c>
    </x:row>
    <x:row r="214" ht="118.05000305175781" customHeight="1">
      <x:c r="A214" s="6" t="s">
        <x:v>1102</x:v>
      </x:c>
      <x:c r="B214" s="6" t="s">
        <x:v>519</x:v>
      </x:c>
      <x:c r="C214" s="6" t="s">
        <x:v>55</x:v>
      </x:c>
      <x:c r="D214" s="6" t="s">
        <x:v>520</x:v>
      </x:c>
      <x:c r="E214" s="6" t="s">
        <x:v>214</x:v>
      </x:c>
      <x:c r="F214" s="6" t="s">
        <x:v>521</x:v>
      </x:c>
      <x:c r="G214" s="6" t="s">
        <x:v>696</x:v>
      </x:c>
      <x:c r="H214" s="6" t="s">
        <x:v>698</x:v>
      </x:c>
      <x:c r="I214" s="6" t="s">
        <x:v>1031</x:v>
      </x:c>
      <x:c r="J214" s="6" t="s">
        <x:v>1032</x:v>
      </x:c>
      <x:c r="K214" s="6" t="s">
        <x:v>523</x:v>
      </x:c>
      <x:c r="L214" s="6" t="s">
        <x:v>507</x:v>
      </x:c>
      <x:c r="M214" s="6" t="s">
        <x:v>524</x:v>
      </x:c>
      <x:c r="N214" s="6" t="s">
        <x:v>525</x:v>
      </x:c>
      <x:c r="O214" s="6" t="s">
        <x:v>230</x:v>
      </x:c>
      <x:c r="P214" s="9"/>
      <x:c r="Q214" s="9"/>
      <x:c r="R214" s="9"/>
      <x:c r="S214" s="9"/>
      <x:c r="T214" s="9"/>
      <x:c r="U214" s="9"/>
      <x:c r="V214" s="9"/>
      <x:c r="W214" s="9"/>
      <x:c r="X214" s="12" t="str">
        <x:f t="shared" si="15"/>
      </x:c>
      <x:c r="Y214" s="12" t="str">
        <x:f t="shared" si="16"/>
      </x:c>
      <x:c r="Z214" s="9" t="s">
        <x:v>870</x:v>
      </x:c>
      <x:c r="AA214" s="9"/>
      <x:c r="AB214" s="9"/>
      <x:c r="AC214" s="9"/>
      <x:c r="AD214" s="9"/>
      <x:c r="AE214" s="9"/>
      <x:c r="AF214" s="9"/>
      <x:c r="AG214" s="9"/>
      <x:c r="AH214" s="9"/>
      <x:c r="AI214" s="9"/>
      <x:c r="AJ214" s="9"/>
      <x:c r="AK214" s="9"/>
      <x:c r="AL214" s="12" t="str">
        <x:f t="shared" si="17"/>
      </x:c>
      <x:c r="AM214" s="11" t="str">
        <x:f t="shared" si="18"/>
      </x:c>
      <x:c r="AN214" s="11" t="str">
        <x:f t="shared" si="19"/>
      </x:c>
      <x:c r="AO214" s="9"/>
      <x:c r="AP214" s="9"/>
      <x:c r="AQ214" s="27" t="s">
        <x:v>522</x:v>
      </x:c>
    </x:row>
    <x:row r="215" ht="118.05000305175781" customHeight="1">
      <x:c r="A215" s="6" t="s">
        <x:v>1103</x:v>
      </x:c>
      <x:c r="B215" s="6" t="s">
        <x:v>519</x:v>
      </x:c>
      <x:c r="C215" s="6" t="s">
        <x:v>55</x:v>
      </x:c>
      <x:c r="D215" s="6" t="s">
        <x:v>520</x:v>
      </x:c>
      <x:c r="E215" s="6" t="s">
        <x:v>214</x:v>
      </x:c>
      <x:c r="F215" s="6" t="s">
        <x:v>521</x:v>
      </x:c>
      <x:c r="G215" s="6" t="s">
        <x:v>696</x:v>
      </x:c>
      <x:c r="H215" s="6" t="s">
        <x:v>698</x:v>
      </x:c>
      <x:c r="I215" s="6" t="s">
        <x:v>1034</x:v>
      </x:c>
      <x:c r="J215" s="6" t="s">
        <x:v>1035</x:v>
      </x:c>
      <x:c r="K215" s="6" t="s">
        <x:v>523</x:v>
      </x:c>
      <x:c r="L215" s="6" t="s">
        <x:v>507</x:v>
      </x:c>
      <x:c r="M215" s="6" t="s">
        <x:v>524</x:v>
      </x:c>
      <x:c r="N215" s="6" t="s">
        <x:v>525</x:v>
      </x:c>
      <x:c r="O215" s="6" t="s">
        <x:v>230</x:v>
      </x:c>
      <x:c r="P215" s="9"/>
      <x:c r="Q215" s="9"/>
      <x:c r="R215" s="9"/>
      <x:c r="S215" s="9"/>
      <x:c r="T215" s="9"/>
      <x:c r="U215" s="9"/>
      <x:c r="V215" s="9"/>
      <x:c r="W215" s="9"/>
      <x:c r="X215" s="12" t="str">
        <x:f t="shared" si="15"/>
      </x:c>
      <x:c r="Y215" s="12" t="str">
        <x:f t="shared" si="16"/>
      </x:c>
      <x:c r="Z215" s="9" t="s">
        <x:v>870</x:v>
      </x:c>
      <x:c r="AA215" s="9"/>
      <x:c r="AB215" s="9"/>
      <x:c r="AC215" s="9"/>
      <x:c r="AD215" s="9"/>
      <x:c r="AE215" s="9"/>
      <x:c r="AF215" s="9"/>
      <x:c r="AG215" s="9"/>
      <x:c r="AH215" s="9"/>
      <x:c r="AI215" s="9"/>
      <x:c r="AJ215" s="9"/>
      <x:c r="AK215" s="9"/>
      <x:c r="AL215" s="12" t="str">
        <x:f t="shared" si="17"/>
      </x:c>
      <x:c r="AM215" s="11" t="str">
        <x:f t="shared" si="18"/>
      </x:c>
      <x:c r="AN215" s="11" t="str">
        <x:f t="shared" si="19"/>
      </x:c>
      <x:c r="AO215" s="9"/>
      <x:c r="AP215" s="9"/>
      <x:c r="AQ215" s="27" t="s">
        <x:v>522</x:v>
      </x:c>
    </x:row>
    <x:row r="216" ht="118.05000305175781" customHeight="1">
      <x:c r="A216" s="6" t="s">
        <x:v>1104</x:v>
      </x:c>
      <x:c r="B216" s="6" t="s">
        <x:v>519</x:v>
      </x:c>
      <x:c r="C216" s="6" t="s">
        <x:v>55</x:v>
      </x:c>
      <x:c r="D216" s="6" t="s">
        <x:v>520</x:v>
      </x:c>
      <x:c r="E216" s="6" t="s">
        <x:v>214</x:v>
      </x:c>
      <x:c r="F216" s="6" t="s">
        <x:v>521</x:v>
      </x:c>
      <x:c r="G216" s="6" t="s">
        <x:v>707</x:v>
      </x:c>
      <x:c r="H216" s="6" t="s">
        <x:v>709</x:v>
      </x:c>
      <x:c r="I216" s="6" t="s">
        <x:v>1031</x:v>
      </x:c>
      <x:c r="J216" s="6" t="s">
        <x:v>1032</x:v>
      </x:c>
      <x:c r="K216" s="6" t="s">
        <x:v>523</x:v>
      </x:c>
      <x:c r="L216" s="6" t="s">
        <x:v>507</x:v>
      </x:c>
      <x:c r="M216" s="6" t="s">
        <x:v>524</x:v>
      </x:c>
      <x:c r="N216" s="6" t="s">
        <x:v>525</x:v>
      </x:c>
      <x:c r="O216" s="6" t="s">
        <x:v>230</x:v>
      </x:c>
      <x:c r="P216" s="9"/>
      <x:c r="Q216" s="9"/>
      <x:c r="R216" s="9"/>
      <x:c r="S216" s="9"/>
      <x:c r="T216" s="9"/>
      <x:c r="U216" s="9"/>
      <x:c r="V216" s="9"/>
      <x:c r="W216" s="9"/>
      <x:c r="X216" s="12" t="str">
        <x:f t="shared" si="15"/>
      </x:c>
      <x:c r="Y216" s="12" t="str">
        <x:f t="shared" si="16"/>
      </x:c>
      <x:c r="Z216" s="9" t="s">
        <x:v>870</x:v>
      </x:c>
      <x:c r="AA216" s="9"/>
      <x:c r="AB216" s="9"/>
      <x:c r="AC216" s="9"/>
      <x:c r="AD216" s="9"/>
      <x:c r="AE216" s="9"/>
      <x:c r="AF216" s="9"/>
      <x:c r="AG216" s="9"/>
      <x:c r="AH216" s="9"/>
      <x:c r="AI216" s="9"/>
      <x:c r="AJ216" s="9"/>
      <x:c r="AK216" s="9"/>
      <x:c r="AL216" s="12" t="str">
        <x:f t="shared" si="17"/>
      </x:c>
      <x:c r="AM216" s="11" t="str">
        <x:f t="shared" si="18"/>
      </x:c>
      <x:c r="AN216" s="11" t="str">
        <x:f t="shared" si="19"/>
      </x:c>
      <x:c r="AO216" s="9"/>
      <x:c r="AP216" s="9"/>
      <x:c r="AQ216" s="27" t="s">
        <x:v>522</x:v>
      </x:c>
    </x:row>
    <x:row r="217" ht="118.05000305175781" customHeight="1">
      <x:c r="A217" s="6" t="s">
        <x:v>1105</x:v>
      </x:c>
      <x:c r="B217" s="6" t="s">
        <x:v>519</x:v>
      </x:c>
      <x:c r="C217" s="6" t="s">
        <x:v>55</x:v>
      </x:c>
      <x:c r="D217" s="6" t="s">
        <x:v>520</x:v>
      </x:c>
      <x:c r="E217" s="6" t="s">
        <x:v>214</x:v>
      </x:c>
      <x:c r="F217" s="6" t="s">
        <x:v>521</x:v>
      </x:c>
      <x:c r="G217" s="6" t="s">
        <x:v>707</x:v>
      </x:c>
      <x:c r="H217" s="6" t="s">
        <x:v>709</x:v>
      </x:c>
      <x:c r="I217" s="6" t="s">
        <x:v>1034</x:v>
      </x:c>
      <x:c r="J217" s="6" t="s">
        <x:v>1035</x:v>
      </x:c>
      <x:c r="K217" s="6" t="s">
        <x:v>523</x:v>
      </x:c>
      <x:c r="L217" s="6" t="s">
        <x:v>507</x:v>
      </x:c>
      <x:c r="M217" s="6" t="s">
        <x:v>524</x:v>
      </x:c>
      <x:c r="N217" s="6" t="s">
        <x:v>525</x:v>
      </x:c>
      <x:c r="O217" s="6" t="s">
        <x:v>230</x:v>
      </x:c>
      <x:c r="P217" s="9"/>
      <x:c r="Q217" s="9"/>
      <x:c r="R217" s="9"/>
      <x:c r="S217" s="9"/>
      <x:c r="T217" s="9"/>
      <x:c r="U217" s="9"/>
      <x:c r="V217" s="9"/>
      <x:c r="W217" s="9"/>
      <x:c r="X217" s="12" t="str">
        <x:f t="shared" si="15"/>
      </x:c>
      <x:c r="Y217" s="12" t="str">
        <x:f t="shared" si="16"/>
      </x:c>
      <x:c r="Z217" s="9" t="s">
        <x:v>870</x:v>
      </x:c>
      <x:c r="AA217" s="9"/>
      <x:c r="AB217" s="9"/>
      <x:c r="AC217" s="9"/>
      <x:c r="AD217" s="9"/>
      <x:c r="AE217" s="9"/>
      <x:c r="AF217" s="9"/>
      <x:c r="AG217" s="9"/>
      <x:c r="AH217" s="9"/>
      <x:c r="AI217" s="9"/>
      <x:c r="AJ217" s="9"/>
      <x:c r="AK217" s="9"/>
      <x:c r="AL217" s="12" t="str">
        <x:f t="shared" si="17"/>
      </x:c>
      <x:c r="AM217" s="11" t="str">
        <x:f t="shared" si="18"/>
      </x:c>
      <x:c r="AN217" s="11" t="str">
        <x:f t="shared" si="19"/>
      </x:c>
      <x:c r="AO217" s="9"/>
      <x:c r="AP217" s="9"/>
      <x:c r="AQ217" s="27" t="s">
        <x:v>522</x:v>
      </x:c>
    </x:row>
    <x:row r="218" ht="118.05000305175781" customHeight="1">
      <x:c r="A218" s="6" t="s">
        <x:v>1106</x:v>
      </x:c>
      <x:c r="B218" s="6" t="s">
        <x:v>519</x:v>
      </x:c>
      <x:c r="C218" s="6" t="s">
        <x:v>55</x:v>
      </x:c>
      <x:c r="D218" s="6" t="s">
        <x:v>520</x:v>
      </x:c>
      <x:c r="E218" s="6" t="s">
        <x:v>214</x:v>
      </x:c>
      <x:c r="F218" s="6" t="s">
        <x:v>521</x:v>
      </x:c>
      <x:c r="G218" s="6" t="s">
        <x:v>724</x:v>
      </x:c>
      <x:c r="H218" s="6" t="s">
        <x:v>726</x:v>
      </x:c>
      <x:c r="I218" s="6" t="s">
        <x:v>1031</x:v>
      </x:c>
      <x:c r="J218" s="6" t="s">
        <x:v>1032</x:v>
      </x:c>
      <x:c r="K218" s="6" t="s">
        <x:v>523</x:v>
      </x:c>
      <x:c r="L218" s="6" t="s">
        <x:v>507</x:v>
      </x:c>
      <x:c r="M218" s="6" t="s">
        <x:v>524</x:v>
      </x:c>
      <x:c r="N218" s="6" t="s">
        <x:v>525</x:v>
      </x:c>
      <x:c r="O218" s="6" t="s">
        <x:v>230</x:v>
      </x:c>
      <x:c r="P218" s="9"/>
      <x:c r="Q218" s="9"/>
      <x:c r="R218" s="9"/>
      <x:c r="S218" s="9"/>
      <x:c r="T218" s="9"/>
      <x:c r="U218" s="9"/>
      <x:c r="V218" s="9"/>
      <x:c r="W218" s="9"/>
      <x:c r="X218" s="12" t="str">
        <x:f t="shared" si="15"/>
      </x:c>
      <x:c r="Y218" s="12" t="str">
        <x:f t="shared" si="16"/>
      </x:c>
      <x:c r="Z218" s="9" t="s">
        <x:v>870</x:v>
      </x:c>
      <x:c r="AA218" s="9"/>
      <x:c r="AB218" s="9"/>
      <x:c r="AC218" s="9"/>
      <x:c r="AD218" s="9"/>
      <x:c r="AE218" s="9"/>
      <x:c r="AF218" s="9"/>
      <x:c r="AG218" s="9"/>
      <x:c r="AH218" s="9"/>
      <x:c r="AI218" s="9"/>
      <x:c r="AJ218" s="9"/>
      <x:c r="AK218" s="9"/>
      <x:c r="AL218" s="12" t="str">
        <x:f t="shared" si="17"/>
      </x:c>
      <x:c r="AM218" s="11" t="str">
        <x:f t="shared" si="18"/>
      </x:c>
      <x:c r="AN218" s="11" t="str">
        <x:f t="shared" si="19"/>
      </x:c>
      <x:c r="AO218" s="9"/>
      <x:c r="AP218" s="9"/>
      <x:c r="AQ218" s="27" t="s">
        <x:v>522</x:v>
      </x:c>
    </x:row>
    <x:row r="219" ht="118.05000305175781" customHeight="1">
      <x:c r="A219" s="6" t="s">
        <x:v>1107</x:v>
      </x:c>
      <x:c r="B219" s="6" t="s">
        <x:v>519</x:v>
      </x:c>
      <x:c r="C219" s="6" t="s">
        <x:v>55</x:v>
      </x:c>
      <x:c r="D219" s="6" t="s">
        <x:v>520</x:v>
      </x:c>
      <x:c r="E219" s="6" t="s">
        <x:v>214</x:v>
      </x:c>
      <x:c r="F219" s="6" t="s">
        <x:v>521</x:v>
      </x:c>
      <x:c r="G219" s="6" t="s">
        <x:v>724</x:v>
      </x:c>
      <x:c r="H219" s="6" t="s">
        <x:v>726</x:v>
      </x:c>
      <x:c r="I219" s="6" t="s">
        <x:v>1034</x:v>
      </x:c>
      <x:c r="J219" s="6" t="s">
        <x:v>1035</x:v>
      </x:c>
      <x:c r="K219" s="6" t="s">
        <x:v>523</x:v>
      </x:c>
      <x:c r="L219" s="6" t="s">
        <x:v>507</x:v>
      </x:c>
      <x:c r="M219" s="6" t="s">
        <x:v>524</x:v>
      </x:c>
      <x:c r="N219" s="6" t="s">
        <x:v>525</x:v>
      </x:c>
      <x:c r="O219" s="6" t="s">
        <x:v>230</x:v>
      </x:c>
      <x:c r="P219" s="9"/>
      <x:c r="Q219" s="9"/>
      <x:c r="R219" s="9"/>
      <x:c r="S219" s="9"/>
      <x:c r="T219" s="9"/>
      <x:c r="U219" s="9"/>
      <x:c r="V219" s="9"/>
      <x:c r="W219" s="9"/>
      <x:c r="X219" s="12" t="str">
        <x:f t="shared" si="15"/>
      </x:c>
      <x:c r="Y219" s="12" t="str">
        <x:f t="shared" si="16"/>
      </x:c>
      <x:c r="Z219" s="9" t="s">
        <x:v>870</x:v>
      </x:c>
      <x:c r="AA219" s="9"/>
      <x:c r="AB219" s="9"/>
      <x:c r="AC219" s="9"/>
      <x:c r="AD219" s="9"/>
      <x:c r="AE219" s="9"/>
      <x:c r="AF219" s="9"/>
      <x:c r="AG219" s="9"/>
      <x:c r="AH219" s="9"/>
      <x:c r="AI219" s="9"/>
      <x:c r="AJ219" s="9"/>
      <x:c r="AK219" s="9"/>
      <x:c r="AL219" s="12" t="str">
        <x:f t="shared" si="17"/>
      </x:c>
      <x:c r="AM219" s="11" t="str">
        <x:f t="shared" si="18"/>
      </x:c>
      <x:c r="AN219" s="11" t="str">
        <x:f t="shared" si="19"/>
      </x:c>
      <x:c r="AO219" s="9"/>
      <x:c r="AP219" s="9"/>
      <x:c r="AQ219" s="27" t="s">
        <x:v>522</x:v>
      </x:c>
    </x:row>
    <x:row r="220" ht="118.05000305175781" customHeight="1">
      <x:c r="A220" s="6" t="s">
        <x:v>1108</x:v>
      </x:c>
      <x:c r="B220" s="6" t="s">
        <x:v>526</x:v>
      </x:c>
      <x:c r="C220" s="6" t="s">
        <x:v>55</x:v>
      </x:c>
      <x:c r="D220" s="6" t="s">
        <x:v>527</x:v>
      </x:c>
      <x:c r="E220" s="6" t="s">
        <x:v>214</x:v>
      </x:c>
      <x:c r="F220" s="6" t="s">
        <x:v>528</x:v>
      </x:c>
      <x:c r="G220" s="6" t="s">
        <x:v>696</x:v>
      </x:c>
      <x:c r="H220" s="6" t="s">
        <x:v>698</x:v>
      </x:c>
      <x:c r="I220" s="6" t="s">
        <x:v>1034</x:v>
      </x:c>
      <x:c r="J220" s="6" t="s">
        <x:v>1035</x:v>
      </x:c>
      <x:c r="K220" s="6" t="s">
        <x:v>530</x:v>
      </x:c>
      <x:c r="L220" s="6" t="s">
        <x:v>507</x:v>
      </x:c>
      <x:c r="M220" s="6" t="s">
        <x:v>531</x:v>
      </x:c>
      <x:c r="N220" s="6" t="s">
        <x:v>532</x:v>
      </x:c>
      <x:c r="O220" s="6" t="s">
        <x:v>230</x:v>
      </x:c>
      <x:c r="P220" s="9"/>
      <x:c r="Q220" s="9"/>
      <x:c r="R220" s="9"/>
      <x:c r="S220" s="9"/>
      <x:c r="T220" s="9"/>
      <x:c r="U220" s="9"/>
      <x:c r="V220" s="9"/>
      <x:c r="W220" s="9"/>
      <x:c r="X220" s="12" t="str">
        <x:f t="shared" si="15"/>
      </x:c>
      <x:c r="Y220" s="12" t="str">
        <x:f t="shared" si="16"/>
      </x:c>
      <x:c r="Z220" s="9" t="s">
        <x:v>870</x:v>
      </x:c>
      <x:c r="AA220" s="9"/>
      <x:c r="AB220" s="9"/>
      <x:c r="AC220" s="9"/>
      <x:c r="AD220" s="9"/>
      <x:c r="AE220" s="9"/>
      <x:c r="AF220" s="9"/>
      <x:c r="AG220" s="9"/>
      <x:c r="AH220" s="9"/>
      <x:c r="AI220" s="9"/>
      <x:c r="AJ220" s="9"/>
      <x:c r="AK220" s="9"/>
      <x:c r="AL220" s="12" t="str">
        <x:f t="shared" si="17"/>
      </x:c>
      <x:c r="AM220" s="11" t="str">
        <x:f t="shared" si="18"/>
      </x:c>
      <x:c r="AN220" s="11" t="str">
        <x:f t="shared" si="19"/>
      </x:c>
      <x:c r="AO220" s="9"/>
      <x:c r="AP220" s="9"/>
      <x:c r="AQ220" s="27" t="s">
        <x:v>529</x:v>
      </x:c>
    </x:row>
    <x:row r="221" ht="118.05000305175781" customHeight="1">
      <x:c r="A221" s="6" t="s">
        <x:v>1109</x:v>
      </x:c>
      <x:c r="B221" s="6" t="s">
        <x:v>526</x:v>
      </x:c>
      <x:c r="C221" s="6" t="s">
        <x:v>55</x:v>
      </x:c>
      <x:c r="D221" s="6" t="s">
        <x:v>527</x:v>
      </x:c>
      <x:c r="E221" s="6" t="s">
        <x:v>214</x:v>
      </x:c>
      <x:c r="F221" s="6" t="s">
        <x:v>528</x:v>
      </x:c>
      <x:c r="G221" s="6" t="s">
        <x:v>696</x:v>
      </x:c>
      <x:c r="H221" s="6" t="s">
        <x:v>698</x:v>
      </x:c>
      <x:c r="I221" s="6" t="s">
        <x:v>1046</x:v>
      </x:c>
      <x:c r="J221" s="6" t="s">
        <x:v>1047</x:v>
      </x:c>
      <x:c r="K221" s="6" t="s">
        <x:v>530</x:v>
      </x:c>
      <x:c r="L221" s="6" t="s">
        <x:v>507</x:v>
      </x:c>
      <x:c r="M221" s="6" t="s">
        <x:v>531</x:v>
      </x:c>
      <x:c r="N221" s="6" t="s">
        <x:v>532</x:v>
      </x:c>
      <x:c r="O221" s="6" t="s">
        <x:v>230</x:v>
      </x:c>
      <x:c r="P221" s="9"/>
      <x:c r="Q221" s="9"/>
      <x:c r="R221" s="9"/>
      <x:c r="S221" s="9"/>
      <x:c r="T221" s="9"/>
      <x:c r="U221" s="9"/>
      <x:c r="V221" s="9"/>
      <x:c r="W221" s="9"/>
      <x:c r="X221" s="12" t="str">
        <x:f t="shared" si="15"/>
      </x:c>
      <x:c r="Y221" s="12" t="str">
        <x:f t="shared" si="16"/>
      </x:c>
      <x:c r="Z221" s="9" t="s">
        <x:v>870</x:v>
      </x:c>
      <x:c r="AA221" s="9"/>
      <x:c r="AB221" s="9"/>
      <x:c r="AC221" s="9"/>
      <x:c r="AD221" s="9"/>
      <x:c r="AE221" s="9"/>
      <x:c r="AF221" s="9"/>
      <x:c r="AG221" s="9"/>
      <x:c r="AH221" s="9"/>
      <x:c r="AI221" s="9"/>
      <x:c r="AJ221" s="9"/>
      <x:c r="AK221" s="9"/>
      <x:c r="AL221" s="12" t="str">
        <x:f t="shared" si="17"/>
      </x:c>
      <x:c r="AM221" s="11" t="str">
        <x:f t="shared" si="18"/>
      </x:c>
      <x:c r="AN221" s="11" t="str">
        <x:f t="shared" si="19"/>
      </x:c>
      <x:c r="AO221" s="9"/>
      <x:c r="AP221" s="9"/>
      <x:c r="AQ221" s="27" t="s">
        <x:v>529</x:v>
      </x:c>
    </x:row>
    <x:row r="222" ht="118.05000305175781" customHeight="1">
      <x:c r="A222" s="6" t="s">
        <x:v>1110</x:v>
      </x:c>
      <x:c r="B222" s="6" t="s">
        <x:v>526</x:v>
      </x:c>
      <x:c r="C222" s="6" t="s">
        <x:v>55</x:v>
      </x:c>
      <x:c r="D222" s="6" t="s">
        <x:v>527</x:v>
      </x:c>
      <x:c r="E222" s="6" t="s">
        <x:v>214</x:v>
      </x:c>
      <x:c r="F222" s="6" t="s">
        <x:v>528</x:v>
      </x:c>
      <x:c r="G222" s="6" t="s">
        <x:v>707</x:v>
      </x:c>
      <x:c r="H222" s="6" t="s">
        <x:v>709</x:v>
      </x:c>
      <x:c r="I222" s="6" t="s">
        <x:v>1034</x:v>
      </x:c>
      <x:c r="J222" s="6" t="s">
        <x:v>1035</x:v>
      </x:c>
      <x:c r="K222" s="6" t="s">
        <x:v>530</x:v>
      </x:c>
      <x:c r="L222" s="6" t="s">
        <x:v>507</x:v>
      </x:c>
      <x:c r="M222" s="6" t="s">
        <x:v>531</x:v>
      </x:c>
      <x:c r="N222" s="6" t="s">
        <x:v>532</x:v>
      </x:c>
      <x:c r="O222" s="6" t="s">
        <x:v>230</x:v>
      </x:c>
      <x:c r="P222" s="9"/>
      <x:c r="Q222" s="9"/>
      <x:c r="R222" s="9"/>
      <x:c r="S222" s="9"/>
      <x:c r="T222" s="9"/>
      <x:c r="U222" s="9"/>
      <x:c r="V222" s="9"/>
      <x:c r="W222" s="9"/>
      <x:c r="X222" s="12" t="str">
        <x:f t="shared" si="15"/>
      </x:c>
      <x:c r="Y222" s="12" t="str">
        <x:f t="shared" si="16"/>
      </x:c>
      <x:c r="Z222" s="9" t="s">
        <x:v>870</x:v>
      </x:c>
      <x:c r="AA222" s="9"/>
      <x:c r="AB222" s="9"/>
      <x:c r="AC222" s="9"/>
      <x:c r="AD222" s="9"/>
      <x:c r="AE222" s="9"/>
      <x:c r="AF222" s="9"/>
      <x:c r="AG222" s="9"/>
      <x:c r="AH222" s="9"/>
      <x:c r="AI222" s="9"/>
      <x:c r="AJ222" s="9"/>
      <x:c r="AK222" s="9"/>
      <x:c r="AL222" s="12" t="str">
        <x:f t="shared" si="17"/>
      </x:c>
      <x:c r="AM222" s="11" t="str">
        <x:f t="shared" si="18"/>
      </x:c>
      <x:c r="AN222" s="11" t="str">
        <x:f t="shared" si="19"/>
      </x:c>
      <x:c r="AO222" s="9"/>
      <x:c r="AP222" s="9"/>
      <x:c r="AQ222" s="27" t="s">
        <x:v>529</x:v>
      </x:c>
    </x:row>
    <x:row r="223" ht="118.05000305175781" customHeight="1">
      <x:c r="A223" s="6" t="s">
        <x:v>1111</x:v>
      </x:c>
      <x:c r="B223" s="6" t="s">
        <x:v>526</x:v>
      </x:c>
      <x:c r="C223" s="6" t="s">
        <x:v>55</x:v>
      </x:c>
      <x:c r="D223" s="6" t="s">
        <x:v>527</x:v>
      </x:c>
      <x:c r="E223" s="6" t="s">
        <x:v>214</x:v>
      </x:c>
      <x:c r="F223" s="6" t="s">
        <x:v>528</x:v>
      </x:c>
      <x:c r="G223" s="6" t="s">
        <x:v>707</x:v>
      </x:c>
      <x:c r="H223" s="6" t="s">
        <x:v>709</x:v>
      </x:c>
      <x:c r="I223" s="6" t="s">
        <x:v>1046</x:v>
      </x:c>
      <x:c r="J223" s="6" t="s">
        <x:v>1047</x:v>
      </x:c>
      <x:c r="K223" s="6" t="s">
        <x:v>530</x:v>
      </x:c>
      <x:c r="L223" s="6" t="s">
        <x:v>507</x:v>
      </x:c>
      <x:c r="M223" s="6" t="s">
        <x:v>531</x:v>
      </x:c>
      <x:c r="N223" s="6" t="s">
        <x:v>532</x:v>
      </x:c>
      <x:c r="O223" s="6" t="s">
        <x:v>230</x:v>
      </x:c>
      <x:c r="P223" s="9"/>
      <x:c r="Q223" s="9"/>
      <x:c r="R223" s="9"/>
      <x:c r="S223" s="9"/>
      <x:c r="T223" s="9"/>
      <x:c r="U223" s="9"/>
      <x:c r="V223" s="9"/>
      <x:c r="W223" s="9"/>
      <x:c r="X223" s="12" t="str">
        <x:f t="shared" si="15"/>
      </x:c>
      <x:c r="Y223" s="12" t="str">
        <x:f t="shared" si="16"/>
      </x:c>
      <x:c r="Z223" s="9" t="s">
        <x:v>870</x:v>
      </x:c>
      <x:c r="AA223" s="9"/>
      <x:c r="AB223" s="9"/>
      <x:c r="AC223" s="9"/>
      <x:c r="AD223" s="9"/>
      <x:c r="AE223" s="9"/>
      <x:c r="AF223" s="9"/>
      <x:c r="AG223" s="9"/>
      <x:c r="AH223" s="9"/>
      <x:c r="AI223" s="9"/>
      <x:c r="AJ223" s="9"/>
      <x:c r="AK223" s="9"/>
      <x:c r="AL223" s="12" t="str">
        <x:f t="shared" si="17"/>
      </x:c>
      <x:c r="AM223" s="11" t="str">
        <x:f t="shared" si="18"/>
      </x:c>
      <x:c r="AN223" s="11" t="str">
        <x:f t="shared" si="19"/>
      </x:c>
      <x:c r="AO223" s="9"/>
      <x:c r="AP223" s="9"/>
      <x:c r="AQ223" s="27" t="s">
        <x:v>529</x:v>
      </x:c>
    </x:row>
    <x:row r="224" ht="118.05000305175781" customHeight="1">
      <x:c r="A224" s="6" t="s">
        <x:v>1112</x:v>
      </x:c>
      <x:c r="B224" s="6" t="s">
        <x:v>526</x:v>
      </x:c>
      <x:c r="C224" s="6" t="s">
        <x:v>55</x:v>
      </x:c>
      <x:c r="D224" s="6" t="s">
        <x:v>527</x:v>
      </x:c>
      <x:c r="E224" s="6" t="s">
        <x:v>214</x:v>
      </x:c>
      <x:c r="F224" s="6" t="s">
        <x:v>528</x:v>
      </x:c>
      <x:c r="G224" s="6" t="s">
        <x:v>724</x:v>
      </x:c>
      <x:c r="H224" s="6" t="s">
        <x:v>726</x:v>
      </x:c>
      <x:c r="I224" s="6" t="s">
        <x:v>1034</x:v>
      </x:c>
      <x:c r="J224" s="6" t="s">
        <x:v>1035</x:v>
      </x:c>
      <x:c r="K224" s="6" t="s">
        <x:v>530</x:v>
      </x:c>
      <x:c r="L224" s="6" t="s">
        <x:v>507</x:v>
      </x:c>
      <x:c r="M224" s="6" t="s">
        <x:v>531</x:v>
      </x:c>
      <x:c r="N224" s="6" t="s">
        <x:v>532</x:v>
      </x:c>
      <x:c r="O224" s="6" t="s">
        <x:v>230</x:v>
      </x:c>
      <x:c r="P224" s="9"/>
      <x:c r="Q224" s="9"/>
      <x:c r="R224" s="9"/>
      <x:c r="S224" s="9"/>
      <x:c r="T224" s="9"/>
      <x:c r="U224" s="9"/>
      <x:c r="V224" s="9"/>
      <x:c r="W224" s="9"/>
      <x:c r="X224" s="12" t="str">
        <x:f t="shared" si="15"/>
      </x:c>
      <x:c r="Y224" s="12" t="str">
        <x:f t="shared" si="16"/>
      </x:c>
      <x:c r="Z224" s="9" t="s">
        <x:v>870</x:v>
      </x:c>
      <x:c r="AA224" s="9"/>
      <x:c r="AB224" s="9"/>
      <x:c r="AC224" s="9"/>
      <x:c r="AD224" s="9"/>
      <x:c r="AE224" s="9"/>
      <x:c r="AF224" s="9"/>
      <x:c r="AG224" s="9"/>
      <x:c r="AH224" s="9"/>
      <x:c r="AI224" s="9"/>
      <x:c r="AJ224" s="9"/>
      <x:c r="AK224" s="9"/>
      <x:c r="AL224" s="12" t="str">
        <x:f t="shared" si="17"/>
      </x:c>
      <x:c r="AM224" s="11" t="str">
        <x:f t="shared" si="18"/>
      </x:c>
      <x:c r="AN224" s="11" t="str">
        <x:f t="shared" si="19"/>
      </x:c>
      <x:c r="AO224" s="9"/>
      <x:c r="AP224" s="9"/>
      <x:c r="AQ224" s="27" t="s">
        <x:v>529</x:v>
      </x:c>
    </x:row>
    <x:row r="225" ht="118.05000305175781" customHeight="1">
      <x:c r="A225" s="6" t="s">
        <x:v>1113</x:v>
      </x:c>
      <x:c r="B225" s="6" t="s">
        <x:v>526</x:v>
      </x:c>
      <x:c r="C225" s="6" t="s">
        <x:v>55</x:v>
      </x:c>
      <x:c r="D225" s="6" t="s">
        <x:v>527</x:v>
      </x:c>
      <x:c r="E225" s="6" t="s">
        <x:v>214</x:v>
      </x:c>
      <x:c r="F225" s="6" t="s">
        <x:v>528</x:v>
      </x:c>
      <x:c r="G225" s="6" t="s">
        <x:v>724</x:v>
      </x:c>
      <x:c r="H225" s="6" t="s">
        <x:v>726</x:v>
      </x:c>
      <x:c r="I225" s="6" t="s">
        <x:v>1046</x:v>
      </x:c>
      <x:c r="J225" s="6" t="s">
        <x:v>1047</x:v>
      </x:c>
      <x:c r="K225" s="6" t="s">
        <x:v>530</x:v>
      </x:c>
      <x:c r="L225" s="6" t="s">
        <x:v>507</x:v>
      </x:c>
      <x:c r="M225" s="6" t="s">
        <x:v>531</x:v>
      </x:c>
      <x:c r="N225" s="6" t="s">
        <x:v>532</x:v>
      </x:c>
      <x:c r="O225" s="6" t="s">
        <x:v>230</x:v>
      </x:c>
      <x:c r="P225" s="9"/>
      <x:c r="Q225" s="9"/>
      <x:c r="R225" s="9"/>
      <x:c r="S225" s="9"/>
      <x:c r="T225" s="9"/>
      <x:c r="U225" s="9"/>
      <x:c r="V225" s="9"/>
      <x:c r="W225" s="9"/>
      <x:c r="X225" s="12" t="str">
        <x:f t="shared" si="15"/>
      </x:c>
      <x:c r="Y225" s="12" t="str">
        <x:f t="shared" si="16"/>
      </x:c>
      <x:c r="Z225" s="9" t="s">
        <x:v>870</x:v>
      </x:c>
      <x:c r="AA225" s="9"/>
      <x:c r="AB225" s="9"/>
      <x:c r="AC225" s="9"/>
      <x:c r="AD225" s="9"/>
      <x:c r="AE225" s="9"/>
      <x:c r="AF225" s="9"/>
      <x:c r="AG225" s="9"/>
      <x:c r="AH225" s="9"/>
      <x:c r="AI225" s="9"/>
      <x:c r="AJ225" s="9"/>
      <x:c r="AK225" s="9"/>
      <x:c r="AL225" s="12" t="str">
        <x:f t="shared" si="17"/>
      </x:c>
      <x:c r="AM225" s="11" t="str">
        <x:f t="shared" si="18"/>
      </x:c>
      <x:c r="AN225" s="11" t="str">
        <x:f t="shared" si="19"/>
      </x:c>
      <x:c r="AO225" s="9"/>
      <x:c r="AP225" s="9"/>
      <x:c r="AQ225" s="27" t="s">
        <x:v>529</x:v>
      </x:c>
    </x:row>
    <x:row r="226" ht="118.05000305175781" customHeight="1">
      <x:c r="A226" s="6" t="s">
        <x:v>1114</x:v>
      </x:c>
      <x:c r="B226" s="6" t="s">
        <x:v>533</x:v>
      </x:c>
      <x:c r="C226" s="6" t="s">
        <x:v>55</x:v>
      </x:c>
      <x:c r="D226" s="6" t="s">
        <x:v>534</x:v>
      </x:c>
      <x:c r="E226" s="6" t="s">
        <x:v>241</x:v>
      </x:c>
      <x:c r="F226" s="6" t="s">
        <x:v>535</x:v>
      </x:c>
      <x:c r="G226" s="6" t="s">
        <x:v>696</x:v>
      </x:c>
      <x:c r="H226" s="6" t="s">
        <x:v>698</x:v>
      </x:c>
      <x:c r="I226" s="6" t="s">
        <x:v>1034</x:v>
      </x:c>
      <x:c r="J226" s="6" t="s">
        <x:v>1035</x:v>
      </x:c>
      <x:c r="K226" s="6" t="s">
        <x:v>537</x:v>
      </x:c>
      <x:c r="L226" s="6" t="s">
        <x:v>507</x:v>
      </x:c>
      <x:c r="M226" s="6" t="s">
        <x:v>538</x:v>
      </x:c>
      <x:c r="N226" s="6" t="s">
        <x:v>539</x:v>
      </x:c>
      <x:c r="O226" s="6" t="s">
        <x:v>230</x:v>
      </x:c>
      <x:c r="P226" s="9"/>
      <x:c r="Q226" s="9"/>
      <x:c r="R226" s="9"/>
      <x:c r="S226" s="9"/>
      <x:c r="T226" s="9"/>
      <x:c r="U226" s="9"/>
      <x:c r="V226" s="9"/>
      <x:c r="W226" s="9"/>
      <x:c r="X226" s="12" t="str">
        <x:f t="shared" si="15"/>
      </x:c>
      <x:c r="Y226" s="12" t="str">
        <x:f t="shared" si="16"/>
      </x:c>
      <x:c r="Z226" s="9" t="s">
        <x:v>870</x:v>
      </x:c>
      <x:c r="AA226" s="9"/>
      <x:c r="AB226" s="9"/>
      <x:c r="AC226" s="9"/>
      <x:c r="AD226" s="9"/>
      <x:c r="AE226" s="9"/>
      <x:c r="AF226" s="9"/>
      <x:c r="AG226" s="9"/>
      <x:c r="AH226" s="9"/>
      <x:c r="AI226" s="9"/>
      <x:c r="AJ226" s="9"/>
      <x:c r="AK226" s="9"/>
      <x:c r="AL226" s="12" t="str">
        <x:f t="shared" si="17"/>
      </x:c>
      <x:c r="AM226" s="11" t="str">
        <x:f t="shared" si="18"/>
      </x:c>
      <x:c r="AN226" s="11" t="str">
        <x:f t="shared" si="19"/>
      </x:c>
      <x:c r="AO226" s="9"/>
      <x:c r="AP226" s="9"/>
      <x:c r="AQ226" s="27" t="s">
        <x:v>536</x:v>
      </x:c>
    </x:row>
    <x:row r="227" ht="118.05000305175781" customHeight="1">
      <x:c r="A227" s="6" t="s">
        <x:v>1115</x:v>
      </x:c>
      <x:c r="B227" s="6" t="s">
        <x:v>533</x:v>
      </x:c>
      <x:c r="C227" s="6" t="s">
        <x:v>55</x:v>
      </x:c>
      <x:c r="D227" s="6" t="s">
        <x:v>534</x:v>
      </x:c>
      <x:c r="E227" s="6" t="s">
        <x:v>241</x:v>
      </x:c>
      <x:c r="F227" s="6" t="s">
        <x:v>535</x:v>
      </x:c>
      <x:c r="G227" s="6" t="s">
        <x:v>696</x:v>
      </x:c>
      <x:c r="H227" s="6" t="s">
        <x:v>698</x:v>
      </x:c>
      <x:c r="I227" s="6" t="s">
        <x:v>1046</x:v>
      </x:c>
      <x:c r="J227" s="6" t="s">
        <x:v>1047</x:v>
      </x:c>
      <x:c r="K227" s="6" t="s">
        <x:v>537</x:v>
      </x:c>
      <x:c r="L227" s="6" t="s">
        <x:v>507</x:v>
      </x:c>
      <x:c r="M227" s="6" t="s">
        <x:v>538</x:v>
      </x:c>
      <x:c r="N227" s="6" t="s">
        <x:v>539</x:v>
      </x:c>
      <x:c r="O227" s="6" t="s">
        <x:v>230</x:v>
      </x:c>
      <x:c r="P227" s="9"/>
      <x:c r="Q227" s="9"/>
      <x:c r="R227" s="9"/>
      <x:c r="S227" s="9"/>
      <x:c r="T227" s="9"/>
      <x:c r="U227" s="9"/>
      <x:c r="V227" s="9"/>
      <x:c r="W227" s="9"/>
      <x:c r="X227" s="12" t="str">
        <x:f t="shared" si="15"/>
      </x:c>
      <x:c r="Y227" s="12" t="str">
        <x:f t="shared" si="16"/>
      </x:c>
      <x:c r="Z227" s="9" t="s">
        <x:v>870</x:v>
      </x:c>
      <x:c r="AA227" s="9"/>
      <x:c r="AB227" s="9"/>
      <x:c r="AC227" s="9"/>
      <x:c r="AD227" s="9"/>
      <x:c r="AE227" s="9"/>
      <x:c r="AF227" s="9"/>
      <x:c r="AG227" s="9"/>
      <x:c r="AH227" s="9"/>
      <x:c r="AI227" s="9"/>
      <x:c r="AJ227" s="9"/>
      <x:c r="AK227" s="9"/>
      <x:c r="AL227" s="12" t="str">
        <x:f t="shared" si="17"/>
      </x:c>
      <x:c r="AM227" s="11" t="str">
        <x:f t="shared" si="18"/>
      </x:c>
      <x:c r="AN227" s="11" t="str">
        <x:f t="shared" si="19"/>
      </x:c>
      <x:c r="AO227" s="9"/>
      <x:c r="AP227" s="9"/>
      <x:c r="AQ227" s="27" t="s">
        <x:v>536</x:v>
      </x:c>
    </x:row>
    <x:row r="228" ht="118.05000305175781" customHeight="1">
      <x:c r="A228" s="6" t="s">
        <x:v>1116</x:v>
      </x:c>
      <x:c r="B228" s="6" t="s">
        <x:v>533</x:v>
      </x:c>
      <x:c r="C228" s="6" t="s">
        <x:v>55</x:v>
      </x:c>
      <x:c r="D228" s="6" t="s">
        <x:v>534</x:v>
      </x:c>
      <x:c r="E228" s="6" t="s">
        <x:v>241</x:v>
      </x:c>
      <x:c r="F228" s="6" t="s">
        <x:v>535</x:v>
      </x:c>
      <x:c r="G228" s="6" t="s">
        <x:v>707</x:v>
      </x:c>
      <x:c r="H228" s="6" t="s">
        <x:v>709</x:v>
      </x:c>
      <x:c r="I228" s="6" t="s">
        <x:v>1034</x:v>
      </x:c>
      <x:c r="J228" s="6" t="s">
        <x:v>1035</x:v>
      </x:c>
      <x:c r="K228" s="6" t="s">
        <x:v>537</x:v>
      </x:c>
      <x:c r="L228" s="6" t="s">
        <x:v>507</x:v>
      </x:c>
      <x:c r="M228" s="6" t="s">
        <x:v>538</x:v>
      </x:c>
      <x:c r="N228" s="6" t="s">
        <x:v>539</x:v>
      </x:c>
      <x:c r="O228" s="6" t="s">
        <x:v>230</x:v>
      </x:c>
      <x:c r="P228" s="9"/>
      <x:c r="Q228" s="9"/>
      <x:c r="R228" s="9"/>
      <x:c r="S228" s="9"/>
      <x:c r="T228" s="9"/>
      <x:c r="U228" s="9"/>
      <x:c r="V228" s="9"/>
      <x:c r="W228" s="9"/>
      <x:c r="X228" s="12" t="str">
        <x:f t="shared" si="15"/>
      </x:c>
      <x:c r="Y228" s="12" t="str">
        <x:f t="shared" si="16"/>
      </x:c>
      <x:c r="Z228" s="9" t="s">
        <x:v>870</x:v>
      </x:c>
      <x:c r="AA228" s="9"/>
      <x:c r="AB228" s="9"/>
      <x:c r="AC228" s="9"/>
      <x:c r="AD228" s="9"/>
      <x:c r="AE228" s="9"/>
      <x:c r="AF228" s="9"/>
      <x:c r="AG228" s="9"/>
      <x:c r="AH228" s="9"/>
      <x:c r="AI228" s="9"/>
      <x:c r="AJ228" s="9"/>
      <x:c r="AK228" s="9"/>
      <x:c r="AL228" s="12" t="str">
        <x:f t="shared" si="17"/>
      </x:c>
      <x:c r="AM228" s="11" t="str">
        <x:f t="shared" si="18"/>
      </x:c>
      <x:c r="AN228" s="11" t="str">
        <x:f t="shared" si="19"/>
      </x:c>
      <x:c r="AO228" s="9"/>
      <x:c r="AP228" s="9"/>
      <x:c r="AQ228" s="27" t="s">
        <x:v>536</x:v>
      </x:c>
    </x:row>
    <x:row r="229" ht="118.05000305175781" customHeight="1">
      <x:c r="A229" s="6" t="s">
        <x:v>1117</x:v>
      </x:c>
      <x:c r="B229" s="6" t="s">
        <x:v>533</x:v>
      </x:c>
      <x:c r="C229" s="6" t="s">
        <x:v>55</x:v>
      </x:c>
      <x:c r="D229" s="6" t="s">
        <x:v>534</x:v>
      </x:c>
      <x:c r="E229" s="6" t="s">
        <x:v>241</x:v>
      </x:c>
      <x:c r="F229" s="6" t="s">
        <x:v>535</x:v>
      </x:c>
      <x:c r="G229" s="6" t="s">
        <x:v>707</x:v>
      </x:c>
      <x:c r="H229" s="6" t="s">
        <x:v>709</x:v>
      </x:c>
      <x:c r="I229" s="6" t="s">
        <x:v>1046</x:v>
      </x:c>
      <x:c r="J229" s="6" t="s">
        <x:v>1047</x:v>
      </x:c>
      <x:c r="K229" s="6" t="s">
        <x:v>537</x:v>
      </x:c>
      <x:c r="L229" s="6" t="s">
        <x:v>507</x:v>
      </x:c>
      <x:c r="M229" s="6" t="s">
        <x:v>538</x:v>
      </x:c>
      <x:c r="N229" s="6" t="s">
        <x:v>539</x:v>
      </x:c>
      <x:c r="O229" s="6" t="s">
        <x:v>230</x:v>
      </x:c>
      <x:c r="P229" s="9"/>
      <x:c r="Q229" s="9"/>
      <x:c r="R229" s="9"/>
      <x:c r="S229" s="9"/>
      <x:c r="T229" s="9"/>
      <x:c r="U229" s="9"/>
      <x:c r="V229" s="9"/>
      <x:c r="W229" s="9"/>
      <x:c r="X229" s="12" t="str">
        <x:f t="shared" si="15"/>
      </x:c>
      <x:c r="Y229" s="12" t="str">
        <x:f t="shared" si="16"/>
      </x:c>
      <x:c r="Z229" s="9" t="s">
        <x:v>870</x:v>
      </x:c>
      <x:c r="AA229" s="9"/>
      <x:c r="AB229" s="9"/>
      <x:c r="AC229" s="9"/>
      <x:c r="AD229" s="9"/>
      <x:c r="AE229" s="9"/>
      <x:c r="AF229" s="9"/>
      <x:c r="AG229" s="9"/>
      <x:c r="AH229" s="9"/>
      <x:c r="AI229" s="9"/>
      <x:c r="AJ229" s="9"/>
      <x:c r="AK229" s="9"/>
      <x:c r="AL229" s="12" t="str">
        <x:f t="shared" si="17"/>
      </x:c>
      <x:c r="AM229" s="11" t="str">
        <x:f t="shared" si="18"/>
      </x:c>
      <x:c r="AN229" s="11" t="str">
        <x:f t="shared" si="19"/>
      </x:c>
      <x:c r="AO229" s="9"/>
      <x:c r="AP229" s="9"/>
      <x:c r="AQ229" s="27" t="s">
        <x:v>536</x:v>
      </x:c>
    </x:row>
    <x:row r="230" ht="118.05000305175781" customHeight="1">
      <x:c r="A230" s="6" t="s">
        <x:v>1118</x:v>
      </x:c>
      <x:c r="B230" s="6" t="s">
        <x:v>533</x:v>
      </x:c>
      <x:c r="C230" s="6" t="s">
        <x:v>55</x:v>
      </x:c>
      <x:c r="D230" s="6" t="s">
        <x:v>534</x:v>
      </x:c>
      <x:c r="E230" s="6" t="s">
        <x:v>241</x:v>
      </x:c>
      <x:c r="F230" s="6" t="s">
        <x:v>535</x:v>
      </x:c>
      <x:c r="G230" s="6" t="s">
        <x:v>724</x:v>
      </x:c>
      <x:c r="H230" s="6" t="s">
        <x:v>726</x:v>
      </x:c>
      <x:c r="I230" s="6" t="s">
        <x:v>1034</x:v>
      </x:c>
      <x:c r="J230" s="6" t="s">
        <x:v>1035</x:v>
      </x:c>
      <x:c r="K230" s="6" t="s">
        <x:v>537</x:v>
      </x:c>
      <x:c r="L230" s="6" t="s">
        <x:v>507</x:v>
      </x:c>
      <x:c r="M230" s="6" t="s">
        <x:v>538</x:v>
      </x:c>
      <x:c r="N230" s="6" t="s">
        <x:v>539</x:v>
      </x:c>
      <x:c r="O230" s="6" t="s">
        <x:v>230</x:v>
      </x:c>
      <x:c r="P230" s="9"/>
      <x:c r="Q230" s="9"/>
      <x:c r="R230" s="9"/>
      <x:c r="S230" s="9"/>
      <x:c r="T230" s="9"/>
      <x:c r="U230" s="9"/>
      <x:c r="V230" s="9"/>
      <x:c r="W230" s="9"/>
      <x:c r="X230" s="12" t="str">
        <x:f t="shared" si="15"/>
      </x:c>
      <x:c r="Y230" s="12" t="str">
        <x:f t="shared" si="16"/>
      </x:c>
      <x:c r="Z230" s="9" t="s">
        <x:v>870</x:v>
      </x:c>
      <x:c r="AA230" s="9"/>
      <x:c r="AB230" s="9"/>
      <x:c r="AC230" s="9"/>
      <x:c r="AD230" s="9"/>
      <x:c r="AE230" s="9"/>
      <x:c r="AF230" s="9"/>
      <x:c r="AG230" s="9"/>
      <x:c r="AH230" s="9"/>
      <x:c r="AI230" s="9"/>
      <x:c r="AJ230" s="9"/>
      <x:c r="AK230" s="9"/>
      <x:c r="AL230" s="12" t="str">
        <x:f t="shared" si="17"/>
      </x:c>
      <x:c r="AM230" s="11" t="str">
        <x:f t="shared" si="18"/>
      </x:c>
      <x:c r="AN230" s="11" t="str">
        <x:f t="shared" si="19"/>
      </x:c>
      <x:c r="AO230" s="9"/>
      <x:c r="AP230" s="9"/>
      <x:c r="AQ230" s="27" t="s">
        <x:v>536</x:v>
      </x:c>
    </x:row>
    <x:row r="231" ht="118.05000305175781" customHeight="1">
      <x:c r="A231" s="6" t="s">
        <x:v>1119</x:v>
      </x:c>
      <x:c r="B231" s="6" t="s">
        <x:v>533</x:v>
      </x:c>
      <x:c r="C231" s="6" t="s">
        <x:v>55</x:v>
      </x:c>
      <x:c r="D231" s="6" t="s">
        <x:v>534</x:v>
      </x:c>
      <x:c r="E231" s="6" t="s">
        <x:v>241</x:v>
      </x:c>
      <x:c r="F231" s="6" t="s">
        <x:v>535</x:v>
      </x:c>
      <x:c r="G231" s="6" t="s">
        <x:v>724</x:v>
      </x:c>
      <x:c r="H231" s="6" t="s">
        <x:v>726</x:v>
      </x:c>
      <x:c r="I231" s="6" t="s">
        <x:v>1046</x:v>
      </x:c>
      <x:c r="J231" s="6" t="s">
        <x:v>1047</x:v>
      </x:c>
      <x:c r="K231" s="6" t="s">
        <x:v>537</x:v>
      </x:c>
      <x:c r="L231" s="6" t="s">
        <x:v>507</x:v>
      </x:c>
      <x:c r="M231" s="6" t="s">
        <x:v>538</x:v>
      </x:c>
      <x:c r="N231" s="6" t="s">
        <x:v>539</x:v>
      </x:c>
      <x:c r="O231" s="6" t="s">
        <x:v>230</x:v>
      </x:c>
      <x:c r="P231" s="9"/>
      <x:c r="Q231" s="9"/>
      <x:c r="R231" s="9"/>
      <x:c r="S231" s="9"/>
      <x:c r="T231" s="9"/>
      <x:c r="U231" s="9"/>
      <x:c r="V231" s="9"/>
      <x:c r="W231" s="9"/>
      <x:c r="X231" s="12" t="str">
        <x:f t="shared" si="15"/>
      </x:c>
      <x:c r="Y231" s="12" t="str">
        <x:f t="shared" si="16"/>
      </x:c>
      <x:c r="Z231" s="9" t="s">
        <x:v>870</x:v>
      </x:c>
      <x:c r="AA231" s="9"/>
      <x:c r="AB231" s="9"/>
      <x:c r="AC231" s="9"/>
      <x:c r="AD231" s="9"/>
      <x:c r="AE231" s="9"/>
      <x:c r="AF231" s="9"/>
      <x:c r="AG231" s="9"/>
      <x:c r="AH231" s="9"/>
      <x:c r="AI231" s="9"/>
      <x:c r="AJ231" s="9"/>
      <x:c r="AK231" s="9"/>
      <x:c r="AL231" s="12" t="str">
        <x:f t="shared" si="17"/>
      </x:c>
      <x:c r="AM231" s="11" t="str">
        <x:f t="shared" si="18"/>
      </x:c>
      <x:c r="AN231" s="11" t="str">
        <x:f t="shared" si="19"/>
      </x:c>
      <x:c r="AO231" s="9"/>
      <x:c r="AP231" s="9"/>
      <x:c r="AQ231" s="27" t="s">
        <x:v>536</x:v>
      </x:c>
    </x:row>
    <x:row r="232" ht="118.05000305175781" customHeight="1">
      <x:c r="A232" s="6" t="s">
        <x:v>1120</x:v>
      </x:c>
      <x:c r="B232" s="6" t="s">
        <x:v>540</x:v>
      </x:c>
      <x:c r="C232" s="6" t="s">
        <x:v>55</x:v>
      </x:c>
      <x:c r="D232" s="6" t="s">
        <x:v>541</x:v>
      </x:c>
      <x:c r="E232" s="6" t="s">
        <x:v>214</x:v>
      </x:c>
      <x:c r="F232" s="6" t="s">
        <x:v>542</x:v>
      </x:c>
      <x:c r="G232" s="6" t="s">
        <x:v>696</x:v>
      </x:c>
      <x:c r="H232" s="6" t="s">
        <x:v>698</x:v>
      </x:c>
      <x:c r="I232" s="6" t="s">
        <x:v>1046</x:v>
      </x:c>
      <x:c r="J232" s="6" t="s">
        <x:v>1047</x:v>
      </x:c>
      <x:c r="K232" s="6" t="s">
        <x:v>545</x:v>
      </x:c>
      <x:c r="L232" s="6" t="s">
        <x:v>507</x:v>
      </x:c>
      <x:c r="M232" s="6" t="s">
        <x:v>546</x:v>
      </x:c>
      <x:c r="N232" s="6" t="s">
        <x:v>547</x:v>
      </x:c>
      <x:c r="O232" s="6" t="s">
        <x:v>230</x:v>
      </x:c>
      <x:c r="P232" s="9"/>
      <x:c r="Q232" s="9"/>
      <x:c r="R232" s="9"/>
      <x:c r="S232" s="9"/>
      <x:c r="T232" s="9"/>
      <x:c r="U232" s="9"/>
      <x:c r="V232" s="9"/>
      <x:c r="W232" s="9"/>
      <x:c r="X232" s="12" t="str">
        <x:f t="shared" si="15"/>
      </x:c>
      <x:c r="Y232" s="12" t="str">
        <x:f t="shared" si="16"/>
      </x:c>
      <x:c r="Z232" s="9" t="s">
        <x:v>870</x:v>
      </x:c>
      <x:c r="AA232" s="9"/>
      <x:c r="AB232" s="9"/>
      <x:c r="AC232" s="9"/>
      <x:c r="AD232" s="9"/>
      <x:c r="AE232" s="9"/>
      <x:c r="AF232" s="9"/>
      <x:c r="AG232" s="9"/>
      <x:c r="AH232" s="9"/>
      <x:c r="AI232" s="9"/>
      <x:c r="AJ232" s="9"/>
      <x:c r="AK232" s="9"/>
      <x:c r="AL232" s="12" t="str">
        <x:f t="shared" si="17"/>
      </x:c>
      <x:c r="AM232" s="11" t="str">
        <x:f t="shared" si="18"/>
      </x:c>
      <x:c r="AN232" s="11" t="str">
        <x:f t="shared" si="19"/>
      </x:c>
      <x:c r="AO232" s="9"/>
      <x:c r="AP232" s="9"/>
      <x:c r="AQ232" s="27" t="s">
        <x:v>543</x:v>
      </x:c>
    </x:row>
    <x:row r="233" ht="118.05000305175781" customHeight="1">
      <x:c r="A233" s="6" t="s">
        <x:v>1121</x:v>
      </x:c>
      <x:c r="B233" s="6" t="s">
        <x:v>540</x:v>
      </x:c>
      <x:c r="C233" s="6" t="s">
        <x:v>55</x:v>
      </x:c>
      <x:c r="D233" s="6" t="s">
        <x:v>541</x:v>
      </x:c>
      <x:c r="E233" s="6" t="s">
        <x:v>214</x:v>
      </x:c>
      <x:c r="F233" s="6" t="s">
        <x:v>542</x:v>
      </x:c>
      <x:c r="G233" s="6" t="s">
        <x:v>696</x:v>
      </x:c>
      <x:c r="H233" s="6" t="s">
        <x:v>698</x:v>
      </x:c>
      <x:c r="I233" s="6" t="s">
        <x:v>1068</x:v>
      </x:c>
      <x:c r="J233" s="6" t="s">
        <x:v>1069</x:v>
      </x:c>
      <x:c r="K233" s="6" t="s">
        <x:v>545</x:v>
      </x:c>
      <x:c r="L233" s="6" t="s">
        <x:v>507</x:v>
      </x:c>
      <x:c r="M233" s="6" t="s">
        <x:v>546</x:v>
      </x:c>
      <x:c r="N233" s="6" t="s">
        <x:v>547</x:v>
      </x:c>
      <x:c r="O233" s="6" t="s">
        <x:v>230</x:v>
      </x:c>
      <x:c r="P233" s="9"/>
      <x:c r="Q233" s="9"/>
      <x:c r="R233" s="9"/>
      <x:c r="S233" s="9"/>
      <x:c r="T233" s="9"/>
      <x:c r="U233" s="9"/>
      <x:c r="V233" s="9"/>
      <x:c r="W233" s="9"/>
      <x:c r="X233" s="12" t="str">
        <x:f t="shared" si="15"/>
      </x:c>
      <x:c r="Y233" s="12" t="str">
        <x:f t="shared" si="16"/>
      </x:c>
      <x:c r="Z233" s="9" t="s">
        <x:v>870</x:v>
      </x:c>
      <x:c r="AA233" s="9"/>
      <x:c r="AB233" s="9"/>
      <x:c r="AC233" s="9"/>
      <x:c r="AD233" s="9"/>
      <x:c r="AE233" s="9"/>
      <x:c r="AF233" s="9"/>
      <x:c r="AG233" s="9"/>
      <x:c r="AH233" s="9"/>
      <x:c r="AI233" s="9"/>
      <x:c r="AJ233" s="9"/>
      <x:c r="AK233" s="9"/>
      <x:c r="AL233" s="12" t="str">
        <x:f t="shared" si="17"/>
      </x:c>
      <x:c r="AM233" s="11" t="str">
        <x:f t="shared" si="18"/>
      </x:c>
      <x:c r="AN233" s="11" t="str">
        <x:f t="shared" si="19"/>
      </x:c>
      <x:c r="AO233" s="9"/>
      <x:c r="AP233" s="9"/>
      <x:c r="AQ233" s="27" t="s">
        <x:v>543</x:v>
      </x:c>
    </x:row>
    <x:row r="234" ht="118.05000305175781" customHeight="1">
      <x:c r="A234" s="6" t="s">
        <x:v>1122</x:v>
      </x:c>
      <x:c r="B234" s="6" t="s">
        <x:v>540</x:v>
      </x:c>
      <x:c r="C234" s="6" t="s">
        <x:v>55</x:v>
      </x:c>
      <x:c r="D234" s="6" t="s">
        <x:v>541</x:v>
      </x:c>
      <x:c r="E234" s="6" t="s">
        <x:v>214</x:v>
      </x:c>
      <x:c r="F234" s="6" t="s">
        <x:v>542</x:v>
      </x:c>
      <x:c r="G234" s="6" t="s">
        <x:v>707</x:v>
      </x:c>
      <x:c r="H234" s="6" t="s">
        <x:v>709</x:v>
      </x:c>
      <x:c r="I234" s="6" t="s">
        <x:v>1046</x:v>
      </x:c>
      <x:c r="J234" s="6" t="s">
        <x:v>1047</x:v>
      </x:c>
      <x:c r="K234" s="6" t="s">
        <x:v>545</x:v>
      </x:c>
      <x:c r="L234" s="6" t="s">
        <x:v>507</x:v>
      </x:c>
      <x:c r="M234" s="6" t="s">
        <x:v>546</x:v>
      </x:c>
      <x:c r="N234" s="6" t="s">
        <x:v>547</x:v>
      </x:c>
      <x:c r="O234" s="6" t="s">
        <x:v>230</x:v>
      </x:c>
      <x:c r="P234" s="9"/>
      <x:c r="Q234" s="9"/>
      <x:c r="R234" s="9"/>
      <x:c r="S234" s="9"/>
      <x:c r="T234" s="9"/>
      <x:c r="U234" s="9"/>
      <x:c r="V234" s="9"/>
      <x:c r="W234" s="9"/>
      <x:c r="X234" s="12" t="str">
        <x:f t="shared" si="15"/>
      </x:c>
      <x:c r="Y234" s="12" t="str">
        <x:f t="shared" si="16"/>
      </x:c>
      <x:c r="Z234" s="9" t="s">
        <x:v>870</x:v>
      </x:c>
      <x:c r="AA234" s="9"/>
      <x:c r="AB234" s="9"/>
      <x:c r="AC234" s="9"/>
      <x:c r="AD234" s="9"/>
      <x:c r="AE234" s="9"/>
      <x:c r="AF234" s="9"/>
      <x:c r="AG234" s="9"/>
      <x:c r="AH234" s="9"/>
      <x:c r="AI234" s="9"/>
      <x:c r="AJ234" s="9"/>
      <x:c r="AK234" s="9"/>
      <x:c r="AL234" s="12" t="str">
        <x:f t="shared" si="17"/>
      </x:c>
      <x:c r="AM234" s="11" t="str">
        <x:f t="shared" si="18"/>
      </x:c>
      <x:c r="AN234" s="11" t="str">
        <x:f t="shared" si="19"/>
      </x:c>
      <x:c r="AO234" s="9"/>
      <x:c r="AP234" s="9"/>
      <x:c r="AQ234" s="27" t="s">
        <x:v>543</x:v>
      </x:c>
    </x:row>
    <x:row r="235" ht="118.05000305175781" customHeight="1">
      <x:c r="A235" s="6" t="s">
        <x:v>1123</x:v>
      </x:c>
      <x:c r="B235" s="6" t="s">
        <x:v>540</x:v>
      </x:c>
      <x:c r="C235" s="6" t="s">
        <x:v>55</x:v>
      </x:c>
      <x:c r="D235" s="6" t="s">
        <x:v>541</x:v>
      </x:c>
      <x:c r="E235" s="6" t="s">
        <x:v>214</x:v>
      </x:c>
      <x:c r="F235" s="6" t="s">
        <x:v>542</x:v>
      </x:c>
      <x:c r="G235" s="6" t="s">
        <x:v>707</x:v>
      </x:c>
      <x:c r="H235" s="6" t="s">
        <x:v>709</x:v>
      </x:c>
      <x:c r="I235" s="6" t="s">
        <x:v>1068</x:v>
      </x:c>
      <x:c r="J235" s="6" t="s">
        <x:v>1069</x:v>
      </x:c>
      <x:c r="K235" s="6" t="s">
        <x:v>545</x:v>
      </x:c>
      <x:c r="L235" s="6" t="s">
        <x:v>507</x:v>
      </x:c>
      <x:c r="M235" s="6" t="s">
        <x:v>546</x:v>
      </x:c>
      <x:c r="N235" s="6" t="s">
        <x:v>547</x:v>
      </x:c>
      <x:c r="O235" s="6" t="s">
        <x:v>230</x:v>
      </x:c>
      <x:c r="P235" s="9"/>
      <x:c r="Q235" s="9"/>
      <x:c r="R235" s="9"/>
      <x:c r="S235" s="9"/>
      <x:c r="T235" s="9"/>
      <x:c r="U235" s="9"/>
      <x:c r="V235" s="9"/>
      <x:c r="W235" s="9"/>
      <x:c r="X235" s="12" t="str">
        <x:f t="shared" si="15"/>
      </x:c>
      <x:c r="Y235" s="12" t="str">
        <x:f t="shared" si="16"/>
      </x:c>
      <x:c r="Z235" s="9" t="s">
        <x:v>870</x:v>
      </x:c>
      <x:c r="AA235" s="9"/>
      <x:c r="AB235" s="9"/>
      <x:c r="AC235" s="9"/>
      <x:c r="AD235" s="9"/>
      <x:c r="AE235" s="9"/>
      <x:c r="AF235" s="9"/>
      <x:c r="AG235" s="9"/>
      <x:c r="AH235" s="9"/>
      <x:c r="AI235" s="9"/>
      <x:c r="AJ235" s="9"/>
      <x:c r="AK235" s="9"/>
      <x:c r="AL235" s="12" t="str">
        <x:f t="shared" si="17"/>
      </x:c>
      <x:c r="AM235" s="11" t="str">
        <x:f t="shared" si="18"/>
      </x:c>
      <x:c r="AN235" s="11" t="str">
        <x:f t="shared" si="19"/>
      </x:c>
      <x:c r="AO235" s="9"/>
      <x:c r="AP235" s="9"/>
      <x:c r="AQ235" s="27" t="s">
        <x:v>543</x:v>
      </x:c>
    </x:row>
    <x:row r="236" ht="118.05000305175781" customHeight="1">
      <x:c r="A236" s="6" t="s">
        <x:v>1124</x:v>
      </x:c>
      <x:c r="B236" s="6" t="s">
        <x:v>540</x:v>
      </x:c>
      <x:c r="C236" s="6" t="s">
        <x:v>55</x:v>
      </x:c>
      <x:c r="D236" s="6" t="s">
        <x:v>541</x:v>
      </x:c>
      <x:c r="E236" s="6" t="s">
        <x:v>214</x:v>
      </x:c>
      <x:c r="F236" s="6" t="s">
        <x:v>542</x:v>
      </x:c>
      <x:c r="G236" s="6" t="s">
        <x:v>724</x:v>
      </x:c>
      <x:c r="H236" s="6" t="s">
        <x:v>726</x:v>
      </x:c>
      <x:c r="I236" s="6" t="s">
        <x:v>1046</x:v>
      </x:c>
      <x:c r="J236" s="6" t="s">
        <x:v>1047</x:v>
      </x:c>
      <x:c r="K236" s="6" t="s">
        <x:v>545</x:v>
      </x:c>
      <x:c r="L236" s="6" t="s">
        <x:v>507</x:v>
      </x:c>
      <x:c r="M236" s="6" t="s">
        <x:v>546</x:v>
      </x:c>
      <x:c r="N236" s="6" t="s">
        <x:v>547</x:v>
      </x:c>
      <x:c r="O236" s="6" t="s">
        <x:v>230</x:v>
      </x:c>
      <x:c r="P236" s="9"/>
      <x:c r="Q236" s="9"/>
      <x:c r="R236" s="9"/>
      <x:c r="S236" s="9"/>
      <x:c r="T236" s="9"/>
      <x:c r="U236" s="9"/>
      <x:c r="V236" s="9"/>
      <x:c r="W236" s="9"/>
      <x:c r="X236" s="12" t="str">
        <x:f t="shared" si="15"/>
      </x:c>
      <x:c r="Y236" s="12" t="str">
        <x:f t="shared" si="16"/>
      </x:c>
      <x:c r="Z236" s="9" t="s">
        <x:v>870</x:v>
      </x:c>
      <x:c r="AA236" s="9"/>
      <x:c r="AB236" s="9"/>
      <x:c r="AC236" s="9"/>
      <x:c r="AD236" s="9"/>
      <x:c r="AE236" s="9"/>
      <x:c r="AF236" s="9"/>
      <x:c r="AG236" s="9"/>
      <x:c r="AH236" s="9"/>
      <x:c r="AI236" s="9"/>
      <x:c r="AJ236" s="9"/>
      <x:c r="AK236" s="9"/>
      <x:c r="AL236" s="12" t="str">
        <x:f t="shared" si="17"/>
      </x:c>
      <x:c r="AM236" s="11" t="str">
        <x:f t="shared" si="18"/>
      </x:c>
      <x:c r="AN236" s="11" t="str">
        <x:f t="shared" si="19"/>
      </x:c>
      <x:c r="AO236" s="9"/>
      <x:c r="AP236" s="9"/>
      <x:c r="AQ236" s="27" t="s">
        <x:v>543</x:v>
      </x:c>
    </x:row>
    <x:row r="237" ht="118.05000305175781" customHeight="1">
      <x:c r="A237" s="6" t="s">
        <x:v>1125</x:v>
      </x:c>
      <x:c r="B237" s="6" t="s">
        <x:v>540</x:v>
      </x:c>
      <x:c r="C237" s="6" t="s">
        <x:v>55</x:v>
      </x:c>
      <x:c r="D237" s="6" t="s">
        <x:v>541</x:v>
      </x:c>
      <x:c r="E237" s="6" t="s">
        <x:v>214</x:v>
      </x:c>
      <x:c r="F237" s="6" t="s">
        <x:v>542</x:v>
      </x:c>
      <x:c r="G237" s="6" t="s">
        <x:v>724</x:v>
      </x:c>
      <x:c r="H237" s="6" t="s">
        <x:v>726</x:v>
      </x:c>
      <x:c r="I237" s="6" t="s">
        <x:v>1068</x:v>
      </x:c>
      <x:c r="J237" s="6" t="s">
        <x:v>1069</x:v>
      </x:c>
      <x:c r="K237" s="6" t="s">
        <x:v>545</x:v>
      </x:c>
      <x:c r="L237" s="6" t="s">
        <x:v>507</x:v>
      </x:c>
      <x:c r="M237" s="6" t="s">
        <x:v>546</x:v>
      </x:c>
      <x:c r="N237" s="6" t="s">
        <x:v>547</x:v>
      </x:c>
      <x:c r="O237" s="6" t="s">
        <x:v>230</x:v>
      </x:c>
      <x:c r="P237" s="9"/>
      <x:c r="Q237" s="9"/>
      <x:c r="R237" s="9"/>
      <x:c r="S237" s="9"/>
      <x:c r="T237" s="9"/>
      <x:c r="U237" s="9"/>
      <x:c r="V237" s="9"/>
      <x:c r="W237" s="9"/>
      <x:c r="X237" s="12" t="str">
        <x:f t="shared" si="15"/>
      </x:c>
      <x:c r="Y237" s="12" t="str">
        <x:f t="shared" si="16"/>
      </x:c>
      <x:c r="Z237" s="9" t="s">
        <x:v>870</x:v>
      </x:c>
      <x:c r="AA237" s="9"/>
      <x:c r="AB237" s="9"/>
      <x:c r="AC237" s="9"/>
      <x:c r="AD237" s="9"/>
      <x:c r="AE237" s="9"/>
      <x:c r="AF237" s="9"/>
      <x:c r="AG237" s="9"/>
      <x:c r="AH237" s="9"/>
      <x:c r="AI237" s="9"/>
      <x:c r="AJ237" s="9"/>
      <x:c r="AK237" s="9"/>
      <x:c r="AL237" s="12" t="str">
        <x:f t="shared" si="17"/>
      </x:c>
      <x:c r="AM237" s="11" t="str">
        <x:f t="shared" si="18"/>
      </x:c>
      <x:c r="AN237" s="11" t="str">
        <x:f t="shared" si="19"/>
      </x:c>
      <x:c r="AO237" s="9"/>
      <x:c r="AP237" s="9"/>
      <x:c r="AQ237" s="27" t="s">
        <x:v>543</x:v>
      </x:c>
    </x:row>
    <x:row r="238" ht="118.05000305175781" customHeight="1">
      <x:c r="A238" s="6" t="s">
        <x:v>1126</x:v>
      </x:c>
      <x:c r="B238" s="6" t="s">
        <x:v>548</x:v>
      </x:c>
      <x:c r="C238" s="6" t="s">
        <x:v>55</x:v>
      </x:c>
      <x:c r="D238" s="6" t="s">
        <x:v>549</x:v>
      </x:c>
      <x:c r="E238" s="6" t="s">
        <x:v>241</x:v>
      </x:c>
      <x:c r="F238" s="6" t="s">
        <x:v>550</x:v>
      </x:c>
      <x:c r="G238" s="6" t="s">
        <x:v>696</x:v>
      </x:c>
      <x:c r="H238" s="6" t="s">
        <x:v>698</x:v>
      </x:c>
      <x:c r="I238" s="6" t="s">
        <x:v>1031</x:v>
      </x:c>
      <x:c r="J238" s="6" t="s">
        <x:v>1032</x:v>
      </x:c>
      <x:c r="K238" s="6" t="s">
        <x:v>552</x:v>
      </x:c>
      <x:c r="L238" s="6" t="s">
        <x:v>507</x:v>
      </x:c>
      <x:c r="M238" s="6" t="s">
        <x:v>553</x:v>
      </x:c>
      <x:c r="N238" s="6" t="s">
        <x:v>554</x:v>
      </x:c>
      <x:c r="O238" s="6" t="s">
        <x:v>230</x:v>
      </x:c>
      <x:c r="P238" s="9"/>
      <x:c r="Q238" s="9"/>
      <x:c r="R238" s="9"/>
      <x:c r="S238" s="9"/>
      <x:c r="T238" s="9"/>
      <x:c r="U238" s="9"/>
      <x:c r="V238" s="9"/>
      <x:c r="W238" s="9"/>
      <x:c r="X238" s="12" t="str">
        <x:f t="shared" si="15"/>
      </x:c>
      <x:c r="Y238" s="12" t="str">
        <x:f t="shared" si="16"/>
      </x:c>
      <x:c r="Z238" s="9" t="s">
        <x:v>870</x:v>
      </x:c>
      <x:c r="AA238" s="9"/>
      <x:c r="AB238" s="9"/>
      <x:c r="AC238" s="9"/>
      <x:c r="AD238" s="9"/>
      <x:c r="AE238" s="9"/>
      <x:c r="AF238" s="9"/>
      <x:c r="AG238" s="9"/>
      <x:c r="AH238" s="9"/>
      <x:c r="AI238" s="9"/>
      <x:c r="AJ238" s="9"/>
      <x:c r="AK238" s="9"/>
      <x:c r="AL238" s="12" t="str">
        <x:f t="shared" si="17"/>
      </x:c>
      <x:c r="AM238" s="11" t="str">
        <x:f t="shared" si="18"/>
      </x:c>
      <x:c r="AN238" s="11" t="str">
        <x:f t="shared" si="19"/>
      </x:c>
      <x:c r="AO238" s="9"/>
      <x:c r="AP238" s="9"/>
      <x:c r="AQ238" s="27" t="s">
        <x:v>551</x:v>
      </x:c>
    </x:row>
    <x:row r="239" ht="118.05000305175781" customHeight="1">
      <x:c r="A239" s="6" t="s">
        <x:v>1127</x:v>
      </x:c>
      <x:c r="B239" s="6" t="s">
        <x:v>548</x:v>
      </x:c>
      <x:c r="C239" s="6" t="s">
        <x:v>55</x:v>
      </x:c>
      <x:c r="D239" s="6" t="s">
        <x:v>549</x:v>
      </x:c>
      <x:c r="E239" s="6" t="s">
        <x:v>241</x:v>
      </x:c>
      <x:c r="F239" s="6" t="s">
        <x:v>550</x:v>
      </x:c>
      <x:c r="G239" s="6" t="s">
        <x:v>696</x:v>
      </x:c>
      <x:c r="H239" s="6" t="s">
        <x:v>698</x:v>
      </x:c>
      <x:c r="I239" s="6" t="s">
        <x:v>1046</x:v>
      </x:c>
      <x:c r="J239" s="6" t="s">
        <x:v>1047</x:v>
      </x:c>
      <x:c r="K239" s="6" t="s">
        <x:v>552</x:v>
      </x:c>
      <x:c r="L239" s="6" t="s">
        <x:v>507</x:v>
      </x:c>
      <x:c r="M239" s="6" t="s">
        <x:v>553</x:v>
      </x:c>
      <x:c r="N239" s="6" t="s">
        <x:v>554</x:v>
      </x:c>
      <x:c r="O239" s="6" t="s">
        <x:v>230</x:v>
      </x:c>
      <x:c r="P239" s="9"/>
      <x:c r="Q239" s="9"/>
      <x:c r="R239" s="9"/>
      <x:c r="S239" s="9"/>
      <x:c r="T239" s="9"/>
      <x:c r="U239" s="9"/>
      <x:c r="V239" s="9"/>
      <x:c r="W239" s="9"/>
      <x:c r="X239" s="12" t="str">
        <x:f t="shared" si="15"/>
      </x:c>
      <x:c r="Y239" s="12" t="str">
        <x:f t="shared" si="16"/>
      </x:c>
      <x:c r="Z239" s="9" t="s">
        <x:v>870</x:v>
      </x:c>
      <x:c r="AA239" s="9"/>
      <x:c r="AB239" s="9"/>
      <x:c r="AC239" s="9"/>
      <x:c r="AD239" s="9"/>
      <x:c r="AE239" s="9"/>
      <x:c r="AF239" s="9"/>
      <x:c r="AG239" s="9"/>
      <x:c r="AH239" s="9"/>
      <x:c r="AI239" s="9"/>
      <x:c r="AJ239" s="9"/>
      <x:c r="AK239" s="9"/>
      <x:c r="AL239" s="12" t="str">
        <x:f t="shared" si="17"/>
      </x:c>
      <x:c r="AM239" s="11" t="str">
        <x:f t="shared" si="18"/>
      </x:c>
      <x:c r="AN239" s="11" t="str">
        <x:f t="shared" si="19"/>
      </x:c>
      <x:c r="AO239" s="9"/>
      <x:c r="AP239" s="9"/>
      <x:c r="AQ239" s="27" t="s">
        <x:v>551</x:v>
      </x:c>
    </x:row>
    <x:row r="240" ht="118.05000305175781" customHeight="1">
      <x:c r="A240" s="6" t="s">
        <x:v>1128</x:v>
      </x:c>
      <x:c r="B240" s="6" t="s">
        <x:v>548</x:v>
      </x:c>
      <x:c r="C240" s="6" t="s">
        <x:v>55</x:v>
      </x:c>
      <x:c r="D240" s="6" t="s">
        <x:v>549</x:v>
      </x:c>
      <x:c r="E240" s="6" t="s">
        <x:v>241</x:v>
      </x:c>
      <x:c r="F240" s="6" t="s">
        <x:v>550</x:v>
      </x:c>
      <x:c r="G240" s="6" t="s">
        <x:v>715</x:v>
      </x:c>
      <x:c r="H240" s="6" t="s">
        <x:v>717</x:v>
      </x:c>
      <x:c r="I240" s="6" t="s">
        <x:v>1031</x:v>
      </x:c>
      <x:c r="J240" s="6" t="s">
        <x:v>1032</x:v>
      </x:c>
      <x:c r="K240" s="6" t="s">
        <x:v>552</x:v>
      </x:c>
      <x:c r="L240" s="6" t="s">
        <x:v>507</x:v>
      </x:c>
      <x:c r="M240" s="6" t="s">
        <x:v>553</x:v>
      </x:c>
      <x:c r="N240" s="6" t="s">
        <x:v>554</x:v>
      </x:c>
      <x:c r="O240" s="6" t="s">
        <x:v>230</x:v>
      </x:c>
      <x:c r="P240" s="9"/>
      <x:c r="Q240" s="9"/>
      <x:c r="R240" s="9"/>
      <x:c r="S240" s="9"/>
      <x:c r="T240" s="9"/>
      <x:c r="U240" s="9"/>
      <x:c r="V240" s="9"/>
      <x:c r="W240" s="9"/>
      <x:c r="X240" s="12" t="str">
        <x:f t="shared" si="15"/>
      </x:c>
      <x:c r="Y240" s="12" t="str">
        <x:f t="shared" si="16"/>
      </x:c>
      <x:c r="Z240" s="9" t="s">
        <x:v>870</x:v>
      </x:c>
      <x:c r="AA240" s="9"/>
      <x:c r="AB240" s="9"/>
      <x:c r="AC240" s="9"/>
      <x:c r="AD240" s="9"/>
      <x:c r="AE240" s="9"/>
      <x:c r="AF240" s="9"/>
      <x:c r="AG240" s="9"/>
      <x:c r="AH240" s="9"/>
      <x:c r="AI240" s="9"/>
      <x:c r="AJ240" s="9"/>
      <x:c r="AK240" s="9"/>
      <x:c r="AL240" s="12" t="str">
        <x:f t="shared" si="17"/>
      </x:c>
      <x:c r="AM240" s="11" t="str">
        <x:f t="shared" si="18"/>
      </x:c>
      <x:c r="AN240" s="11" t="str">
        <x:f t="shared" si="19"/>
      </x:c>
      <x:c r="AO240" s="9"/>
      <x:c r="AP240" s="9"/>
      <x:c r="AQ240" s="27" t="s">
        <x:v>551</x:v>
      </x:c>
    </x:row>
    <x:row r="241" ht="118.05000305175781" customHeight="1">
      <x:c r="A241" s="6" t="s">
        <x:v>1129</x:v>
      </x:c>
      <x:c r="B241" s="6" t="s">
        <x:v>548</x:v>
      </x:c>
      <x:c r="C241" s="6" t="s">
        <x:v>55</x:v>
      </x:c>
      <x:c r="D241" s="6" t="s">
        <x:v>549</x:v>
      </x:c>
      <x:c r="E241" s="6" t="s">
        <x:v>241</x:v>
      </x:c>
      <x:c r="F241" s="6" t="s">
        <x:v>550</x:v>
      </x:c>
      <x:c r="G241" s="6" t="s">
        <x:v>715</x:v>
      </x:c>
      <x:c r="H241" s="6" t="s">
        <x:v>717</x:v>
      </x:c>
      <x:c r="I241" s="6" t="s">
        <x:v>1046</x:v>
      </x:c>
      <x:c r="J241" s="6" t="s">
        <x:v>1047</x:v>
      </x:c>
      <x:c r="K241" s="6" t="s">
        <x:v>552</x:v>
      </x:c>
      <x:c r="L241" s="6" t="s">
        <x:v>507</x:v>
      </x:c>
      <x:c r="M241" s="6" t="s">
        <x:v>553</x:v>
      </x:c>
      <x:c r="N241" s="6" t="s">
        <x:v>554</x:v>
      </x:c>
      <x:c r="O241" s="6" t="s">
        <x:v>230</x:v>
      </x:c>
      <x:c r="P241" s="9"/>
      <x:c r="Q241" s="9"/>
      <x:c r="R241" s="9"/>
      <x:c r="S241" s="9"/>
      <x:c r="T241" s="9"/>
      <x:c r="U241" s="9"/>
      <x:c r="V241" s="9"/>
      <x:c r="W241" s="9"/>
      <x:c r="X241" s="12" t="str">
        <x:f t="shared" si="15"/>
      </x:c>
      <x:c r="Y241" s="12" t="str">
        <x:f t="shared" si="16"/>
      </x:c>
      <x:c r="Z241" s="9" t="s">
        <x:v>870</x:v>
      </x:c>
      <x:c r="AA241" s="9"/>
      <x:c r="AB241" s="9"/>
      <x:c r="AC241" s="9"/>
      <x:c r="AD241" s="9"/>
      <x:c r="AE241" s="9"/>
      <x:c r="AF241" s="9"/>
      <x:c r="AG241" s="9"/>
      <x:c r="AH241" s="9"/>
      <x:c r="AI241" s="9"/>
      <x:c r="AJ241" s="9"/>
      <x:c r="AK241" s="9"/>
      <x:c r="AL241" s="12" t="str">
        <x:f t="shared" si="17"/>
      </x:c>
      <x:c r="AM241" s="11" t="str">
        <x:f t="shared" si="18"/>
      </x:c>
      <x:c r="AN241" s="11" t="str">
        <x:f t="shared" si="19"/>
      </x:c>
      <x:c r="AO241" s="9"/>
      <x:c r="AP241" s="9"/>
      <x:c r="AQ241" s="27" t="s">
        <x:v>551</x:v>
      </x:c>
    </x:row>
    <x:row r="242" ht="118.05000305175781" customHeight="1">
      <x:c r="A242" s="6" t="s">
        <x:v>1130</x:v>
      </x:c>
      <x:c r="B242" s="6" t="s">
        <x:v>548</x:v>
      </x:c>
      <x:c r="C242" s="6" t="s">
        <x:v>55</x:v>
      </x:c>
      <x:c r="D242" s="6" t="s">
        <x:v>549</x:v>
      </x:c>
      <x:c r="E242" s="6" t="s">
        <x:v>241</x:v>
      </x:c>
      <x:c r="F242" s="6" t="s">
        <x:v>550</x:v>
      </x:c>
      <x:c r="G242" s="6" t="s">
        <x:v>724</x:v>
      </x:c>
      <x:c r="H242" s="6" t="s">
        <x:v>726</x:v>
      </x:c>
      <x:c r="I242" s="6" t="s">
        <x:v>1031</x:v>
      </x:c>
      <x:c r="J242" s="6" t="s">
        <x:v>1032</x:v>
      </x:c>
      <x:c r="K242" s="6" t="s">
        <x:v>552</x:v>
      </x:c>
      <x:c r="L242" s="6" t="s">
        <x:v>507</x:v>
      </x:c>
      <x:c r="M242" s="6" t="s">
        <x:v>553</x:v>
      </x:c>
      <x:c r="N242" s="6" t="s">
        <x:v>554</x:v>
      </x:c>
      <x:c r="O242" s="6" t="s">
        <x:v>230</x:v>
      </x:c>
      <x:c r="P242" s="9"/>
      <x:c r="Q242" s="9"/>
      <x:c r="R242" s="9"/>
      <x:c r="S242" s="9"/>
      <x:c r="T242" s="9"/>
      <x:c r="U242" s="9"/>
      <x:c r="V242" s="9"/>
      <x:c r="W242" s="9"/>
      <x:c r="X242" s="12" t="str">
        <x:f t="shared" si="15"/>
      </x:c>
      <x:c r="Y242" s="12" t="str">
        <x:f t="shared" si="16"/>
      </x:c>
      <x:c r="Z242" s="9" t="s">
        <x:v>870</x:v>
      </x:c>
      <x:c r="AA242" s="9"/>
      <x:c r="AB242" s="9"/>
      <x:c r="AC242" s="9"/>
      <x:c r="AD242" s="9"/>
      <x:c r="AE242" s="9"/>
      <x:c r="AF242" s="9"/>
      <x:c r="AG242" s="9"/>
      <x:c r="AH242" s="9"/>
      <x:c r="AI242" s="9"/>
      <x:c r="AJ242" s="9"/>
      <x:c r="AK242" s="9"/>
      <x:c r="AL242" s="12" t="str">
        <x:f t="shared" si="17"/>
      </x:c>
      <x:c r="AM242" s="11" t="str">
        <x:f t="shared" si="18"/>
      </x:c>
      <x:c r="AN242" s="11" t="str">
        <x:f t="shared" si="19"/>
      </x:c>
      <x:c r="AO242" s="9"/>
      <x:c r="AP242" s="9"/>
      <x:c r="AQ242" s="27" t="s">
        <x:v>551</x:v>
      </x:c>
    </x:row>
    <x:row r="243" ht="118.05000305175781" customHeight="1">
      <x:c r="A243" s="6" t="s">
        <x:v>1131</x:v>
      </x:c>
      <x:c r="B243" s="6" t="s">
        <x:v>548</x:v>
      </x:c>
      <x:c r="C243" s="6" t="s">
        <x:v>55</x:v>
      </x:c>
      <x:c r="D243" s="6" t="s">
        <x:v>549</x:v>
      </x:c>
      <x:c r="E243" s="6" t="s">
        <x:v>241</x:v>
      </x:c>
      <x:c r="F243" s="6" t="s">
        <x:v>550</x:v>
      </x:c>
      <x:c r="G243" s="6" t="s">
        <x:v>724</x:v>
      </x:c>
      <x:c r="H243" s="6" t="s">
        <x:v>726</x:v>
      </x:c>
      <x:c r="I243" s="6" t="s">
        <x:v>1046</x:v>
      </x:c>
      <x:c r="J243" s="6" t="s">
        <x:v>1047</x:v>
      </x:c>
      <x:c r="K243" s="6" t="s">
        <x:v>552</x:v>
      </x:c>
      <x:c r="L243" s="6" t="s">
        <x:v>507</x:v>
      </x:c>
      <x:c r="M243" s="6" t="s">
        <x:v>553</x:v>
      </x:c>
      <x:c r="N243" s="6" t="s">
        <x:v>554</x:v>
      </x:c>
      <x:c r="O243" s="6" t="s">
        <x:v>230</x:v>
      </x:c>
      <x:c r="P243" s="9"/>
      <x:c r="Q243" s="9"/>
      <x:c r="R243" s="9"/>
      <x:c r="S243" s="9"/>
      <x:c r="T243" s="9"/>
      <x:c r="U243" s="9"/>
      <x:c r="V243" s="9"/>
      <x:c r="W243" s="9"/>
      <x:c r="X243" s="12" t="str">
        <x:f t="shared" si="15"/>
      </x:c>
      <x:c r="Y243" s="12" t="str">
        <x:f t="shared" si="16"/>
      </x:c>
      <x:c r="Z243" s="9" t="s">
        <x:v>870</x:v>
      </x:c>
      <x:c r="AA243" s="9"/>
      <x:c r="AB243" s="9"/>
      <x:c r="AC243" s="9"/>
      <x:c r="AD243" s="9"/>
      <x:c r="AE243" s="9"/>
      <x:c r="AF243" s="9"/>
      <x:c r="AG243" s="9"/>
      <x:c r="AH243" s="9"/>
      <x:c r="AI243" s="9"/>
      <x:c r="AJ243" s="9"/>
      <x:c r="AK243" s="9"/>
      <x:c r="AL243" s="12" t="str">
        <x:f t="shared" si="17"/>
      </x:c>
      <x:c r="AM243" s="11" t="str">
        <x:f t="shared" si="18"/>
      </x:c>
      <x:c r="AN243" s="11" t="str">
        <x:f t="shared" si="19"/>
      </x:c>
      <x:c r="AO243" s="9"/>
      <x:c r="AP243" s="9"/>
      <x:c r="AQ243" s="27" t="s">
        <x:v>551</x:v>
      </x:c>
    </x:row>
    <x:row r="244" ht="118.05000305175781" customHeight="1">
      <x:c r="A244" s="6" t="s">
        <x:v>1132</x:v>
      </x:c>
      <x:c r="B244" s="6" t="s">
        <x:v>555</x:v>
      </x:c>
      <x:c r="C244" s="6" t="s">
        <x:v>55</x:v>
      </x:c>
      <x:c r="D244" s="6" t="s">
        <x:v>556</x:v>
      </x:c>
      <x:c r="E244" s="6" t="s">
        <x:v>233</x:v>
      </x:c>
      <x:c r="F244" s="6" t="s">
        <x:v>557</x:v>
      </x:c>
      <x:c r="G244" s="6" t="s">
        <x:v>696</x:v>
      </x:c>
      <x:c r="H244" s="6" t="s">
        <x:v>698</x:v>
      </x:c>
      <x:c r="I244" s="6" t="s">
        <x:v>1031</x:v>
      </x:c>
      <x:c r="J244" s="6" t="s">
        <x:v>1032</x:v>
      </x:c>
      <x:c r="K244" s="6" t="s">
        <x:v>559</x:v>
      </x:c>
      <x:c r="L244" s="6" t="s">
        <x:v>507</x:v>
      </x:c>
      <x:c r="M244" s="6" t="s">
        <x:v>560</x:v>
      </x:c>
      <x:c r="N244" s="6" t="s">
        <x:v>561</x:v>
      </x:c>
      <x:c r="O244" s="6" t="s">
        <x:v>230</x:v>
      </x:c>
      <x:c r="P244" s="9"/>
      <x:c r="Q244" s="9"/>
      <x:c r="R244" s="9"/>
      <x:c r="S244" s="9"/>
      <x:c r="T244" s="9"/>
      <x:c r="U244" s="9"/>
      <x:c r="V244" s="9"/>
      <x:c r="W244" s="9"/>
      <x:c r="X244" s="12" t="str">
        <x:f t="shared" si="15"/>
      </x:c>
      <x:c r="Y244" s="12" t="str">
        <x:f t="shared" si="16"/>
      </x:c>
      <x:c r="Z244" s="9" t="s">
        <x:v>870</x:v>
      </x:c>
      <x:c r="AA244" s="9"/>
      <x:c r="AB244" s="9"/>
      <x:c r="AC244" s="9"/>
      <x:c r="AD244" s="9"/>
      <x:c r="AE244" s="9"/>
      <x:c r="AF244" s="9"/>
      <x:c r="AG244" s="9"/>
      <x:c r="AH244" s="9"/>
      <x:c r="AI244" s="9"/>
      <x:c r="AJ244" s="9"/>
      <x:c r="AK244" s="9"/>
      <x:c r="AL244" s="12" t="str">
        <x:f t="shared" si="17"/>
      </x:c>
      <x:c r="AM244" s="11" t="str">
        <x:f t="shared" si="18"/>
      </x:c>
      <x:c r="AN244" s="11" t="str">
        <x:f t="shared" si="19"/>
      </x:c>
      <x:c r="AO244" s="9"/>
      <x:c r="AP244" s="9"/>
      <x:c r="AQ244" s="27" t="s">
        <x:v>558</x:v>
      </x:c>
    </x:row>
    <x:row r="245" ht="118.05000305175781" customHeight="1">
      <x:c r="A245" s="6" t="s">
        <x:v>1133</x:v>
      </x:c>
      <x:c r="B245" s="6" t="s">
        <x:v>555</x:v>
      </x:c>
      <x:c r="C245" s="6" t="s">
        <x:v>55</x:v>
      </x:c>
      <x:c r="D245" s="6" t="s">
        <x:v>556</x:v>
      </x:c>
      <x:c r="E245" s="6" t="s">
        <x:v>233</x:v>
      </x:c>
      <x:c r="F245" s="6" t="s">
        <x:v>557</x:v>
      </x:c>
      <x:c r="G245" s="6" t="s">
        <x:v>696</x:v>
      </x:c>
      <x:c r="H245" s="6" t="s">
        <x:v>698</x:v>
      </x:c>
      <x:c r="I245" s="6" t="s">
        <x:v>1034</x:v>
      </x:c>
      <x:c r="J245" s="6" t="s">
        <x:v>1035</x:v>
      </x:c>
      <x:c r="K245" s="6" t="s">
        <x:v>559</x:v>
      </x:c>
      <x:c r="L245" s="6" t="s">
        <x:v>507</x:v>
      </x:c>
      <x:c r="M245" s="6" t="s">
        <x:v>560</x:v>
      </x:c>
      <x:c r="N245" s="6" t="s">
        <x:v>561</x:v>
      </x:c>
      <x:c r="O245" s="6" t="s">
        <x:v>230</x:v>
      </x:c>
      <x:c r="P245" s="9"/>
      <x:c r="Q245" s="9"/>
      <x:c r="R245" s="9"/>
      <x:c r="S245" s="9"/>
      <x:c r="T245" s="9"/>
      <x:c r="U245" s="9"/>
      <x:c r="V245" s="9"/>
      <x:c r="W245" s="9"/>
      <x:c r="X245" s="12" t="str">
        <x:f t="shared" si="15"/>
      </x:c>
      <x:c r="Y245" s="12" t="str">
        <x:f t="shared" si="16"/>
      </x:c>
      <x:c r="Z245" s="9" t="s">
        <x:v>870</x:v>
      </x:c>
      <x:c r="AA245" s="9"/>
      <x:c r="AB245" s="9"/>
      <x:c r="AC245" s="9"/>
      <x:c r="AD245" s="9"/>
      <x:c r="AE245" s="9"/>
      <x:c r="AF245" s="9"/>
      <x:c r="AG245" s="9"/>
      <x:c r="AH245" s="9"/>
      <x:c r="AI245" s="9"/>
      <x:c r="AJ245" s="9"/>
      <x:c r="AK245" s="9"/>
      <x:c r="AL245" s="12" t="str">
        <x:f t="shared" si="17"/>
      </x:c>
      <x:c r="AM245" s="11" t="str">
        <x:f t="shared" si="18"/>
      </x:c>
      <x:c r="AN245" s="11" t="str">
        <x:f t="shared" si="19"/>
      </x:c>
      <x:c r="AO245" s="9"/>
      <x:c r="AP245" s="9"/>
      <x:c r="AQ245" s="27" t="s">
        <x:v>558</x:v>
      </x:c>
    </x:row>
    <x:row r="246" ht="118.05000305175781" customHeight="1">
      <x:c r="A246" s="6" t="s">
        <x:v>1134</x:v>
      </x:c>
      <x:c r="B246" s="6" t="s">
        <x:v>555</x:v>
      </x:c>
      <x:c r="C246" s="6" t="s">
        <x:v>55</x:v>
      </x:c>
      <x:c r="D246" s="6" t="s">
        <x:v>556</x:v>
      </x:c>
      <x:c r="E246" s="6" t="s">
        <x:v>233</x:v>
      </x:c>
      <x:c r="F246" s="6" t="s">
        <x:v>557</x:v>
      </x:c>
      <x:c r="G246" s="6" t="s">
        <x:v>707</x:v>
      </x:c>
      <x:c r="H246" s="6" t="s">
        <x:v>709</x:v>
      </x:c>
      <x:c r="I246" s="6" t="s">
        <x:v>1031</x:v>
      </x:c>
      <x:c r="J246" s="6" t="s">
        <x:v>1032</x:v>
      </x:c>
      <x:c r="K246" s="6" t="s">
        <x:v>559</x:v>
      </x:c>
      <x:c r="L246" s="6" t="s">
        <x:v>507</x:v>
      </x:c>
      <x:c r="M246" s="6" t="s">
        <x:v>560</x:v>
      </x:c>
      <x:c r="N246" s="6" t="s">
        <x:v>561</x:v>
      </x:c>
      <x:c r="O246" s="6" t="s">
        <x:v>230</x:v>
      </x:c>
      <x:c r="P246" s="9"/>
      <x:c r="Q246" s="9"/>
      <x:c r="R246" s="9"/>
      <x:c r="S246" s="9"/>
      <x:c r="T246" s="9"/>
      <x:c r="U246" s="9"/>
      <x:c r="V246" s="9"/>
      <x:c r="W246" s="9"/>
      <x:c r="X246" s="12" t="str">
        <x:f t="shared" si="15"/>
      </x:c>
      <x:c r="Y246" s="12" t="str">
        <x:f t="shared" si="16"/>
      </x:c>
      <x:c r="Z246" s="9" t="s">
        <x:v>870</x:v>
      </x:c>
      <x:c r="AA246" s="9"/>
      <x:c r="AB246" s="9"/>
      <x:c r="AC246" s="9"/>
      <x:c r="AD246" s="9"/>
      <x:c r="AE246" s="9"/>
      <x:c r="AF246" s="9"/>
      <x:c r="AG246" s="9"/>
      <x:c r="AH246" s="9"/>
      <x:c r="AI246" s="9"/>
      <x:c r="AJ246" s="9"/>
      <x:c r="AK246" s="9"/>
      <x:c r="AL246" s="12" t="str">
        <x:f t="shared" si="17"/>
      </x:c>
      <x:c r="AM246" s="11" t="str">
        <x:f t="shared" si="18"/>
      </x:c>
      <x:c r="AN246" s="11" t="str">
        <x:f t="shared" si="19"/>
      </x:c>
      <x:c r="AO246" s="9"/>
      <x:c r="AP246" s="9"/>
      <x:c r="AQ246" s="27" t="s">
        <x:v>558</x:v>
      </x:c>
    </x:row>
    <x:row r="247" ht="118.05000305175781" customHeight="1">
      <x:c r="A247" s="6" t="s">
        <x:v>1135</x:v>
      </x:c>
      <x:c r="B247" s="6" t="s">
        <x:v>555</x:v>
      </x:c>
      <x:c r="C247" s="6" t="s">
        <x:v>55</x:v>
      </x:c>
      <x:c r="D247" s="6" t="s">
        <x:v>556</x:v>
      </x:c>
      <x:c r="E247" s="6" t="s">
        <x:v>233</x:v>
      </x:c>
      <x:c r="F247" s="6" t="s">
        <x:v>557</x:v>
      </x:c>
      <x:c r="G247" s="6" t="s">
        <x:v>707</x:v>
      </x:c>
      <x:c r="H247" s="6" t="s">
        <x:v>709</x:v>
      </x:c>
      <x:c r="I247" s="6" t="s">
        <x:v>1034</x:v>
      </x:c>
      <x:c r="J247" s="6" t="s">
        <x:v>1035</x:v>
      </x:c>
      <x:c r="K247" s="6" t="s">
        <x:v>559</x:v>
      </x:c>
      <x:c r="L247" s="6" t="s">
        <x:v>507</x:v>
      </x:c>
      <x:c r="M247" s="6" t="s">
        <x:v>560</x:v>
      </x:c>
      <x:c r="N247" s="6" t="s">
        <x:v>561</x:v>
      </x:c>
      <x:c r="O247" s="6" t="s">
        <x:v>230</x:v>
      </x:c>
      <x:c r="P247" s="9"/>
      <x:c r="Q247" s="9"/>
      <x:c r="R247" s="9"/>
      <x:c r="S247" s="9"/>
      <x:c r="T247" s="9"/>
      <x:c r="U247" s="9"/>
      <x:c r="V247" s="9"/>
      <x:c r="W247" s="9"/>
      <x:c r="X247" s="12" t="str">
        <x:f t="shared" si="15"/>
      </x:c>
      <x:c r="Y247" s="12" t="str">
        <x:f t="shared" si="16"/>
      </x:c>
      <x:c r="Z247" s="9" t="s">
        <x:v>870</x:v>
      </x:c>
      <x:c r="AA247" s="9"/>
      <x:c r="AB247" s="9"/>
      <x:c r="AC247" s="9"/>
      <x:c r="AD247" s="9"/>
      <x:c r="AE247" s="9"/>
      <x:c r="AF247" s="9"/>
      <x:c r="AG247" s="9"/>
      <x:c r="AH247" s="9"/>
      <x:c r="AI247" s="9"/>
      <x:c r="AJ247" s="9"/>
      <x:c r="AK247" s="9"/>
      <x:c r="AL247" s="12" t="str">
        <x:f t="shared" si="17"/>
      </x:c>
      <x:c r="AM247" s="11" t="str">
        <x:f t="shared" si="18"/>
      </x:c>
      <x:c r="AN247" s="11" t="str">
        <x:f t="shared" si="19"/>
      </x:c>
      <x:c r="AO247" s="9"/>
      <x:c r="AP247" s="9"/>
      <x:c r="AQ247" s="27" t="s">
        <x:v>558</x:v>
      </x:c>
    </x:row>
    <x:row r="248" ht="118.05000305175781" customHeight="1">
      <x:c r="A248" s="6" t="s">
        <x:v>1136</x:v>
      </x:c>
      <x:c r="B248" s="6" t="s">
        <x:v>555</x:v>
      </x:c>
      <x:c r="C248" s="6" t="s">
        <x:v>55</x:v>
      </x:c>
      <x:c r="D248" s="6" t="s">
        <x:v>556</x:v>
      </x:c>
      <x:c r="E248" s="6" t="s">
        <x:v>233</x:v>
      </x:c>
      <x:c r="F248" s="6" t="s">
        <x:v>557</x:v>
      </x:c>
      <x:c r="G248" s="6" t="s">
        <x:v>724</x:v>
      </x:c>
      <x:c r="H248" s="6" t="s">
        <x:v>726</x:v>
      </x:c>
      <x:c r="I248" s="6" t="s">
        <x:v>1031</x:v>
      </x:c>
      <x:c r="J248" s="6" t="s">
        <x:v>1032</x:v>
      </x:c>
      <x:c r="K248" s="6" t="s">
        <x:v>559</x:v>
      </x:c>
      <x:c r="L248" s="6" t="s">
        <x:v>507</x:v>
      </x:c>
      <x:c r="M248" s="6" t="s">
        <x:v>560</x:v>
      </x:c>
      <x:c r="N248" s="6" t="s">
        <x:v>561</x:v>
      </x:c>
      <x:c r="O248" s="6" t="s">
        <x:v>230</x:v>
      </x:c>
      <x:c r="P248" s="9"/>
      <x:c r="Q248" s="9"/>
      <x:c r="R248" s="9"/>
      <x:c r="S248" s="9"/>
      <x:c r="T248" s="9"/>
      <x:c r="U248" s="9"/>
      <x:c r="V248" s="9"/>
      <x:c r="W248" s="9"/>
      <x:c r="X248" s="12" t="str">
        <x:f t="shared" si="15"/>
      </x:c>
      <x:c r="Y248" s="12" t="str">
        <x:f t="shared" si="16"/>
      </x:c>
      <x:c r="Z248" s="9" t="s">
        <x:v>870</x:v>
      </x:c>
      <x:c r="AA248" s="9"/>
      <x:c r="AB248" s="9"/>
      <x:c r="AC248" s="9"/>
      <x:c r="AD248" s="9"/>
      <x:c r="AE248" s="9"/>
      <x:c r="AF248" s="9"/>
      <x:c r="AG248" s="9"/>
      <x:c r="AH248" s="9"/>
      <x:c r="AI248" s="9"/>
      <x:c r="AJ248" s="9"/>
      <x:c r="AK248" s="9"/>
      <x:c r="AL248" s="12" t="str">
        <x:f t="shared" si="17"/>
      </x:c>
      <x:c r="AM248" s="11" t="str">
        <x:f t="shared" si="18"/>
      </x:c>
      <x:c r="AN248" s="11" t="str">
        <x:f t="shared" si="19"/>
      </x:c>
      <x:c r="AO248" s="9"/>
      <x:c r="AP248" s="9"/>
      <x:c r="AQ248" s="27" t="s">
        <x:v>558</x:v>
      </x:c>
    </x:row>
    <x:row r="249" ht="118.05000305175781" customHeight="1">
      <x:c r="A249" s="6" t="s">
        <x:v>1137</x:v>
      </x:c>
      <x:c r="B249" s="6" t="s">
        <x:v>555</x:v>
      </x:c>
      <x:c r="C249" s="6" t="s">
        <x:v>55</x:v>
      </x:c>
      <x:c r="D249" s="6" t="s">
        <x:v>556</x:v>
      </x:c>
      <x:c r="E249" s="6" t="s">
        <x:v>233</x:v>
      </x:c>
      <x:c r="F249" s="6" t="s">
        <x:v>557</x:v>
      </x:c>
      <x:c r="G249" s="6" t="s">
        <x:v>724</x:v>
      </x:c>
      <x:c r="H249" s="6" t="s">
        <x:v>726</x:v>
      </x:c>
      <x:c r="I249" s="6" t="s">
        <x:v>1034</x:v>
      </x:c>
      <x:c r="J249" s="6" t="s">
        <x:v>1035</x:v>
      </x:c>
      <x:c r="K249" s="6" t="s">
        <x:v>559</x:v>
      </x:c>
      <x:c r="L249" s="6" t="s">
        <x:v>507</x:v>
      </x:c>
      <x:c r="M249" s="6" t="s">
        <x:v>560</x:v>
      </x:c>
      <x:c r="N249" s="6" t="s">
        <x:v>561</x:v>
      </x:c>
      <x:c r="O249" s="6" t="s">
        <x:v>230</x:v>
      </x:c>
      <x:c r="P249" s="9"/>
      <x:c r="Q249" s="9"/>
      <x:c r="R249" s="9"/>
      <x:c r="S249" s="9"/>
      <x:c r="T249" s="9"/>
      <x:c r="U249" s="9"/>
      <x:c r="V249" s="9"/>
      <x:c r="W249" s="9"/>
      <x:c r="X249" s="12" t="str">
        <x:f t="shared" si="15"/>
      </x:c>
      <x:c r="Y249" s="12" t="str">
        <x:f t="shared" si="16"/>
      </x:c>
      <x:c r="Z249" s="9" t="s">
        <x:v>870</x:v>
      </x:c>
      <x:c r="AA249" s="9"/>
      <x:c r="AB249" s="9"/>
      <x:c r="AC249" s="9"/>
      <x:c r="AD249" s="9"/>
      <x:c r="AE249" s="9"/>
      <x:c r="AF249" s="9"/>
      <x:c r="AG249" s="9"/>
      <x:c r="AH249" s="9"/>
      <x:c r="AI249" s="9"/>
      <x:c r="AJ249" s="9"/>
      <x:c r="AK249" s="9"/>
      <x:c r="AL249" s="12" t="str">
        <x:f t="shared" si="17"/>
      </x:c>
      <x:c r="AM249" s="11" t="str">
        <x:f t="shared" si="18"/>
      </x:c>
      <x:c r="AN249" s="11" t="str">
        <x:f t="shared" si="19"/>
      </x:c>
      <x:c r="AO249" s="9"/>
      <x:c r="AP249" s="9"/>
      <x:c r="AQ249" s="27" t="s">
        <x:v>558</x:v>
      </x:c>
    </x:row>
    <x:row r="250" ht="118.05000305175781" customHeight="1">
      <x:c r="A250" s="6" t="s">
        <x:v>1138</x:v>
      </x:c>
      <x:c r="B250" s="6" t="s">
        <x:v>562</x:v>
      </x:c>
      <x:c r="C250" s="6" t="s">
        <x:v>55</x:v>
      </x:c>
      <x:c r="D250" s="6" t="s">
        <x:v>563</x:v>
      </x:c>
      <x:c r="E250" s="6" t="s">
        <x:v>249</x:v>
      </x:c>
      <x:c r="F250" s="6" t="s">
        <x:v>564</x:v>
      </x:c>
      <x:c r="G250" s="6" t="s">
        <x:v>696</x:v>
      </x:c>
      <x:c r="H250" s="6" t="s">
        <x:v>698</x:v>
      </x:c>
      <x:c r="I250" s="6" t="s">
        <x:v>1034</x:v>
      </x:c>
      <x:c r="J250" s="6" t="s">
        <x:v>1035</x:v>
      </x:c>
      <x:c r="K250" s="6" t="s">
        <x:v>566</x:v>
      </x:c>
      <x:c r="L250" s="6" t="s">
        <x:v>507</x:v>
      </x:c>
      <x:c r="M250" s="6" t="s">
        <x:v>567</x:v>
      </x:c>
      <x:c r="N250" s="6" t="s">
        <x:v>568</x:v>
      </x:c>
      <x:c r="O250" s="6" t="s">
        <x:v>341</x:v>
      </x:c>
      <x:c r="P250" s="9"/>
      <x:c r="Q250" s="9"/>
      <x:c r="R250" s="9"/>
      <x:c r="S250" s="9"/>
      <x:c r="T250" s="9"/>
      <x:c r="U250" s="9"/>
      <x:c r="V250" s="9"/>
      <x:c r="W250" s="9"/>
      <x:c r="X250" s="12" t="str">
        <x:f t="shared" si="15"/>
      </x:c>
      <x:c r="Y250" s="12" t="str">
        <x:f t="shared" si="16"/>
      </x:c>
      <x:c r="Z250" s="9" t="s">
        <x:v>870</x:v>
      </x:c>
      <x:c r="AA250" s="9"/>
      <x:c r="AB250" s="9"/>
      <x:c r="AC250" s="9"/>
      <x:c r="AD250" s="9"/>
      <x:c r="AE250" s="9"/>
      <x:c r="AF250" s="9"/>
      <x:c r="AG250" s="9"/>
      <x:c r="AH250" s="9"/>
      <x:c r="AI250" s="9"/>
      <x:c r="AJ250" s="9"/>
      <x:c r="AK250" s="9"/>
      <x:c r="AL250" s="12" t="str">
        <x:f t="shared" si="17"/>
      </x:c>
      <x:c r="AM250" s="11" t="str">
        <x:f t="shared" si="18"/>
      </x:c>
      <x:c r="AN250" s="11" t="str">
        <x:f t="shared" si="19"/>
      </x:c>
      <x:c r="AO250" s="9"/>
      <x:c r="AP250" s="9"/>
      <x:c r="AQ250" s="27" t="s">
        <x:v>565</x:v>
      </x:c>
    </x:row>
    <x:row r="251" ht="118.05000305175781" customHeight="1">
      <x:c r="A251" s="6" t="s">
        <x:v>1139</x:v>
      </x:c>
      <x:c r="B251" s="6" t="s">
        <x:v>562</x:v>
      </x:c>
      <x:c r="C251" s="6" t="s">
        <x:v>55</x:v>
      </x:c>
      <x:c r="D251" s="6" t="s">
        <x:v>563</x:v>
      </x:c>
      <x:c r="E251" s="6" t="s">
        <x:v>249</x:v>
      </x:c>
      <x:c r="F251" s="6" t="s">
        <x:v>564</x:v>
      </x:c>
      <x:c r="G251" s="6" t="s">
        <x:v>696</x:v>
      </x:c>
      <x:c r="H251" s="6" t="s">
        <x:v>698</x:v>
      </x:c>
      <x:c r="I251" s="6" t="s">
        <x:v>1046</x:v>
      </x:c>
      <x:c r="J251" s="6" t="s">
        <x:v>1047</x:v>
      </x:c>
      <x:c r="K251" s="6" t="s">
        <x:v>566</x:v>
      </x:c>
      <x:c r="L251" s="6" t="s">
        <x:v>507</x:v>
      </x:c>
      <x:c r="M251" s="6" t="s">
        <x:v>567</x:v>
      </x:c>
      <x:c r="N251" s="6" t="s">
        <x:v>568</x:v>
      </x:c>
      <x:c r="O251" s="6" t="s">
        <x:v>341</x:v>
      </x:c>
      <x:c r="P251" s="9"/>
      <x:c r="Q251" s="9"/>
      <x:c r="R251" s="9"/>
      <x:c r="S251" s="9"/>
      <x:c r="T251" s="9"/>
      <x:c r="U251" s="9"/>
      <x:c r="V251" s="9"/>
      <x:c r="W251" s="9"/>
      <x:c r="X251" s="12" t="str">
        <x:f t="shared" si="15"/>
      </x:c>
      <x:c r="Y251" s="12" t="str">
        <x:f t="shared" si="16"/>
      </x:c>
      <x:c r="Z251" s="9" t="s">
        <x:v>870</x:v>
      </x:c>
      <x:c r="AA251" s="9"/>
      <x:c r="AB251" s="9"/>
      <x:c r="AC251" s="9"/>
      <x:c r="AD251" s="9"/>
      <x:c r="AE251" s="9"/>
      <x:c r="AF251" s="9"/>
      <x:c r="AG251" s="9"/>
      <x:c r="AH251" s="9"/>
      <x:c r="AI251" s="9"/>
      <x:c r="AJ251" s="9"/>
      <x:c r="AK251" s="9"/>
      <x:c r="AL251" s="12" t="str">
        <x:f t="shared" si="17"/>
      </x:c>
      <x:c r="AM251" s="11" t="str">
        <x:f t="shared" si="18"/>
      </x:c>
      <x:c r="AN251" s="11" t="str">
        <x:f t="shared" si="19"/>
      </x:c>
      <x:c r="AO251" s="9"/>
      <x:c r="AP251" s="9"/>
      <x:c r="AQ251" s="27" t="s">
        <x:v>565</x:v>
      </x:c>
    </x:row>
    <x:row r="252" ht="118.05000305175781" customHeight="1">
      <x:c r="A252" s="6" t="s">
        <x:v>1140</x:v>
      </x:c>
      <x:c r="B252" s="6" t="s">
        <x:v>562</x:v>
      </x:c>
      <x:c r="C252" s="6" t="s">
        <x:v>55</x:v>
      </x:c>
      <x:c r="D252" s="6" t="s">
        <x:v>563</x:v>
      </x:c>
      <x:c r="E252" s="6" t="s">
        <x:v>249</x:v>
      </x:c>
      <x:c r="F252" s="6" t="s">
        <x:v>564</x:v>
      </x:c>
      <x:c r="G252" s="6" t="s">
        <x:v>715</x:v>
      </x:c>
      <x:c r="H252" s="6" t="s">
        <x:v>717</x:v>
      </x:c>
      <x:c r="I252" s="6" t="s">
        <x:v>1034</x:v>
      </x:c>
      <x:c r="J252" s="6" t="s">
        <x:v>1035</x:v>
      </x:c>
      <x:c r="K252" s="6" t="s">
        <x:v>566</x:v>
      </x:c>
      <x:c r="L252" s="6" t="s">
        <x:v>507</x:v>
      </x:c>
      <x:c r="M252" s="6" t="s">
        <x:v>567</x:v>
      </x:c>
      <x:c r="N252" s="6" t="s">
        <x:v>568</x:v>
      </x:c>
      <x:c r="O252" s="6" t="s">
        <x:v>341</x:v>
      </x:c>
      <x:c r="P252" s="9"/>
      <x:c r="Q252" s="9"/>
      <x:c r="R252" s="9"/>
      <x:c r="S252" s="9"/>
      <x:c r="T252" s="9"/>
      <x:c r="U252" s="9"/>
      <x:c r="V252" s="9"/>
      <x:c r="W252" s="9"/>
      <x:c r="X252" s="12" t="str">
        <x:f t="shared" si="15"/>
      </x:c>
      <x:c r="Y252" s="12" t="str">
        <x:f t="shared" si="16"/>
      </x:c>
      <x:c r="Z252" s="9" t="s">
        <x:v>870</x:v>
      </x:c>
      <x:c r="AA252" s="9"/>
      <x:c r="AB252" s="9"/>
      <x:c r="AC252" s="9"/>
      <x:c r="AD252" s="9"/>
      <x:c r="AE252" s="9"/>
      <x:c r="AF252" s="9"/>
      <x:c r="AG252" s="9"/>
      <x:c r="AH252" s="9"/>
      <x:c r="AI252" s="9"/>
      <x:c r="AJ252" s="9"/>
      <x:c r="AK252" s="9"/>
      <x:c r="AL252" s="12" t="str">
        <x:f t="shared" si="17"/>
      </x:c>
      <x:c r="AM252" s="11" t="str">
        <x:f t="shared" si="18"/>
      </x:c>
      <x:c r="AN252" s="11" t="str">
        <x:f t="shared" si="19"/>
      </x:c>
      <x:c r="AO252" s="9"/>
      <x:c r="AP252" s="9"/>
      <x:c r="AQ252" s="27" t="s">
        <x:v>565</x:v>
      </x:c>
    </x:row>
    <x:row r="253" ht="118.05000305175781" customHeight="1">
      <x:c r="A253" s="6" t="s">
        <x:v>1141</x:v>
      </x:c>
      <x:c r="B253" s="6" t="s">
        <x:v>562</x:v>
      </x:c>
      <x:c r="C253" s="6" t="s">
        <x:v>55</x:v>
      </x:c>
      <x:c r="D253" s="6" t="s">
        <x:v>563</x:v>
      </x:c>
      <x:c r="E253" s="6" t="s">
        <x:v>249</x:v>
      </x:c>
      <x:c r="F253" s="6" t="s">
        <x:v>564</x:v>
      </x:c>
      <x:c r="G253" s="6" t="s">
        <x:v>715</x:v>
      </x:c>
      <x:c r="H253" s="6" t="s">
        <x:v>717</x:v>
      </x:c>
      <x:c r="I253" s="6" t="s">
        <x:v>1046</x:v>
      </x:c>
      <x:c r="J253" s="6" t="s">
        <x:v>1047</x:v>
      </x:c>
      <x:c r="K253" s="6" t="s">
        <x:v>566</x:v>
      </x:c>
      <x:c r="L253" s="6" t="s">
        <x:v>507</x:v>
      </x:c>
      <x:c r="M253" s="6" t="s">
        <x:v>567</x:v>
      </x:c>
      <x:c r="N253" s="6" t="s">
        <x:v>568</x:v>
      </x:c>
      <x:c r="O253" s="6" t="s">
        <x:v>341</x:v>
      </x:c>
      <x:c r="P253" s="9"/>
      <x:c r="Q253" s="9"/>
      <x:c r="R253" s="9"/>
      <x:c r="S253" s="9"/>
      <x:c r="T253" s="9"/>
      <x:c r="U253" s="9"/>
      <x:c r="V253" s="9"/>
      <x:c r="W253" s="9"/>
      <x:c r="X253" s="12" t="str">
        <x:f t="shared" si="15"/>
      </x:c>
      <x:c r="Y253" s="12" t="str">
        <x:f t="shared" si="16"/>
      </x:c>
      <x:c r="Z253" s="9" t="s">
        <x:v>870</x:v>
      </x:c>
      <x:c r="AA253" s="9"/>
      <x:c r="AB253" s="9"/>
      <x:c r="AC253" s="9"/>
      <x:c r="AD253" s="9"/>
      <x:c r="AE253" s="9"/>
      <x:c r="AF253" s="9"/>
      <x:c r="AG253" s="9"/>
      <x:c r="AH253" s="9"/>
      <x:c r="AI253" s="9"/>
      <x:c r="AJ253" s="9"/>
      <x:c r="AK253" s="9"/>
      <x:c r="AL253" s="12" t="str">
        <x:f t="shared" si="17"/>
      </x:c>
      <x:c r="AM253" s="11" t="str">
        <x:f t="shared" si="18"/>
      </x:c>
      <x:c r="AN253" s="11" t="str">
        <x:f t="shared" si="19"/>
      </x:c>
      <x:c r="AO253" s="9"/>
      <x:c r="AP253" s="9"/>
      <x:c r="AQ253" s="27" t="s">
        <x:v>565</x:v>
      </x:c>
    </x:row>
    <x:row r="254" ht="118.05000305175781" customHeight="1">
      <x:c r="A254" s="6" t="s">
        <x:v>1142</x:v>
      </x:c>
      <x:c r="B254" s="6" t="s">
        <x:v>562</x:v>
      </x:c>
      <x:c r="C254" s="6" t="s">
        <x:v>55</x:v>
      </x:c>
      <x:c r="D254" s="6" t="s">
        <x:v>563</x:v>
      </x:c>
      <x:c r="E254" s="6" t="s">
        <x:v>249</x:v>
      </x:c>
      <x:c r="F254" s="6" t="s">
        <x:v>564</x:v>
      </x:c>
      <x:c r="G254" s="6" t="s">
        <x:v>724</x:v>
      </x:c>
      <x:c r="H254" s="6" t="s">
        <x:v>726</x:v>
      </x:c>
      <x:c r="I254" s="6" t="s">
        <x:v>1034</x:v>
      </x:c>
      <x:c r="J254" s="6" t="s">
        <x:v>1035</x:v>
      </x:c>
      <x:c r="K254" s="6" t="s">
        <x:v>566</x:v>
      </x:c>
      <x:c r="L254" s="6" t="s">
        <x:v>507</x:v>
      </x:c>
      <x:c r="M254" s="6" t="s">
        <x:v>567</x:v>
      </x:c>
      <x:c r="N254" s="6" t="s">
        <x:v>568</x:v>
      </x:c>
      <x:c r="O254" s="6" t="s">
        <x:v>341</x:v>
      </x:c>
      <x:c r="P254" s="9"/>
      <x:c r="Q254" s="9"/>
      <x:c r="R254" s="9"/>
      <x:c r="S254" s="9"/>
      <x:c r="T254" s="9"/>
      <x:c r="U254" s="9"/>
      <x:c r="V254" s="9"/>
      <x:c r="W254" s="9"/>
      <x:c r="X254" s="12" t="str">
        <x:f t="shared" si="15"/>
      </x:c>
      <x:c r="Y254" s="12" t="str">
        <x:f t="shared" si="16"/>
      </x:c>
      <x:c r="Z254" s="9" t="s">
        <x:v>870</x:v>
      </x:c>
      <x:c r="AA254" s="9"/>
      <x:c r="AB254" s="9"/>
      <x:c r="AC254" s="9"/>
      <x:c r="AD254" s="9"/>
      <x:c r="AE254" s="9"/>
      <x:c r="AF254" s="9"/>
      <x:c r="AG254" s="9"/>
      <x:c r="AH254" s="9"/>
      <x:c r="AI254" s="9"/>
      <x:c r="AJ254" s="9"/>
      <x:c r="AK254" s="9"/>
      <x:c r="AL254" s="12" t="str">
        <x:f t="shared" si="17"/>
      </x:c>
      <x:c r="AM254" s="11" t="str">
        <x:f t="shared" si="18"/>
      </x:c>
      <x:c r="AN254" s="11" t="str">
        <x:f t="shared" si="19"/>
      </x:c>
      <x:c r="AO254" s="9"/>
      <x:c r="AP254" s="9"/>
      <x:c r="AQ254" s="27" t="s">
        <x:v>565</x:v>
      </x:c>
    </x:row>
    <x:row r="255" ht="118.05000305175781" customHeight="1">
      <x:c r="A255" s="6" t="s">
        <x:v>1143</x:v>
      </x:c>
      <x:c r="B255" s="6" t="s">
        <x:v>562</x:v>
      </x:c>
      <x:c r="C255" s="6" t="s">
        <x:v>55</x:v>
      </x:c>
      <x:c r="D255" s="6" t="s">
        <x:v>563</x:v>
      </x:c>
      <x:c r="E255" s="6" t="s">
        <x:v>249</x:v>
      </x:c>
      <x:c r="F255" s="6" t="s">
        <x:v>564</x:v>
      </x:c>
      <x:c r="G255" s="6" t="s">
        <x:v>724</x:v>
      </x:c>
      <x:c r="H255" s="6" t="s">
        <x:v>726</x:v>
      </x:c>
      <x:c r="I255" s="6" t="s">
        <x:v>1046</x:v>
      </x:c>
      <x:c r="J255" s="6" t="s">
        <x:v>1047</x:v>
      </x:c>
      <x:c r="K255" s="6" t="s">
        <x:v>566</x:v>
      </x:c>
      <x:c r="L255" s="6" t="s">
        <x:v>507</x:v>
      </x:c>
      <x:c r="M255" s="6" t="s">
        <x:v>567</x:v>
      </x:c>
      <x:c r="N255" s="6" t="s">
        <x:v>568</x:v>
      </x:c>
      <x:c r="O255" s="6" t="s">
        <x:v>341</x:v>
      </x:c>
      <x:c r="P255" s="9"/>
      <x:c r="Q255" s="9"/>
      <x:c r="R255" s="9"/>
      <x:c r="S255" s="9"/>
      <x:c r="T255" s="9"/>
      <x:c r="U255" s="9"/>
      <x:c r="V255" s="9"/>
      <x:c r="W255" s="9"/>
      <x:c r="X255" s="12" t="str">
        <x:f t="shared" si="15"/>
      </x:c>
      <x:c r="Y255" s="12" t="str">
        <x:f t="shared" si="16"/>
      </x:c>
      <x:c r="Z255" s="9" t="s">
        <x:v>870</x:v>
      </x:c>
      <x:c r="AA255" s="9"/>
      <x:c r="AB255" s="9"/>
      <x:c r="AC255" s="9"/>
      <x:c r="AD255" s="9"/>
      <x:c r="AE255" s="9"/>
      <x:c r="AF255" s="9"/>
      <x:c r="AG255" s="9"/>
      <x:c r="AH255" s="9"/>
      <x:c r="AI255" s="9"/>
      <x:c r="AJ255" s="9"/>
      <x:c r="AK255" s="9"/>
      <x:c r="AL255" s="12" t="str">
        <x:f t="shared" si="17"/>
      </x:c>
      <x:c r="AM255" s="11" t="str">
        <x:f t="shared" si="18"/>
      </x:c>
      <x:c r="AN255" s="11" t="str">
        <x:f t="shared" si="19"/>
      </x:c>
      <x:c r="AO255" s="9"/>
      <x:c r="AP255" s="9"/>
      <x:c r="AQ255" s="27" t="s">
        <x:v>565</x:v>
      </x:c>
    </x:row>
    <x:row r="256" ht="118.05000305175781" customHeight="1">
      <x:c r="A256" s="6" t="s">
        <x:v>1144</x:v>
      </x:c>
      <x:c r="B256" s="6" t="s">
        <x:v>569</x:v>
      </x:c>
      <x:c r="C256" s="6" t="s">
        <x:v>55</x:v>
      </x:c>
      <x:c r="D256" s="6" t="s">
        <x:v>570</x:v>
      </x:c>
      <x:c r="E256" s="6" t="s">
        <x:v>268</x:v>
      </x:c>
      <x:c r="F256" s="6" t="s">
        <x:v>571</x:v>
      </x:c>
      <x:c r="G256" s="6" t="s">
        <x:v>271</x:v>
      </x:c>
      <x:c r="H256" s="6" t="s">
        <x:v>721</x:v>
      </x:c>
      <x:c r="I256" s="6" t="s">
        <x:v>1034</x:v>
      </x:c>
      <x:c r="J256" s="6" t="s">
        <x:v>1035</x:v>
      </x:c>
      <x:c r="K256" s="6" t="s">
        <x:v>573</x:v>
      </x:c>
      <x:c r="L256" s="6" t="s">
        <x:v>507</x:v>
      </x:c>
      <x:c r="M256" s="6" t="s">
        <x:v>574</x:v>
      </x:c>
      <x:c r="N256" s="6" t="s">
        <x:v>575</x:v>
      </x:c>
      <x:c r="O256" s="6" t="s">
        <x:v>576</x:v>
      </x:c>
      <x:c r="P256" s="9"/>
      <x:c r="Q256" s="9"/>
      <x:c r="R256" s="9"/>
      <x:c r="S256" s="9"/>
      <x:c r="T256" s="9"/>
      <x:c r="U256" s="9"/>
      <x:c r="V256" s="9"/>
      <x:c r="W256" s="9"/>
      <x:c r="X256" s="12" t="str">
        <x:f t="shared" si="15"/>
      </x:c>
      <x:c r="Y256" s="12" t="str">
        <x:f t="shared" si="16"/>
      </x:c>
      <x:c r="Z256" s="9" t="s">
        <x:v>870</x:v>
      </x:c>
      <x:c r="AA256" s="9"/>
      <x:c r="AB256" s="9"/>
      <x:c r="AC256" s="9"/>
      <x:c r="AD256" s="9"/>
      <x:c r="AE256" s="9"/>
      <x:c r="AF256" s="9"/>
      <x:c r="AG256" s="9"/>
      <x:c r="AH256" s="9"/>
      <x:c r="AI256" s="9"/>
      <x:c r="AJ256" s="9"/>
      <x:c r="AK256" s="9"/>
      <x:c r="AL256" s="12" t="str">
        <x:f t="shared" si="17"/>
      </x:c>
      <x:c r="AM256" s="11" t="str">
        <x:f t="shared" si="18"/>
      </x:c>
      <x:c r="AN256" s="11" t="str">
        <x:f t="shared" si="19"/>
      </x:c>
      <x:c r="AO256" s="9"/>
      <x:c r="AP256" s="9"/>
      <x:c r="AQ256" s="27" t="s">
        <x:v>572</x:v>
      </x:c>
    </x:row>
    <x:row r="257" ht="118.05000305175781" customHeight="1">
      <x:c r="A257" s="6" t="s">
        <x:v>1145</x:v>
      </x:c>
      <x:c r="B257" s="6" t="s">
        <x:v>569</x:v>
      </x:c>
      <x:c r="C257" s="6" t="s">
        <x:v>55</x:v>
      </x:c>
      <x:c r="D257" s="6" t="s">
        <x:v>570</x:v>
      </x:c>
      <x:c r="E257" s="6" t="s">
        <x:v>268</x:v>
      </x:c>
      <x:c r="F257" s="6" t="s">
        <x:v>571</x:v>
      </x:c>
      <x:c r="G257" s="6" t="s">
        <x:v>271</x:v>
      </x:c>
      <x:c r="H257" s="6" t="s">
        <x:v>721</x:v>
      </x:c>
      <x:c r="I257" s="6" t="s">
        <x:v>1046</x:v>
      </x:c>
      <x:c r="J257" s="6" t="s">
        <x:v>1047</x:v>
      </x:c>
      <x:c r="K257" s="6" t="s">
        <x:v>573</x:v>
      </x:c>
      <x:c r="L257" s="6" t="s">
        <x:v>507</x:v>
      </x:c>
      <x:c r="M257" s="6" t="s">
        <x:v>574</x:v>
      </x:c>
      <x:c r="N257" s="6" t="s">
        <x:v>575</x:v>
      </x:c>
      <x:c r="O257" s="6" t="s">
        <x:v>576</x:v>
      </x:c>
      <x:c r="P257" s="9"/>
      <x:c r="Q257" s="9"/>
      <x:c r="R257" s="9"/>
      <x:c r="S257" s="9"/>
      <x:c r="T257" s="9"/>
      <x:c r="U257" s="9"/>
      <x:c r="V257" s="9"/>
      <x:c r="W257" s="9"/>
      <x:c r="X257" s="12" t="str">
        <x:f t="shared" si="15"/>
      </x:c>
      <x:c r="Y257" s="12" t="str">
        <x:f t="shared" si="16"/>
      </x:c>
      <x:c r="Z257" s="9" t="s">
        <x:v>870</x:v>
      </x:c>
      <x:c r="AA257" s="9"/>
      <x:c r="AB257" s="9"/>
      <x:c r="AC257" s="9"/>
      <x:c r="AD257" s="9"/>
      <x:c r="AE257" s="9"/>
      <x:c r="AF257" s="9"/>
      <x:c r="AG257" s="9"/>
      <x:c r="AH257" s="9"/>
      <x:c r="AI257" s="9"/>
      <x:c r="AJ257" s="9"/>
      <x:c r="AK257" s="9"/>
      <x:c r="AL257" s="12" t="str">
        <x:f t="shared" si="17"/>
      </x:c>
      <x:c r="AM257" s="11" t="str">
        <x:f t="shared" si="18"/>
      </x:c>
      <x:c r="AN257" s="11" t="str">
        <x:f t="shared" si="19"/>
      </x:c>
      <x:c r="AO257" s="9"/>
      <x:c r="AP257" s="9"/>
      <x:c r="AQ257" s="27" t="s">
        <x:v>572</x:v>
      </x:c>
    </x:row>
    <x:row r="258" ht="118.05000305175781" customHeight="1">
      <x:c r="A258" s="6" t="s">
        <x:v>1146</x:v>
      </x:c>
      <x:c r="B258" s="6" t="s">
        <x:v>577</x:v>
      </x:c>
      <x:c r="C258" s="6" t="s">
        <x:v>60</x:v>
      </x:c>
      <x:c r="D258" s="6" t="s">
        <x:v>578</x:v>
      </x:c>
      <x:c r="E258" s="6" t="s">
        <x:v>192</x:v>
      </x:c>
      <x:c r="F258" s="6" t="s">
        <x:v>579</x:v>
      </x:c>
      <x:c r="G258" s="6" t="s">
        <x:v>696</x:v>
      </x:c>
      <x:c r="H258" s="6" t="s">
        <x:v>698</x:v>
      </x:c>
      <x:c r="I258" s="6" t="s">
        <x:v>1046</x:v>
      </x:c>
      <x:c r="J258" s="6" t="s">
        <x:v>1047</x:v>
      </x:c>
      <x:c r="K258" s="6" t="s">
        <x:v>581</x:v>
      </x:c>
      <x:c r="L258" s="6" t="s">
        <x:v>582</x:v>
      </x:c>
      <x:c r="M258" s="6" t="s">
        <x:v>583</x:v>
      </x:c>
      <x:c r="N258" s="6" t="s">
        <x:v>584</x:v>
      </x:c>
      <x:c r="O258" s="6" t="s">
        <x:v>585</x:v>
      </x:c>
      <x:c r="P258" s="9"/>
      <x:c r="Q258" s="9"/>
      <x:c r="R258" s="9"/>
      <x:c r="S258" s="9"/>
      <x:c r="T258" s="9"/>
      <x:c r="U258" s="9"/>
      <x:c r="V258" s="9"/>
      <x:c r="W258" s="9"/>
      <x:c r="X258" s="12" t="str">
        <x:f t="shared" ref="X258:X311" si="20">IF(OR(R258="",R258-AP258&lt;=0),"",AB258/(R258-AP258))</x:f>
      </x:c>
      <x:c r="Y258" s="12" t="str">
        <x:f t="shared" ref="Y258:Y311" si="21">IF(OR(Q258="",Q258=0),"",R258/Q258)</x:f>
      </x:c>
      <x:c r="Z258" s="9" t="s">
        <x:v>870</x:v>
      </x:c>
      <x:c r="AA258" s="9"/>
      <x:c r="AB258" s="9"/>
      <x:c r="AC258" s="9"/>
      <x:c r="AD258" s="9"/>
      <x:c r="AE258" s="9"/>
      <x:c r="AF258" s="9"/>
      <x:c r="AG258" s="9"/>
      <x:c r="AH258" s="9"/>
      <x:c r="AI258" s="9"/>
      <x:c r="AJ258" s="9"/>
      <x:c r="AK258" s="9"/>
      <x:c r="AL258" s="12" t="str">
        <x:f t="shared" ref="AL258:AL311" si="22">IF(OR(R258="",R258-AP258&lt;=0),"",AO258/(R258-AP258))</x:f>
      </x:c>
      <x:c r="AM258" s="11" t="str">
        <x:f t="shared" ref="AM258:AM311" si="23">IF(R258="","",SUM(AC258:AF258)-(R258-AP258))</x:f>
      </x:c>
      <x:c r="AN258" s="11" t="str">
        <x:f t="shared" ref="AN258:AN311" si="24">IF(R258="","",SUM(S258:W258)+AP258-R258)</x:f>
      </x:c>
      <x:c r="AO258" s="9"/>
      <x:c r="AP258" s="9"/>
      <x:c r="AQ258" s="27" t="s">
        <x:v>580</x:v>
      </x:c>
    </x:row>
    <x:row r="259" ht="118.05000305175781" customHeight="1">
      <x:c r="A259" s="6" t="s">
        <x:v>1147</x:v>
      </x:c>
      <x:c r="B259" s="6" t="s">
        <x:v>577</x:v>
      </x:c>
      <x:c r="C259" s="6" t="s">
        <x:v>60</x:v>
      </x:c>
      <x:c r="D259" s="6" t="s">
        <x:v>578</x:v>
      </x:c>
      <x:c r="E259" s="6" t="s">
        <x:v>192</x:v>
      </x:c>
      <x:c r="F259" s="6" t="s">
        <x:v>579</x:v>
      </x:c>
      <x:c r="G259" s="6" t="s">
        <x:v>696</x:v>
      </x:c>
      <x:c r="H259" s="6" t="s">
        <x:v>698</x:v>
      </x:c>
      <x:c r="I259" s="6" t="s">
        <x:v>1068</x:v>
      </x:c>
      <x:c r="J259" s="6" t="s">
        <x:v>1069</x:v>
      </x:c>
      <x:c r="K259" s="6" t="s">
        <x:v>581</x:v>
      </x:c>
      <x:c r="L259" s="6" t="s">
        <x:v>582</x:v>
      </x:c>
      <x:c r="M259" s="6" t="s">
        <x:v>583</x:v>
      </x:c>
      <x:c r="N259" s="6" t="s">
        <x:v>584</x:v>
      </x:c>
      <x:c r="O259" s="6" t="s">
        <x:v>585</x:v>
      </x:c>
      <x:c r="P259" s="9"/>
      <x:c r="Q259" s="9"/>
      <x:c r="R259" s="9"/>
      <x:c r="S259" s="9"/>
      <x:c r="T259" s="9"/>
      <x:c r="U259" s="9"/>
      <x:c r="V259" s="9"/>
      <x:c r="W259" s="9"/>
      <x:c r="X259" s="12" t="str">
        <x:f t="shared" si="20"/>
      </x:c>
      <x:c r="Y259" s="12" t="str">
        <x:f t="shared" si="21"/>
      </x:c>
      <x:c r="Z259" s="9" t="s">
        <x:v>870</x:v>
      </x:c>
      <x:c r="AA259" s="9"/>
      <x:c r="AB259" s="9"/>
      <x:c r="AC259" s="9"/>
      <x:c r="AD259" s="9"/>
      <x:c r="AE259" s="9"/>
      <x:c r="AF259" s="9"/>
      <x:c r="AG259" s="9"/>
      <x:c r="AH259" s="9"/>
      <x:c r="AI259" s="9"/>
      <x:c r="AJ259" s="9"/>
      <x:c r="AK259" s="9"/>
      <x:c r="AL259" s="12" t="str">
        <x:f t="shared" si="22"/>
      </x:c>
      <x:c r="AM259" s="11" t="str">
        <x:f t="shared" si="23"/>
      </x:c>
      <x:c r="AN259" s="11" t="str">
        <x:f t="shared" si="24"/>
      </x:c>
      <x:c r="AO259" s="9"/>
      <x:c r="AP259" s="9"/>
      <x:c r="AQ259" s="27" t="s">
        <x:v>580</x:v>
      </x:c>
    </x:row>
    <x:row r="260" ht="118.05000305175781" customHeight="1">
      <x:c r="A260" s="6" t="s">
        <x:v>1148</x:v>
      </x:c>
      <x:c r="B260" s="6" t="s">
        <x:v>577</x:v>
      </x:c>
      <x:c r="C260" s="6" t="s">
        <x:v>60</x:v>
      </x:c>
      <x:c r="D260" s="6" t="s">
        <x:v>578</x:v>
      </x:c>
      <x:c r="E260" s="6" t="s">
        <x:v>192</x:v>
      </x:c>
      <x:c r="F260" s="6" t="s">
        <x:v>579</x:v>
      </x:c>
      <x:c r="G260" s="6" t="s">
        <x:v>702</x:v>
      </x:c>
      <x:c r="H260" s="6" t="s">
        <x:v>704</x:v>
      </x:c>
      <x:c r="I260" s="6" t="s">
        <x:v>1046</x:v>
      </x:c>
      <x:c r="J260" s="6" t="s">
        <x:v>1047</x:v>
      </x:c>
      <x:c r="K260" s="6" t="s">
        <x:v>581</x:v>
      </x:c>
      <x:c r="L260" s="6" t="s">
        <x:v>582</x:v>
      </x:c>
      <x:c r="M260" s="6" t="s">
        <x:v>583</x:v>
      </x:c>
      <x:c r="N260" s="6" t="s">
        <x:v>584</x:v>
      </x:c>
      <x:c r="O260" s="6" t="s">
        <x:v>585</x:v>
      </x:c>
      <x:c r="P260" s="9"/>
      <x:c r="Q260" s="9"/>
      <x:c r="R260" s="9"/>
      <x:c r="S260" s="9"/>
      <x:c r="T260" s="9"/>
      <x:c r="U260" s="9"/>
      <x:c r="V260" s="9"/>
      <x:c r="W260" s="9"/>
      <x:c r="X260" s="12" t="str">
        <x:f t="shared" si="20"/>
      </x:c>
      <x:c r="Y260" s="12" t="str">
        <x:f t="shared" si="21"/>
      </x:c>
      <x:c r="Z260" s="9" t="s">
        <x:v>870</x:v>
      </x:c>
      <x:c r="AA260" s="9"/>
      <x:c r="AB260" s="9"/>
      <x:c r="AC260" s="9"/>
      <x:c r="AD260" s="9"/>
      <x:c r="AE260" s="9"/>
      <x:c r="AF260" s="9"/>
      <x:c r="AG260" s="9"/>
      <x:c r="AH260" s="9"/>
      <x:c r="AI260" s="9"/>
      <x:c r="AJ260" s="9"/>
      <x:c r="AK260" s="9"/>
      <x:c r="AL260" s="12" t="str">
        <x:f t="shared" si="22"/>
      </x:c>
      <x:c r="AM260" s="11" t="str">
        <x:f t="shared" si="23"/>
      </x:c>
      <x:c r="AN260" s="11" t="str">
        <x:f t="shared" si="24"/>
      </x:c>
      <x:c r="AO260" s="9"/>
      <x:c r="AP260" s="9"/>
      <x:c r="AQ260" s="27" t="s">
        <x:v>580</x:v>
      </x:c>
    </x:row>
    <x:row r="261" ht="118.05000305175781" customHeight="1">
      <x:c r="A261" s="6" t="s">
        <x:v>1149</x:v>
      </x:c>
      <x:c r="B261" s="6" t="s">
        <x:v>577</x:v>
      </x:c>
      <x:c r="C261" s="6" t="s">
        <x:v>60</x:v>
      </x:c>
      <x:c r="D261" s="6" t="s">
        <x:v>578</x:v>
      </x:c>
      <x:c r="E261" s="6" t="s">
        <x:v>192</x:v>
      </x:c>
      <x:c r="F261" s="6" t="s">
        <x:v>579</x:v>
      </x:c>
      <x:c r="G261" s="6" t="s">
        <x:v>702</x:v>
      </x:c>
      <x:c r="H261" s="6" t="s">
        <x:v>704</x:v>
      </x:c>
      <x:c r="I261" s="6" t="s">
        <x:v>1068</x:v>
      </x:c>
      <x:c r="J261" s="6" t="s">
        <x:v>1069</x:v>
      </x:c>
      <x:c r="K261" s="6" t="s">
        <x:v>581</x:v>
      </x:c>
      <x:c r="L261" s="6" t="s">
        <x:v>582</x:v>
      </x:c>
      <x:c r="M261" s="6" t="s">
        <x:v>583</x:v>
      </x:c>
      <x:c r="N261" s="6" t="s">
        <x:v>584</x:v>
      </x:c>
      <x:c r="O261" s="6" t="s">
        <x:v>585</x:v>
      </x:c>
      <x:c r="P261" s="9"/>
      <x:c r="Q261" s="9"/>
      <x:c r="R261" s="9"/>
      <x:c r="S261" s="9"/>
      <x:c r="T261" s="9"/>
      <x:c r="U261" s="9"/>
      <x:c r="V261" s="9"/>
      <x:c r="W261" s="9"/>
      <x:c r="X261" s="12" t="str">
        <x:f t="shared" si="20"/>
      </x:c>
      <x:c r="Y261" s="12" t="str">
        <x:f t="shared" si="21"/>
      </x:c>
      <x:c r="Z261" s="9" t="s">
        <x:v>870</x:v>
      </x:c>
      <x:c r="AA261" s="9"/>
      <x:c r="AB261" s="9"/>
      <x:c r="AC261" s="9"/>
      <x:c r="AD261" s="9"/>
      <x:c r="AE261" s="9"/>
      <x:c r="AF261" s="9"/>
      <x:c r="AG261" s="9"/>
      <x:c r="AH261" s="9"/>
      <x:c r="AI261" s="9"/>
      <x:c r="AJ261" s="9"/>
      <x:c r="AK261" s="9"/>
      <x:c r="AL261" s="12" t="str">
        <x:f t="shared" si="22"/>
      </x:c>
      <x:c r="AM261" s="11" t="str">
        <x:f t="shared" si="23"/>
      </x:c>
      <x:c r="AN261" s="11" t="str">
        <x:f t="shared" si="24"/>
      </x:c>
      <x:c r="AO261" s="9"/>
      <x:c r="AP261" s="9"/>
      <x:c r="AQ261" s="27" t="s">
        <x:v>580</x:v>
      </x:c>
    </x:row>
    <x:row r="262" ht="118.05000305175781" customHeight="1">
      <x:c r="A262" s="6" t="s">
        <x:v>1150</x:v>
      </x:c>
      <x:c r="B262" s="6" t="s">
        <x:v>577</x:v>
      </x:c>
      <x:c r="C262" s="6" t="s">
        <x:v>60</x:v>
      </x:c>
      <x:c r="D262" s="6" t="s">
        <x:v>578</x:v>
      </x:c>
      <x:c r="E262" s="6" t="s">
        <x:v>192</x:v>
      </x:c>
      <x:c r="F262" s="6" t="s">
        <x:v>579</x:v>
      </x:c>
      <x:c r="G262" s="6" t="s">
        <x:v>707</x:v>
      </x:c>
      <x:c r="H262" s="6" t="s">
        <x:v>709</x:v>
      </x:c>
      <x:c r="I262" s="6" t="s">
        <x:v>1046</x:v>
      </x:c>
      <x:c r="J262" s="6" t="s">
        <x:v>1047</x:v>
      </x:c>
      <x:c r="K262" s="6" t="s">
        <x:v>581</x:v>
      </x:c>
      <x:c r="L262" s="6" t="s">
        <x:v>582</x:v>
      </x:c>
      <x:c r="M262" s="6" t="s">
        <x:v>583</x:v>
      </x:c>
      <x:c r="N262" s="6" t="s">
        <x:v>584</x:v>
      </x:c>
      <x:c r="O262" s="6" t="s">
        <x:v>585</x:v>
      </x:c>
      <x:c r="P262" s="9"/>
      <x:c r="Q262" s="9"/>
      <x:c r="R262" s="9"/>
      <x:c r="S262" s="9"/>
      <x:c r="T262" s="9"/>
      <x:c r="U262" s="9"/>
      <x:c r="V262" s="9"/>
      <x:c r="W262" s="9"/>
      <x:c r="X262" s="12" t="str">
        <x:f t="shared" si="20"/>
      </x:c>
      <x:c r="Y262" s="12" t="str">
        <x:f t="shared" si="21"/>
      </x:c>
      <x:c r="Z262" s="9" t="s">
        <x:v>870</x:v>
      </x:c>
      <x:c r="AA262" s="9"/>
      <x:c r="AB262" s="9"/>
      <x:c r="AC262" s="9"/>
      <x:c r="AD262" s="9"/>
      <x:c r="AE262" s="9"/>
      <x:c r="AF262" s="9"/>
      <x:c r="AG262" s="9"/>
      <x:c r="AH262" s="9"/>
      <x:c r="AI262" s="9"/>
      <x:c r="AJ262" s="9"/>
      <x:c r="AK262" s="9"/>
      <x:c r="AL262" s="12" t="str">
        <x:f t="shared" si="22"/>
      </x:c>
      <x:c r="AM262" s="11" t="str">
        <x:f t="shared" si="23"/>
      </x:c>
      <x:c r="AN262" s="11" t="str">
        <x:f t="shared" si="24"/>
      </x:c>
      <x:c r="AO262" s="9"/>
      <x:c r="AP262" s="9"/>
      <x:c r="AQ262" s="27" t="s">
        <x:v>580</x:v>
      </x:c>
    </x:row>
    <x:row r="263" ht="118.05000305175781" customHeight="1">
      <x:c r="A263" s="6" t="s">
        <x:v>1151</x:v>
      </x:c>
      <x:c r="B263" s="6" t="s">
        <x:v>577</x:v>
      </x:c>
      <x:c r="C263" s="6" t="s">
        <x:v>60</x:v>
      </x:c>
      <x:c r="D263" s="6" t="s">
        <x:v>578</x:v>
      </x:c>
      <x:c r="E263" s="6" t="s">
        <x:v>192</x:v>
      </x:c>
      <x:c r="F263" s="6" t="s">
        <x:v>579</x:v>
      </x:c>
      <x:c r="G263" s="6" t="s">
        <x:v>707</x:v>
      </x:c>
      <x:c r="H263" s="6" t="s">
        <x:v>709</x:v>
      </x:c>
      <x:c r="I263" s="6" t="s">
        <x:v>1068</x:v>
      </x:c>
      <x:c r="J263" s="6" t="s">
        <x:v>1069</x:v>
      </x:c>
      <x:c r="K263" s="6" t="s">
        <x:v>581</x:v>
      </x:c>
      <x:c r="L263" s="6" t="s">
        <x:v>582</x:v>
      </x:c>
      <x:c r="M263" s="6" t="s">
        <x:v>583</x:v>
      </x:c>
      <x:c r="N263" s="6" t="s">
        <x:v>584</x:v>
      </x:c>
      <x:c r="O263" s="6" t="s">
        <x:v>585</x:v>
      </x:c>
      <x:c r="P263" s="9"/>
      <x:c r="Q263" s="9"/>
      <x:c r="R263" s="9"/>
      <x:c r="S263" s="9"/>
      <x:c r="T263" s="9"/>
      <x:c r="U263" s="9"/>
      <x:c r="V263" s="9"/>
      <x:c r="W263" s="9"/>
      <x:c r="X263" s="12" t="str">
        <x:f t="shared" si="20"/>
      </x:c>
      <x:c r="Y263" s="12" t="str">
        <x:f t="shared" si="21"/>
      </x:c>
      <x:c r="Z263" s="9" t="s">
        <x:v>870</x:v>
      </x:c>
      <x:c r="AA263" s="9"/>
      <x:c r="AB263" s="9"/>
      <x:c r="AC263" s="9"/>
      <x:c r="AD263" s="9"/>
      <x:c r="AE263" s="9"/>
      <x:c r="AF263" s="9"/>
      <x:c r="AG263" s="9"/>
      <x:c r="AH263" s="9"/>
      <x:c r="AI263" s="9"/>
      <x:c r="AJ263" s="9"/>
      <x:c r="AK263" s="9"/>
      <x:c r="AL263" s="12" t="str">
        <x:f t="shared" si="22"/>
      </x:c>
      <x:c r="AM263" s="11" t="str">
        <x:f t="shared" si="23"/>
      </x:c>
      <x:c r="AN263" s="11" t="str">
        <x:f t="shared" si="24"/>
      </x:c>
      <x:c r="AO263" s="9"/>
      <x:c r="AP263" s="9"/>
      <x:c r="AQ263" s="27" t="s">
        <x:v>580</x:v>
      </x:c>
    </x:row>
    <x:row r="264" ht="118.05000305175781" customHeight="1">
      <x:c r="A264" s="6" t="s">
        <x:v>1152</x:v>
      </x:c>
      <x:c r="B264" s="6" t="s">
        <x:v>586</x:v>
      </x:c>
      <x:c r="C264" s="6" t="s">
        <x:v>60</x:v>
      </x:c>
      <x:c r="D264" s="6" t="s">
        <x:v>587</x:v>
      </x:c>
      <x:c r="E264" s="6" t="s">
        <x:v>205</x:v>
      </x:c>
      <x:c r="F264" s="6" t="s">
        <x:v>588</x:v>
      </x:c>
      <x:c r="G264" s="6" t="s">
        <x:v>696</x:v>
      </x:c>
      <x:c r="H264" s="6" t="s">
        <x:v>698</x:v>
      </x:c>
      <x:c r="I264" s="6" t="s">
        <x:v>1046</x:v>
      </x:c>
      <x:c r="J264" s="6" t="s">
        <x:v>1047</x:v>
      </x:c>
      <x:c r="K264" s="6" t="s">
        <x:v>581</x:v>
      </x:c>
      <x:c r="L264" s="6" t="s">
        <x:v>582</x:v>
      </x:c>
      <x:c r="M264" s="6" t="s">
        <x:v>590</x:v>
      </x:c>
      <x:c r="N264" s="6" t="s">
        <x:v>591</x:v>
      </x:c>
      <x:c r="O264" s="6" t="s">
        <x:v>592</x:v>
      </x:c>
      <x:c r="P264" s="9"/>
      <x:c r="Q264" s="9"/>
      <x:c r="R264" s="9"/>
      <x:c r="S264" s="9"/>
      <x:c r="T264" s="9"/>
      <x:c r="U264" s="9"/>
      <x:c r="V264" s="9"/>
      <x:c r="W264" s="9"/>
      <x:c r="X264" s="12" t="str">
        <x:f t="shared" si="20"/>
      </x:c>
      <x:c r="Y264" s="12" t="str">
        <x:f t="shared" si="21"/>
      </x:c>
      <x:c r="Z264" s="9" t="s">
        <x:v>870</x:v>
      </x:c>
      <x:c r="AA264" s="9"/>
      <x:c r="AB264" s="9"/>
      <x:c r="AC264" s="9"/>
      <x:c r="AD264" s="9"/>
      <x:c r="AE264" s="9"/>
      <x:c r="AF264" s="9"/>
      <x:c r="AG264" s="9"/>
      <x:c r="AH264" s="9"/>
      <x:c r="AI264" s="9"/>
      <x:c r="AJ264" s="9"/>
      <x:c r="AK264" s="9"/>
      <x:c r="AL264" s="12" t="str">
        <x:f t="shared" si="22"/>
      </x:c>
      <x:c r="AM264" s="11" t="str">
        <x:f t="shared" si="23"/>
      </x:c>
      <x:c r="AN264" s="11" t="str">
        <x:f t="shared" si="24"/>
      </x:c>
      <x:c r="AO264" s="9"/>
      <x:c r="AP264" s="9"/>
      <x:c r="AQ264" s="27" t="s">
        <x:v>589</x:v>
      </x:c>
    </x:row>
    <x:row r="265" ht="118.05000305175781" customHeight="1">
      <x:c r="A265" s="6" t="s">
        <x:v>1153</x:v>
      </x:c>
      <x:c r="B265" s="6" t="s">
        <x:v>586</x:v>
      </x:c>
      <x:c r="C265" s="6" t="s">
        <x:v>60</x:v>
      </x:c>
      <x:c r="D265" s="6" t="s">
        <x:v>587</x:v>
      </x:c>
      <x:c r="E265" s="6" t="s">
        <x:v>205</x:v>
      </x:c>
      <x:c r="F265" s="6" t="s">
        <x:v>588</x:v>
      </x:c>
      <x:c r="G265" s="6" t="s">
        <x:v>696</x:v>
      </x:c>
      <x:c r="H265" s="6" t="s">
        <x:v>698</x:v>
      </x:c>
      <x:c r="I265" s="6" t="s">
        <x:v>1068</x:v>
      </x:c>
      <x:c r="J265" s="6" t="s">
        <x:v>1069</x:v>
      </x:c>
      <x:c r="K265" s="6" t="s">
        <x:v>581</x:v>
      </x:c>
      <x:c r="L265" s="6" t="s">
        <x:v>582</x:v>
      </x:c>
      <x:c r="M265" s="6" t="s">
        <x:v>590</x:v>
      </x:c>
      <x:c r="N265" s="6" t="s">
        <x:v>591</x:v>
      </x:c>
      <x:c r="O265" s="6" t="s">
        <x:v>592</x:v>
      </x:c>
      <x:c r="P265" s="9"/>
      <x:c r="Q265" s="9"/>
      <x:c r="R265" s="9"/>
      <x:c r="S265" s="9"/>
      <x:c r="T265" s="9"/>
      <x:c r="U265" s="9"/>
      <x:c r="V265" s="9"/>
      <x:c r="W265" s="9"/>
      <x:c r="X265" s="12" t="str">
        <x:f t="shared" si="20"/>
      </x:c>
      <x:c r="Y265" s="12" t="str">
        <x:f t="shared" si="21"/>
      </x:c>
      <x:c r="Z265" s="9" t="s">
        <x:v>870</x:v>
      </x:c>
      <x:c r="AA265" s="9"/>
      <x:c r="AB265" s="9"/>
      <x:c r="AC265" s="9"/>
      <x:c r="AD265" s="9"/>
      <x:c r="AE265" s="9"/>
      <x:c r="AF265" s="9"/>
      <x:c r="AG265" s="9"/>
      <x:c r="AH265" s="9"/>
      <x:c r="AI265" s="9"/>
      <x:c r="AJ265" s="9"/>
      <x:c r="AK265" s="9"/>
      <x:c r="AL265" s="12" t="str">
        <x:f t="shared" si="22"/>
      </x:c>
      <x:c r="AM265" s="11" t="str">
        <x:f t="shared" si="23"/>
      </x:c>
      <x:c r="AN265" s="11" t="str">
        <x:f t="shared" si="24"/>
      </x:c>
      <x:c r="AO265" s="9"/>
      <x:c r="AP265" s="9"/>
      <x:c r="AQ265" s="27" t="s">
        <x:v>589</x:v>
      </x:c>
    </x:row>
    <x:row r="266" ht="118.05000305175781" customHeight="1">
      <x:c r="A266" s="6" t="s">
        <x:v>1154</x:v>
      </x:c>
      <x:c r="B266" s="6" t="s">
        <x:v>586</x:v>
      </x:c>
      <x:c r="C266" s="6" t="s">
        <x:v>60</x:v>
      </x:c>
      <x:c r="D266" s="6" t="s">
        <x:v>587</x:v>
      </x:c>
      <x:c r="E266" s="6" t="s">
        <x:v>205</x:v>
      </x:c>
      <x:c r="F266" s="6" t="s">
        <x:v>588</x:v>
      </x:c>
      <x:c r="G266" s="6" t="s">
        <x:v>707</x:v>
      </x:c>
      <x:c r="H266" s="6" t="s">
        <x:v>709</x:v>
      </x:c>
      <x:c r="I266" s="6" t="s">
        <x:v>1046</x:v>
      </x:c>
      <x:c r="J266" s="6" t="s">
        <x:v>1047</x:v>
      </x:c>
      <x:c r="K266" s="6" t="s">
        <x:v>581</x:v>
      </x:c>
      <x:c r="L266" s="6" t="s">
        <x:v>582</x:v>
      </x:c>
      <x:c r="M266" s="6" t="s">
        <x:v>590</x:v>
      </x:c>
      <x:c r="N266" s="6" t="s">
        <x:v>591</x:v>
      </x:c>
      <x:c r="O266" s="6" t="s">
        <x:v>592</x:v>
      </x:c>
      <x:c r="P266" s="9"/>
      <x:c r="Q266" s="9"/>
      <x:c r="R266" s="9"/>
      <x:c r="S266" s="9"/>
      <x:c r="T266" s="9"/>
      <x:c r="U266" s="9"/>
      <x:c r="V266" s="9"/>
      <x:c r="W266" s="9"/>
      <x:c r="X266" s="12" t="str">
        <x:f t="shared" si="20"/>
      </x:c>
      <x:c r="Y266" s="12" t="str">
        <x:f t="shared" si="21"/>
      </x:c>
      <x:c r="Z266" s="9" t="s">
        <x:v>870</x:v>
      </x:c>
      <x:c r="AA266" s="9"/>
      <x:c r="AB266" s="9"/>
      <x:c r="AC266" s="9"/>
      <x:c r="AD266" s="9"/>
      <x:c r="AE266" s="9"/>
      <x:c r="AF266" s="9"/>
      <x:c r="AG266" s="9"/>
      <x:c r="AH266" s="9"/>
      <x:c r="AI266" s="9"/>
      <x:c r="AJ266" s="9"/>
      <x:c r="AK266" s="9"/>
      <x:c r="AL266" s="12" t="str">
        <x:f t="shared" si="22"/>
      </x:c>
      <x:c r="AM266" s="11" t="str">
        <x:f t="shared" si="23"/>
      </x:c>
      <x:c r="AN266" s="11" t="str">
        <x:f t="shared" si="24"/>
      </x:c>
      <x:c r="AO266" s="9"/>
      <x:c r="AP266" s="9"/>
      <x:c r="AQ266" s="27" t="s">
        <x:v>589</x:v>
      </x:c>
    </x:row>
    <x:row r="267" ht="118.05000305175781" customHeight="1">
      <x:c r="A267" s="6" t="s">
        <x:v>1155</x:v>
      </x:c>
      <x:c r="B267" s="6" t="s">
        <x:v>586</x:v>
      </x:c>
      <x:c r="C267" s="6" t="s">
        <x:v>60</x:v>
      </x:c>
      <x:c r="D267" s="6" t="s">
        <x:v>587</x:v>
      </x:c>
      <x:c r="E267" s="6" t="s">
        <x:v>205</x:v>
      </x:c>
      <x:c r="F267" s="6" t="s">
        <x:v>588</x:v>
      </x:c>
      <x:c r="G267" s="6" t="s">
        <x:v>707</x:v>
      </x:c>
      <x:c r="H267" s="6" t="s">
        <x:v>709</x:v>
      </x:c>
      <x:c r="I267" s="6" t="s">
        <x:v>1068</x:v>
      </x:c>
      <x:c r="J267" s="6" t="s">
        <x:v>1069</x:v>
      </x:c>
      <x:c r="K267" s="6" t="s">
        <x:v>581</x:v>
      </x:c>
      <x:c r="L267" s="6" t="s">
        <x:v>582</x:v>
      </x:c>
      <x:c r="M267" s="6" t="s">
        <x:v>590</x:v>
      </x:c>
      <x:c r="N267" s="6" t="s">
        <x:v>591</x:v>
      </x:c>
      <x:c r="O267" s="6" t="s">
        <x:v>592</x:v>
      </x:c>
      <x:c r="P267" s="9"/>
      <x:c r="Q267" s="9"/>
      <x:c r="R267" s="9"/>
      <x:c r="S267" s="9"/>
      <x:c r="T267" s="9"/>
      <x:c r="U267" s="9"/>
      <x:c r="V267" s="9"/>
      <x:c r="W267" s="9"/>
      <x:c r="X267" s="12" t="str">
        <x:f t="shared" si="20"/>
      </x:c>
      <x:c r="Y267" s="12" t="str">
        <x:f t="shared" si="21"/>
      </x:c>
      <x:c r="Z267" s="9" t="s">
        <x:v>870</x:v>
      </x:c>
      <x:c r="AA267" s="9"/>
      <x:c r="AB267" s="9"/>
      <x:c r="AC267" s="9"/>
      <x:c r="AD267" s="9"/>
      <x:c r="AE267" s="9"/>
      <x:c r="AF267" s="9"/>
      <x:c r="AG267" s="9"/>
      <x:c r="AH267" s="9"/>
      <x:c r="AI267" s="9"/>
      <x:c r="AJ267" s="9"/>
      <x:c r="AK267" s="9"/>
      <x:c r="AL267" s="12" t="str">
        <x:f t="shared" si="22"/>
      </x:c>
      <x:c r="AM267" s="11" t="str">
        <x:f t="shared" si="23"/>
      </x:c>
      <x:c r="AN267" s="11" t="str">
        <x:f t="shared" si="24"/>
      </x:c>
      <x:c r="AO267" s="9"/>
      <x:c r="AP267" s="9"/>
      <x:c r="AQ267" s="27" t="s">
        <x:v>589</x:v>
      </x:c>
    </x:row>
    <x:row r="268" ht="118.05000305175781" customHeight="1">
      <x:c r="A268" s="6" t="s">
        <x:v>1156</x:v>
      </x:c>
      <x:c r="B268" s="6" t="s">
        <x:v>593</x:v>
      </x:c>
      <x:c r="C268" s="6" t="s">
        <x:v>60</x:v>
      </x:c>
      <x:c r="D268" s="6" t="s">
        <x:v>594</x:v>
      </x:c>
      <x:c r="E268" s="6" t="s">
        <x:v>214</x:v>
      </x:c>
      <x:c r="F268" s="6" t="s">
        <x:v>595</x:v>
      </x:c>
      <x:c r="G268" s="6" t="s">
        <x:v>696</x:v>
      </x:c>
      <x:c r="H268" s="6" t="s">
        <x:v>698</x:v>
      </x:c>
      <x:c r="I268" s="6" t="s">
        <x:v>1031</x:v>
      </x:c>
      <x:c r="J268" s="6" t="s">
        <x:v>1032</x:v>
      </x:c>
      <x:c r="K268" s="6" t="s">
        <x:v>597</x:v>
      </x:c>
      <x:c r="L268" s="6" t="s">
        <x:v>582</x:v>
      </x:c>
      <x:c r="M268" s="6" t="s">
        <x:v>598</x:v>
      </x:c>
      <x:c r="N268" s="6" t="s">
        <x:v>599</x:v>
      </x:c>
      <x:c r="O268" s="6" t="s">
        <x:v>230</x:v>
      </x:c>
      <x:c r="P268" s="9"/>
      <x:c r="Q268" s="9"/>
      <x:c r="R268" s="9"/>
      <x:c r="S268" s="9"/>
      <x:c r="T268" s="9"/>
      <x:c r="U268" s="9"/>
      <x:c r="V268" s="9"/>
      <x:c r="W268" s="9"/>
      <x:c r="X268" s="12" t="str">
        <x:f t="shared" si="20"/>
      </x:c>
      <x:c r="Y268" s="12" t="str">
        <x:f t="shared" si="21"/>
      </x:c>
      <x:c r="Z268" s="9" t="s">
        <x:v>870</x:v>
      </x:c>
      <x:c r="AA268" s="9"/>
      <x:c r="AB268" s="9"/>
      <x:c r="AC268" s="9"/>
      <x:c r="AD268" s="9"/>
      <x:c r="AE268" s="9"/>
      <x:c r="AF268" s="9"/>
      <x:c r="AG268" s="9"/>
      <x:c r="AH268" s="9"/>
      <x:c r="AI268" s="9"/>
      <x:c r="AJ268" s="9"/>
      <x:c r="AK268" s="9"/>
      <x:c r="AL268" s="12" t="str">
        <x:f t="shared" si="22"/>
      </x:c>
      <x:c r="AM268" s="11" t="str">
        <x:f t="shared" si="23"/>
      </x:c>
      <x:c r="AN268" s="11" t="str">
        <x:f t="shared" si="24"/>
      </x:c>
      <x:c r="AO268" s="9"/>
      <x:c r="AP268" s="9"/>
      <x:c r="AQ268" s="27" t="s">
        <x:v>596</x:v>
      </x:c>
    </x:row>
    <x:row r="269" ht="118.05000305175781" customHeight="1">
      <x:c r="A269" s="6" t="s">
        <x:v>1157</x:v>
      </x:c>
      <x:c r="B269" s="6" t="s">
        <x:v>593</x:v>
      </x:c>
      <x:c r="C269" s="6" t="s">
        <x:v>60</x:v>
      </x:c>
      <x:c r="D269" s="6" t="s">
        <x:v>594</x:v>
      </x:c>
      <x:c r="E269" s="6" t="s">
        <x:v>214</x:v>
      </x:c>
      <x:c r="F269" s="6" t="s">
        <x:v>595</x:v>
      </x:c>
      <x:c r="G269" s="6" t="s">
        <x:v>696</x:v>
      </x:c>
      <x:c r="H269" s="6" t="s">
        <x:v>698</x:v>
      </x:c>
      <x:c r="I269" s="6" t="s">
        <x:v>1034</x:v>
      </x:c>
      <x:c r="J269" s="6" t="s">
        <x:v>1035</x:v>
      </x:c>
      <x:c r="K269" s="6" t="s">
        <x:v>597</x:v>
      </x:c>
      <x:c r="L269" s="6" t="s">
        <x:v>582</x:v>
      </x:c>
      <x:c r="M269" s="6" t="s">
        <x:v>598</x:v>
      </x:c>
      <x:c r="N269" s="6" t="s">
        <x:v>599</x:v>
      </x:c>
      <x:c r="O269" s="6" t="s">
        <x:v>230</x:v>
      </x:c>
      <x:c r="P269" s="9"/>
      <x:c r="Q269" s="9"/>
      <x:c r="R269" s="9"/>
      <x:c r="S269" s="9"/>
      <x:c r="T269" s="9"/>
      <x:c r="U269" s="9"/>
      <x:c r="V269" s="9"/>
      <x:c r="W269" s="9"/>
      <x:c r="X269" s="12" t="str">
        <x:f t="shared" si="20"/>
      </x:c>
      <x:c r="Y269" s="12" t="str">
        <x:f t="shared" si="21"/>
      </x:c>
      <x:c r="Z269" s="9" t="s">
        <x:v>870</x:v>
      </x:c>
      <x:c r="AA269" s="9"/>
      <x:c r="AB269" s="9"/>
      <x:c r="AC269" s="9"/>
      <x:c r="AD269" s="9"/>
      <x:c r="AE269" s="9"/>
      <x:c r="AF269" s="9"/>
      <x:c r="AG269" s="9"/>
      <x:c r="AH269" s="9"/>
      <x:c r="AI269" s="9"/>
      <x:c r="AJ269" s="9"/>
      <x:c r="AK269" s="9"/>
      <x:c r="AL269" s="12" t="str">
        <x:f t="shared" si="22"/>
      </x:c>
      <x:c r="AM269" s="11" t="str">
        <x:f t="shared" si="23"/>
      </x:c>
      <x:c r="AN269" s="11" t="str">
        <x:f t="shared" si="24"/>
      </x:c>
      <x:c r="AO269" s="9"/>
      <x:c r="AP269" s="9"/>
      <x:c r="AQ269" s="27" t="s">
        <x:v>596</x:v>
      </x:c>
    </x:row>
    <x:row r="270" ht="118.05000305175781" customHeight="1">
      <x:c r="A270" s="6" t="s">
        <x:v>1158</x:v>
      </x:c>
      <x:c r="B270" s="6" t="s">
        <x:v>593</x:v>
      </x:c>
      <x:c r="C270" s="6" t="s">
        <x:v>60</x:v>
      </x:c>
      <x:c r="D270" s="6" t="s">
        <x:v>594</x:v>
      </x:c>
      <x:c r="E270" s="6" t="s">
        <x:v>214</x:v>
      </x:c>
      <x:c r="F270" s="6" t="s">
        <x:v>595</x:v>
      </x:c>
      <x:c r="G270" s="6" t="s">
        <x:v>707</x:v>
      </x:c>
      <x:c r="H270" s="6" t="s">
        <x:v>709</x:v>
      </x:c>
      <x:c r="I270" s="6" t="s">
        <x:v>1031</x:v>
      </x:c>
      <x:c r="J270" s="6" t="s">
        <x:v>1032</x:v>
      </x:c>
      <x:c r="K270" s="6" t="s">
        <x:v>597</x:v>
      </x:c>
      <x:c r="L270" s="6" t="s">
        <x:v>582</x:v>
      </x:c>
      <x:c r="M270" s="6" t="s">
        <x:v>598</x:v>
      </x:c>
      <x:c r="N270" s="6" t="s">
        <x:v>599</x:v>
      </x:c>
      <x:c r="O270" s="6" t="s">
        <x:v>230</x:v>
      </x:c>
      <x:c r="P270" s="9"/>
      <x:c r="Q270" s="9"/>
      <x:c r="R270" s="9"/>
      <x:c r="S270" s="9"/>
      <x:c r="T270" s="9"/>
      <x:c r="U270" s="9"/>
      <x:c r="V270" s="9"/>
      <x:c r="W270" s="9"/>
      <x:c r="X270" s="12" t="str">
        <x:f t="shared" si="20"/>
      </x:c>
      <x:c r="Y270" s="12" t="str">
        <x:f t="shared" si="21"/>
      </x:c>
      <x:c r="Z270" s="9" t="s">
        <x:v>870</x:v>
      </x:c>
      <x:c r="AA270" s="9"/>
      <x:c r="AB270" s="9"/>
      <x:c r="AC270" s="9"/>
      <x:c r="AD270" s="9"/>
      <x:c r="AE270" s="9"/>
      <x:c r="AF270" s="9"/>
      <x:c r="AG270" s="9"/>
      <x:c r="AH270" s="9"/>
      <x:c r="AI270" s="9"/>
      <x:c r="AJ270" s="9"/>
      <x:c r="AK270" s="9"/>
      <x:c r="AL270" s="12" t="str">
        <x:f t="shared" si="22"/>
      </x:c>
      <x:c r="AM270" s="11" t="str">
        <x:f t="shared" si="23"/>
      </x:c>
      <x:c r="AN270" s="11" t="str">
        <x:f t="shared" si="24"/>
      </x:c>
      <x:c r="AO270" s="9"/>
      <x:c r="AP270" s="9"/>
      <x:c r="AQ270" s="27" t="s">
        <x:v>596</x:v>
      </x:c>
    </x:row>
    <x:row r="271" ht="118.05000305175781" customHeight="1">
      <x:c r="A271" s="6" t="s">
        <x:v>1159</x:v>
      </x:c>
      <x:c r="B271" s="6" t="s">
        <x:v>593</x:v>
      </x:c>
      <x:c r="C271" s="6" t="s">
        <x:v>60</x:v>
      </x:c>
      <x:c r="D271" s="6" t="s">
        <x:v>594</x:v>
      </x:c>
      <x:c r="E271" s="6" t="s">
        <x:v>214</x:v>
      </x:c>
      <x:c r="F271" s="6" t="s">
        <x:v>595</x:v>
      </x:c>
      <x:c r="G271" s="6" t="s">
        <x:v>707</x:v>
      </x:c>
      <x:c r="H271" s="6" t="s">
        <x:v>709</x:v>
      </x:c>
      <x:c r="I271" s="6" t="s">
        <x:v>1034</x:v>
      </x:c>
      <x:c r="J271" s="6" t="s">
        <x:v>1035</x:v>
      </x:c>
      <x:c r="K271" s="6" t="s">
        <x:v>597</x:v>
      </x:c>
      <x:c r="L271" s="6" t="s">
        <x:v>582</x:v>
      </x:c>
      <x:c r="M271" s="6" t="s">
        <x:v>598</x:v>
      </x:c>
      <x:c r="N271" s="6" t="s">
        <x:v>599</x:v>
      </x:c>
      <x:c r="O271" s="6" t="s">
        <x:v>230</x:v>
      </x:c>
      <x:c r="P271" s="9"/>
      <x:c r="Q271" s="9"/>
      <x:c r="R271" s="9"/>
      <x:c r="S271" s="9"/>
      <x:c r="T271" s="9"/>
      <x:c r="U271" s="9"/>
      <x:c r="V271" s="9"/>
      <x:c r="W271" s="9"/>
      <x:c r="X271" s="12" t="str">
        <x:f t="shared" si="20"/>
      </x:c>
      <x:c r="Y271" s="12" t="str">
        <x:f t="shared" si="21"/>
      </x:c>
      <x:c r="Z271" s="9" t="s">
        <x:v>870</x:v>
      </x:c>
      <x:c r="AA271" s="9"/>
      <x:c r="AB271" s="9"/>
      <x:c r="AC271" s="9"/>
      <x:c r="AD271" s="9"/>
      <x:c r="AE271" s="9"/>
      <x:c r="AF271" s="9"/>
      <x:c r="AG271" s="9"/>
      <x:c r="AH271" s="9"/>
      <x:c r="AI271" s="9"/>
      <x:c r="AJ271" s="9"/>
      <x:c r="AK271" s="9"/>
      <x:c r="AL271" s="12" t="str">
        <x:f t="shared" si="22"/>
      </x:c>
      <x:c r="AM271" s="11" t="str">
        <x:f t="shared" si="23"/>
      </x:c>
      <x:c r="AN271" s="11" t="str">
        <x:f t="shared" si="24"/>
      </x:c>
      <x:c r="AO271" s="9"/>
      <x:c r="AP271" s="9"/>
      <x:c r="AQ271" s="27" t="s">
        <x:v>596</x:v>
      </x:c>
    </x:row>
    <x:row r="272" ht="118.05000305175781" customHeight="1">
      <x:c r="A272" s="6" t="s">
        <x:v>1160</x:v>
      </x:c>
      <x:c r="B272" s="6" t="s">
        <x:v>593</x:v>
      </x:c>
      <x:c r="C272" s="6" t="s">
        <x:v>60</x:v>
      </x:c>
      <x:c r="D272" s="6" t="s">
        <x:v>594</x:v>
      </x:c>
      <x:c r="E272" s="6" t="s">
        <x:v>214</x:v>
      </x:c>
      <x:c r="F272" s="6" t="s">
        <x:v>595</x:v>
      </x:c>
      <x:c r="G272" s="6" t="s">
        <x:v>724</x:v>
      </x:c>
      <x:c r="H272" s="6" t="s">
        <x:v>726</x:v>
      </x:c>
      <x:c r="I272" s="6" t="s">
        <x:v>1031</x:v>
      </x:c>
      <x:c r="J272" s="6" t="s">
        <x:v>1032</x:v>
      </x:c>
      <x:c r="K272" s="6" t="s">
        <x:v>597</x:v>
      </x:c>
      <x:c r="L272" s="6" t="s">
        <x:v>582</x:v>
      </x:c>
      <x:c r="M272" s="6" t="s">
        <x:v>598</x:v>
      </x:c>
      <x:c r="N272" s="6" t="s">
        <x:v>599</x:v>
      </x:c>
      <x:c r="O272" s="6" t="s">
        <x:v>230</x:v>
      </x:c>
      <x:c r="P272" s="9"/>
      <x:c r="Q272" s="9"/>
      <x:c r="R272" s="9"/>
      <x:c r="S272" s="9"/>
      <x:c r="T272" s="9"/>
      <x:c r="U272" s="9"/>
      <x:c r="V272" s="9"/>
      <x:c r="W272" s="9"/>
      <x:c r="X272" s="12" t="str">
        <x:f t="shared" si="20"/>
      </x:c>
      <x:c r="Y272" s="12" t="str">
        <x:f t="shared" si="21"/>
      </x:c>
      <x:c r="Z272" s="9" t="s">
        <x:v>870</x:v>
      </x:c>
      <x:c r="AA272" s="9"/>
      <x:c r="AB272" s="9"/>
      <x:c r="AC272" s="9"/>
      <x:c r="AD272" s="9"/>
      <x:c r="AE272" s="9"/>
      <x:c r="AF272" s="9"/>
      <x:c r="AG272" s="9"/>
      <x:c r="AH272" s="9"/>
      <x:c r="AI272" s="9"/>
      <x:c r="AJ272" s="9"/>
      <x:c r="AK272" s="9"/>
      <x:c r="AL272" s="12" t="str">
        <x:f t="shared" si="22"/>
      </x:c>
      <x:c r="AM272" s="11" t="str">
        <x:f t="shared" si="23"/>
      </x:c>
      <x:c r="AN272" s="11" t="str">
        <x:f t="shared" si="24"/>
      </x:c>
      <x:c r="AO272" s="9"/>
      <x:c r="AP272" s="9"/>
      <x:c r="AQ272" s="27" t="s">
        <x:v>596</x:v>
      </x:c>
    </x:row>
    <x:row r="273" ht="118.05000305175781" customHeight="1">
      <x:c r="A273" s="6" t="s">
        <x:v>1161</x:v>
      </x:c>
      <x:c r="B273" s="6" t="s">
        <x:v>593</x:v>
      </x:c>
      <x:c r="C273" s="6" t="s">
        <x:v>60</x:v>
      </x:c>
      <x:c r="D273" s="6" t="s">
        <x:v>594</x:v>
      </x:c>
      <x:c r="E273" s="6" t="s">
        <x:v>214</x:v>
      </x:c>
      <x:c r="F273" s="6" t="s">
        <x:v>595</x:v>
      </x:c>
      <x:c r="G273" s="6" t="s">
        <x:v>724</x:v>
      </x:c>
      <x:c r="H273" s="6" t="s">
        <x:v>726</x:v>
      </x:c>
      <x:c r="I273" s="6" t="s">
        <x:v>1034</x:v>
      </x:c>
      <x:c r="J273" s="6" t="s">
        <x:v>1035</x:v>
      </x:c>
      <x:c r="K273" s="6" t="s">
        <x:v>597</x:v>
      </x:c>
      <x:c r="L273" s="6" t="s">
        <x:v>582</x:v>
      </x:c>
      <x:c r="M273" s="6" t="s">
        <x:v>598</x:v>
      </x:c>
      <x:c r="N273" s="6" t="s">
        <x:v>599</x:v>
      </x:c>
      <x:c r="O273" s="6" t="s">
        <x:v>230</x:v>
      </x:c>
      <x:c r="P273" s="9"/>
      <x:c r="Q273" s="9"/>
      <x:c r="R273" s="9"/>
      <x:c r="S273" s="9"/>
      <x:c r="T273" s="9"/>
      <x:c r="U273" s="9"/>
      <x:c r="V273" s="9"/>
      <x:c r="W273" s="9"/>
      <x:c r="X273" s="12" t="str">
        <x:f t="shared" si="20"/>
      </x:c>
      <x:c r="Y273" s="12" t="str">
        <x:f t="shared" si="21"/>
      </x:c>
      <x:c r="Z273" s="9" t="s">
        <x:v>870</x:v>
      </x:c>
      <x:c r="AA273" s="9"/>
      <x:c r="AB273" s="9"/>
      <x:c r="AC273" s="9"/>
      <x:c r="AD273" s="9"/>
      <x:c r="AE273" s="9"/>
      <x:c r="AF273" s="9"/>
      <x:c r="AG273" s="9"/>
      <x:c r="AH273" s="9"/>
      <x:c r="AI273" s="9"/>
      <x:c r="AJ273" s="9"/>
      <x:c r="AK273" s="9"/>
      <x:c r="AL273" s="12" t="str">
        <x:f t="shared" si="22"/>
      </x:c>
      <x:c r="AM273" s="11" t="str">
        <x:f t="shared" si="23"/>
      </x:c>
      <x:c r="AN273" s="11" t="str">
        <x:f t="shared" si="24"/>
      </x:c>
      <x:c r="AO273" s="9"/>
      <x:c r="AP273" s="9"/>
      <x:c r="AQ273" s="27" t="s">
        <x:v>596</x:v>
      </x:c>
    </x:row>
    <x:row r="274" ht="118.05000305175781" customHeight="1">
      <x:c r="A274" s="6" t="s">
        <x:v>1162</x:v>
      </x:c>
      <x:c r="B274" s="6" t="s">
        <x:v>600</x:v>
      </x:c>
      <x:c r="C274" s="6" t="s">
        <x:v>60</x:v>
      </x:c>
      <x:c r="D274" s="6" t="s">
        <x:v>601</x:v>
      </x:c>
      <x:c r="E274" s="6" t="s">
        <x:v>241</x:v>
      </x:c>
      <x:c r="F274" s="6" t="s">
        <x:v>602</x:v>
      </x:c>
      <x:c r="G274" s="6" t="s">
        <x:v>696</x:v>
      </x:c>
      <x:c r="H274" s="6" t="s">
        <x:v>698</x:v>
      </x:c>
      <x:c r="I274" s="6" t="s">
        <x:v>1031</x:v>
      </x:c>
      <x:c r="J274" s="6" t="s">
        <x:v>1032</x:v>
      </x:c>
      <x:c r="K274" s="6" t="s">
        <x:v>604</x:v>
      </x:c>
      <x:c r="L274" s="6" t="s">
        <x:v>582</x:v>
      </x:c>
      <x:c r="M274" s="6" t="s">
        <x:v>605</x:v>
      </x:c>
      <x:c r="N274" s="6" t="s">
        <x:v>606</x:v>
      </x:c>
      <x:c r="O274" s="6" t="s">
        <x:v>230</x:v>
      </x:c>
      <x:c r="P274" s="9"/>
      <x:c r="Q274" s="9"/>
      <x:c r="R274" s="9"/>
      <x:c r="S274" s="9"/>
      <x:c r="T274" s="9"/>
      <x:c r="U274" s="9"/>
      <x:c r="V274" s="9"/>
      <x:c r="W274" s="9"/>
      <x:c r="X274" s="12" t="str">
        <x:f t="shared" si="20"/>
      </x:c>
      <x:c r="Y274" s="12" t="str">
        <x:f t="shared" si="21"/>
      </x:c>
      <x:c r="Z274" s="9" t="s">
        <x:v>870</x:v>
      </x:c>
      <x:c r="AA274" s="9"/>
      <x:c r="AB274" s="9"/>
      <x:c r="AC274" s="9"/>
      <x:c r="AD274" s="9"/>
      <x:c r="AE274" s="9"/>
      <x:c r="AF274" s="9"/>
      <x:c r="AG274" s="9"/>
      <x:c r="AH274" s="9"/>
      <x:c r="AI274" s="9"/>
      <x:c r="AJ274" s="9"/>
      <x:c r="AK274" s="9"/>
      <x:c r="AL274" s="12" t="str">
        <x:f t="shared" si="22"/>
      </x:c>
      <x:c r="AM274" s="11" t="str">
        <x:f t="shared" si="23"/>
      </x:c>
      <x:c r="AN274" s="11" t="str">
        <x:f t="shared" si="24"/>
      </x:c>
      <x:c r="AO274" s="9"/>
      <x:c r="AP274" s="9"/>
      <x:c r="AQ274" s="27" t="s">
        <x:v>603</x:v>
      </x:c>
    </x:row>
    <x:row r="275" ht="118.05000305175781" customHeight="1">
      <x:c r="A275" s="6" t="s">
        <x:v>1163</x:v>
      </x:c>
      <x:c r="B275" s="6" t="s">
        <x:v>600</x:v>
      </x:c>
      <x:c r="C275" s="6" t="s">
        <x:v>60</x:v>
      </x:c>
      <x:c r="D275" s="6" t="s">
        <x:v>601</x:v>
      </x:c>
      <x:c r="E275" s="6" t="s">
        <x:v>241</x:v>
      </x:c>
      <x:c r="F275" s="6" t="s">
        <x:v>602</x:v>
      </x:c>
      <x:c r="G275" s="6" t="s">
        <x:v>696</x:v>
      </x:c>
      <x:c r="H275" s="6" t="s">
        <x:v>698</x:v>
      </x:c>
      <x:c r="I275" s="6" t="s">
        <x:v>1046</x:v>
      </x:c>
      <x:c r="J275" s="6" t="s">
        <x:v>1047</x:v>
      </x:c>
      <x:c r="K275" s="6" t="s">
        <x:v>604</x:v>
      </x:c>
      <x:c r="L275" s="6" t="s">
        <x:v>582</x:v>
      </x:c>
      <x:c r="M275" s="6" t="s">
        <x:v>605</x:v>
      </x:c>
      <x:c r="N275" s="6" t="s">
        <x:v>606</x:v>
      </x:c>
      <x:c r="O275" s="6" t="s">
        <x:v>230</x:v>
      </x:c>
      <x:c r="P275" s="9"/>
      <x:c r="Q275" s="9"/>
      <x:c r="R275" s="9"/>
      <x:c r="S275" s="9"/>
      <x:c r="T275" s="9"/>
      <x:c r="U275" s="9"/>
      <x:c r="V275" s="9"/>
      <x:c r="W275" s="9"/>
      <x:c r="X275" s="12" t="str">
        <x:f t="shared" si="20"/>
      </x:c>
      <x:c r="Y275" s="12" t="str">
        <x:f t="shared" si="21"/>
      </x:c>
      <x:c r="Z275" s="9" t="s">
        <x:v>870</x:v>
      </x:c>
      <x:c r="AA275" s="9"/>
      <x:c r="AB275" s="9"/>
      <x:c r="AC275" s="9"/>
      <x:c r="AD275" s="9"/>
      <x:c r="AE275" s="9"/>
      <x:c r="AF275" s="9"/>
      <x:c r="AG275" s="9"/>
      <x:c r="AH275" s="9"/>
      <x:c r="AI275" s="9"/>
      <x:c r="AJ275" s="9"/>
      <x:c r="AK275" s="9"/>
      <x:c r="AL275" s="12" t="str">
        <x:f t="shared" si="22"/>
      </x:c>
      <x:c r="AM275" s="11" t="str">
        <x:f t="shared" si="23"/>
      </x:c>
      <x:c r="AN275" s="11" t="str">
        <x:f t="shared" si="24"/>
      </x:c>
      <x:c r="AO275" s="9"/>
      <x:c r="AP275" s="9"/>
      <x:c r="AQ275" s="27" t="s">
        <x:v>603</x:v>
      </x:c>
    </x:row>
    <x:row r="276" ht="118.05000305175781" customHeight="1">
      <x:c r="A276" s="6" t="s">
        <x:v>1164</x:v>
      </x:c>
      <x:c r="B276" s="6" t="s">
        <x:v>600</x:v>
      </x:c>
      <x:c r="C276" s="6" t="s">
        <x:v>60</x:v>
      </x:c>
      <x:c r="D276" s="6" t="s">
        <x:v>601</x:v>
      </x:c>
      <x:c r="E276" s="6" t="s">
        <x:v>241</x:v>
      </x:c>
      <x:c r="F276" s="6" t="s">
        <x:v>602</x:v>
      </x:c>
      <x:c r="G276" s="6" t="s">
        <x:v>715</x:v>
      </x:c>
      <x:c r="H276" s="6" t="s">
        <x:v>717</x:v>
      </x:c>
      <x:c r="I276" s="6" t="s">
        <x:v>1031</x:v>
      </x:c>
      <x:c r="J276" s="6" t="s">
        <x:v>1032</x:v>
      </x:c>
      <x:c r="K276" s="6" t="s">
        <x:v>604</x:v>
      </x:c>
      <x:c r="L276" s="6" t="s">
        <x:v>582</x:v>
      </x:c>
      <x:c r="M276" s="6" t="s">
        <x:v>605</x:v>
      </x:c>
      <x:c r="N276" s="6" t="s">
        <x:v>606</x:v>
      </x:c>
      <x:c r="O276" s="6" t="s">
        <x:v>230</x:v>
      </x:c>
      <x:c r="P276" s="9"/>
      <x:c r="Q276" s="9"/>
      <x:c r="R276" s="9"/>
      <x:c r="S276" s="9"/>
      <x:c r="T276" s="9"/>
      <x:c r="U276" s="9"/>
      <x:c r="V276" s="9"/>
      <x:c r="W276" s="9"/>
      <x:c r="X276" s="12" t="str">
        <x:f t="shared" si="20"/>
      </x:c>
      <x:c r="Y276" s="12" t="str">
        <x:f t="shared" si="21"/>
      </x:c>
      <x:c r="Z276" s="9" t="s">
        <x:v>870</x:v>
      </x:c>
      <x:c r="AA276" s="9"/>
      <x:c r="AB276" s="9"/>
      <x:c r="AC276" s="9"/>
      <x:c r="AD276" s="9"/>
      <x:c r="AE276" s="9"/>
      <x:c r="AF276" s="9"/>
      <x:c r="AG276" s="9"/>
      <x:c r="AH276" s="9"/>
      <x:c r="AI276" s="9"/>
      <x:c r="AJ276" s="9"/>
      <x:c r="AK276" s="9"/>
      <x:c r="AL276" s="12" t="str">
        <x:f t="shared" si="22"/>
      </x:c>
      <x:c r="AM276" s="11" t="str">
        <x:f t="shared" si="23"/>
      </x:c>
      <x:c r="AN276" s="11" t="str">
        <x:f t="shared" si="24"/>
      </x:c>
      <x:c r="AO276" s="9"/>
      <x:c r="AP276" s="9"/>
      <x:c r="AQ276" s="27" t="s">
        <x:v>603</x:v>
      </x:c>
    </x:row>
    <x:row r="277" ht="118.05000305175781" customHeight="1">
      <x:c r="A277" s="6" t="s">
        <x:v>1165</x:v>
      </x:c>
      <x:c r="B277" s="6" t="s">
        <x:v>600</x:v>
      </x:c>
      <x:c r="C277" s="6" t="s">
        <x:v>60</x:v>
      </x:c>
      <x:c r="D277" s="6" t="s">
        <x:v>601</x:v>
      </x:c>
      <x:c r="E277" s="6" t="s">
        <x:v>241</x:v>
      </x:c>
      <x:c r="F277" s="6" t="s">
        <x:v>602</x:v>
      </x:c>
      <x:c r="G277" s="6" t="s">
        <x:v>715</x:v>
      </x:c>
      <x:c r="H277" s="6" t="s">
        <x:v>717</x:v>
      </x:c>
      <x:c r="I277" s="6" t="s">
        <x:v>1046</x:v>
      </x:c>
      <x:c r="J277" s="6" t="s">
        <x:v>1047</x:v>
      </x:c>
      <x:c r="K277" s="6" t="s">
        <x:v>604</x:v>
      </x:c>
      <x:c r="L277" s="6" t="s">
        <x:v>582</x:v>
      </x:c>
      <x:c r="M277" s="6" t="s">
        <x:v>605</x:v>
      </x:c>
      <x:c r="N277" s="6" t="s">
        <x:v>606</x:v>
      </x:c>
      <x:c r="O277" s="6" t="s">
        <x:v>230</x:v>
      </x:c>
      <x:c r="P277" s="9"/>
      <x:c r="Q277" s="9"/>
      <x:c r="R277" s="9"/>
      <x:c r="S277" s="9"/>
      <x:c r="T277" s="9"/>
      <x:c r="U277" s="9"/>
      <x:c r="V277" s="9"/>
      <x:c r="W277" s="9"/>
      <x:c r="X277" s="12" t="str">
        <x:f t="shared" si="20"/>
      </x:c>
      <x:c r="Y277" s="12" t="str">
        <x:f t="shared" si="21"/>
      </x:c>
      <x:c r="Z277" s="9" t="s">
        <x:v>870</x:v>
      </x:c>
      <x:c r="AA277" s="9"/>
      <x:c r="AB277" s="9"/>
      <x:c r="AC277" s="9"/>
      <x:c r="AD277" s="9"/>
      <x:c r="AE277" s="9"/>
      <x:c r="AF277" s="9"/>
      <x:c r="AG277" s="9"/>
      <x:c r="AH277" s="9"/>
      <x:c r="AI277" s="9"/>
      <x:c r="AJ277" s="9"/>
      <x:c r="AK277" s="9"/>
      <x:c r="AL277" s="12" t="str">
        <x:f t="shared" si="22"/>
      </x:c>
      <x:c r="AM277" s="11" t="str">
        <x:f t="shared" si="23"/>
      </x:c>
      <x:c r="AN277" s="11" t="str">
        <x:f t="shared" si="24"/>
      </x:c>
      <x:c r="AO277" s="9"/>
      <x:c r="AP277" s="9"/>
      <x:c r="AQ277" s="27" t="s">
        <x:v>603</x:v>
      </x:c>
    </x:row>
    <x:row r="278" ht="118.05000305175781" customHeight="1">
      <x:c r="A278" s="6" t="s">
        <x:v>1166</x:v>
      </x:c>
      <x:c r="B278" s="6" t="s">
        <x:v>600</x:v>
      </x:c>
      <x:c r="C278" s="6" t="s">
        <x:v>60</x:v>
      </x:c>
      <x:c r="D278" s="6" t="s">
        <x:v>601</x:v>
      </x:c>
      <x:c r="E278" s="6" t="s">
        <x:v>241</x:v>
      </x:c>
      <x:c r="F278" s="6" t="s">
        <x:v>602</x:v>
      </x:c>
      <x:c r="G278" s="6" t="s">
        <x:v>724</x:v>
      </x:c>
      <x:c r="H278" s="6" t="s">
        <x:v>726</x:v>
      </x:c>
      <x:c r="I278" s="6" t="s">
        <x:v>1031</x:v>
      </x:c>
      <x:c r="J278" s="6" t="s">
        <x:v>1032</x:v>
      </x:c>
      <x:c r="K278" s="6" t="s">
        <x:v>604</x:v>
      </x:c>
      <x:c r="L278" s="6" t="s">
        <x:v>582</x:v>
      </x:c>
      <x:c r="M278" s="6" t="s">
        <x:v>605</x:v>
      </x:c>
      <x:c r="N278" s="6" t="s">
        <x:v>606</x:v>
      </x:c>
      <x:c r="O278" s="6" t="s">
        <x:v>230</x:v>
      </x:c>
      <x:c r="P278" s="9"/>
      <x:c r="Q278" s="9"/>
      <x:c r="R278" s="9"/>
      <x:c r="S278" s="9"/>
      <x:c r="T278" s="9"/>
      <x:c r="U278" s="9"/>
      <x:c r="V278" s="9"/>
      <x:c r="W278" s="9"/>
      <x:c r="X278" s="12" t="str">
        <x:f t="shared" si="20"/>
      </x:c>
      <x:c r="Y278" s="12" t="str">
        <x:f t="shared" si="21"/>
      </x:c>
      <x:c r="Z278" s="9" t="s">
        <x:v>870</x:v>
      </x:c>
      <x:c r="AA278" s="9"/>
      <x:c r="AB278" s="9"/>
      <x:c r="AC278" s="9"/>
      <x:c r="AD278" s="9"/>
      <x:c r="AE278" s="9"/>
      <x:c r="AF278" s="9"/>
      <x:c r="AG278" s="9"/>
      <x:c r="AH278" s="9"/>
      <x:c r="AI278" s="9"/>
      <x:c r="AJ278" s="9"/>
      <x:c r="AK278" s="9"/>
      <x:c r="AL278" s="12" t="str">
        <x:f t="shared" si="22"/>
      </x:c>
      <x:c r="AM278" s="11" t="str">
        <x:f t="shared" si="23"/>
      </x:c>
      <x:c r="AN278" s="11" t="str">
        <x:f t="shared" si="24"/>
      </x:c>
      <x:c r="AO278" s="9"/>
      <x:c r="AP278" s="9"/>
      <x:c r="AQ278" s="27" t="s">
        <x:v>603</x:v>
      </x:c>
    </x:row>
    <x:row r="279" ht="118.05000305175781" customHeight="1">
      <x:c r="A279" s="6" t="s">
        <x:v>1167</x:v>
      </x:c>
      <x:c r="B279" s="6" t="s">
        <x:v>600</x:v>
      </x:c>
      <x:c r="C279" s="6" t="s">
        <x:v>60</x:v>
      </x:c>
      <x:c r="D279" s="6" t="s">
        <x:v>601</x:v>
      </x:c>
      <x:c r="E279" s="6" t="s">
        <x:v>241</x:v>
      </x:c>
      <x:c r="F279" s="6" t="s">
        <x:v>602</x:v>
      </x:c>
      <x:c r="G279" s="6" t="s">
        <x:v>724</x:v>
      </x:c>
      <x:c r="H279" s="6" t="s">
        <x:v>726</x:v>
      </x:c>
      <x:c r="I279" s="6" t="s">
        <x:v>1046</x:v>
      </x:c>
      <x:c r="J279" s="6" t="s">
        <x:v>1047</x:v>
      </x:c>
      <x:c r="K279" s="6" t="s">
        <x:v>604</x:v>
      </x:c>
      <x:c r="L279" s="6" t="s">
        <x:v>582</x:v>
      </x:c>
      <x:c r="M279" s="6" t="s">
        <x:v>605</x:v>
      </x:c>
      <x:c r="N279" s="6" t="s">
        <x:v>606</x:v>
      </x:c>
      <x:c r="O279" s="6" t="s">
        <x:v>230</x:v>
      </x:c>
      <x:c r="P279" s="9"/>
      <x:c r="Q279" s="9"/>
      <x:c r="R279" s="9"/>
      <x:c r="S279" s="9"/>
      <x:c r="T279" s="9"/>
      <x:c r="U279" s="9"/>
      <x:c r="V279" s="9"/>
      <x:c r="W279" s="9"/>
      <x:c r="X279" s="12" t="str">
        <x:f t="shared" si="20"/>
      </x:c>
      <x:c r="Y279" s="12" t="str">
        <x:f t="shared" si="21"/>
      </x:c>
      <x:c r="Z279" s="9" t="s">
        <x:v>870</x:v>
      </x:c>
      <x:c r="AA279" s="9"/>
      <x:c r="AB279" s="9"/>
      <x:c r="AC279" s="9"/>
      <x:c r="AD279" s="9"/>
      <x:c r="AE279" s="9"/>
      <x:c r="AF279" s="9"/>
      <x:c r="AG279" s="9"/>
      <x:c r="AH279" s="9"/>
      <x:c r="AI279" s="9"/>
      <x:c r="AJ279" s="9"/>
      <x:c r="AK279" s="9"/>
      <x:c r="AL279" s="12" t="str">
        <x:f t="shared" si="22"/>
      </x:c>
      <x:c r="AM279" s="11" t="str">
        <x:f t="shared" si="23"/>
      </x:c>
      <x:c r="AN279" s="11" t="str">
        <x:f t="shared" si="24"/>
      </x:c>
      <x:c r="AO279" s="9"/>
      <x:c r="AP279" s="9"/>
      <x:c r="AQ279" s="27" t="s">
        <x:v>603</x:v>
      </x:c>
    </x:row>
    <x:row r="280" ht="118.05000305175781" customHeight="1">
      <x:c r="A280" s="6" t="s">
        <x:v>1168</x:v>
      </x:c>
      <x:c r="B280" s="6" t="s">
        <x:v>607</x:v>
      </x:c>
      <x:c r="C280" s="6" t="s">
        <x:v>60</x:v>
      </x:c>
      <x:c r="D280" s="6" t="s">
        <x:v>608</x:v>
      </x:c>
      <x:c r="E280" s="6" t="s">
        <x:v>241</x:v>
      </x:c>
      <x:c r="F280" s="6" t="s">
        <x:v>609</x:v>
      </x:c>
      <x:c r="G280" s="6" t="s">
        <x:v>696</x:v>
      </x:c>
      <x:c r="H280" s="6" t="s">
        <x:v>698</x:v>
      </x:c>
      <x:c r="I280" s="6" t="s">
        <x:v>1031</x:v>
      </x:c>
      <x:c r="J280" s="6" t="s">
        <x:v>1032</x:v>
      </x:c>
      <x:c r="K280" s="6" t="s">
        <x:v>611</x:v>
      </x:c>
      <x:c r="L280" s="6" t="s">
        <x:v>582</x:v>
      </x:c>
      <x:c r="M280" s="6" t="s">
        <x:v>612</x:v>
      </x:c>
      <x:c r="N280" s="6" t="s">
        <x:v>613</x:v>
      </x:c>
      <x:c r="O280" s="6" t="s">
        <x:v>230</x:v>
      </x:c>
      <x:c r="P280" s="9"/>
      <x:c r="Q280" s="9"/>
      <x:c r="R280" s="9"/>
      <x:c r="S280" s="9"/>
      <x:c r="T280" s="9"/>
      <x:c r="U280" s="9"/>
      <x:c r="V280" s="9"/>
      <x:c r="W280" s="9"/>
      <x:c r="X280" s="12" t="str">
        <x:f t="shared" si="20"/>
      </x:c>
      <x:c r="Y280" s="12" t="str">
        <x:f t="shared" si="21"/>
      </x:c>
      <x:c r="Z280" s="9" t="s">
        <x:v>870</x:v>
      </x:c>
      <x:c r="AA280" s="9"/>
      <x:c r="AB280" s="9"/>
      <x:c r="AC280" s="9"/>
      <x:c r="AD280" s="9"/>
      <x:c r="AE280" s="9"/>
      <x:c r="AF280" s="9"/>
      <x:c r="AG280" s="9"/>
      <x:c r="AH280" s="9"/>
      <x:c r="AI280" s="9"/>
      <x:c r="AJ280" s="9"/>
      <x:c r="AK280" s="9"/>
      <x:c r="AL280" s="12" t="str">
        <x:f t="shared" si="22"/>
      </x:c>
      <x:c r="AM280" s="11" t="str">
        <x:f t="shared" si="23"/>
      </x:c>
      <x:c r="AN280" s="11" t="str">
        <x:f t="shared" si="24"/>
      </x:c>
      <x:c r="AO280" s="9"/>
      <x:c r="AP280" s="9"/>
      <x:c r="AQ280" s="27" t="s">
        <x:v>610</x:v>
      </x:c>
    </x:row>
    <x:row r="281" ht="118.05000305175781" customHeight="1">
      <x:c r="A281" s="6" t="s">
        <x:v>1169</x:v>
      </x:c>
      <x:c r="B281" s="6" t="s">
        <x:v>607</x:v>
      </x:c>
      <x:c r="C281" s="6" t="s">
        <x:v>60</x:v>
      </x:c>
      <x:c r="D281" s="6" t="s">
        <x:v>608</x:v>
      </x:c>
      <x:c r="E281" s="6" t="s">
        <x:v>241</x:v>
      </x:c>
      <x:c r="F281" s="6" t="s">
        <x:v>609</x:v>
      </x:c>
      <x:c r="G281" s="6" t="s">
        <x:v>696</x:v>
      </x:c>
      <x:c r="H281" s="6" t="s">
        <x:v>698</x:v>
      </x:c>
      <x:c r="I281" s="6" t="s">
        <x:v>1068</x:v>
      </x:c>
      <x:c r="J281" s="6" t="s">
        <x:v>1069</x:v>
      </x:c>
      <x:c r="K281" s="6" t="s">
        <x:v>611</x:v>
      </x:c>
      <x:c r="L281" s="6" t="s">
        <x:v>582</x:v>
      </x:c>
      <x:c r="M281" s="6" t="s">
        <x:v>612</x:v>
      </x:c>
      <x:c r="N281" s="6" t="s">
        <x:v>613</x:v>
      </x:c>
      <x:c r="O281" s="6" t="s">
        <x:v>230</x:v>
      </x:c>
      <x:c r="P281" s="9"/>
      <x:c r="Q281" s="9"/>
      <x:c r="R281" s="9"/>
      <x:c r="S281" s="9"/>
      <x:c r="T281" s="9"/>
      <x:c r="U281" s="9"/>
      <x:c r="V281" s="9"/>
      <x:c r="W281" s="9"/>
      <x:c r="X281" s="12" t="str">
        <x:f t="shared" si="20"/>
      </x:c>
      <x:c r="Y281" s="12" t="str">
        <x:f t="shared" si="21"/>
      </x:c>
      <x:c r="Z281" s="9" t="s">
        <x:v>870</x:v>
      </x:c>
      <x:c r="AA281" s="9"/>
      <x:c r="AB281" s="9"/>
      <x:c r="AC281" s="9"/>
      <x:c r="AD281" s="9"/>
      <x:c r="AE281" s="9"/>
      <x:c r="AF281" s="9"/>
      <x:c r="AG281" s="9"/>
      <x:c r="AH281" s="9"/>
      <x:c r="AI281" s="9"/>
      <x:c r="AJ281" s="9"/>
      <x:c r="AK281" s="9"/>
      <x:c r="AL281" s="12" t="str">
        <x:f t="shared" si="22"/>
      </x:c>
      <x:c r="AM281" s="11" t="str">
        <x:f t="shared" si="23"/>
      </x:c>
      <x:c r="AN281" s="11" t="str">
        <x:f t="shared" si="24"/>
      </x:c>
      <x:c r="AO281" s="9"/>
      <x:c r="AP281" s="9"/>
      <x:c r="AQ281" s="27" t="s">
        <x:v>610</x:v>
      </x:c>
    </x:row>
    <x:row r="282" ht="118.05000305175781" customHeight="1">
      <x:c r="A282" s="6" t="s">
        <x:v>1170</x:v>
      </x:c>
      <x:c r="B282" s="6" t="s">
        <x:v>607</x:v>
      </x:c>
      <x:c r="C282" s="6" t="s">
        <x:v>60</x:v>
      </x:c>
      <x:c r="D282" s="6" t="s">
        <x:v>608</x:v>
      </x:c>
      <x:c r="E282" s="6" t="s">
        <x:v>241</x:v>
      </x:c>
      <x:c r="F282" s="6" t="s">
        <x:v>609</x:v>
      </x:c>
      <x:c r="G282" s="6" t="s">
        <x:v>707</x:v>
      </x:c>
      <x:c r="H282" s="6" t="s">
        <x:v>709</x:v>
      </x:c>
      <x:c r="I282" s="6" t="s">
        <x:v>1031</x:v>
      </x:c>
      <x:c r="J282" s="6" t="s">
        <x:v>1032</x:v>
      </x:c>
      <x:c r="K282" s="6" t="s">
        <x:v>611</x:v>
      </x:c>
      <x:c r="L282" s="6" t="s">
        <x:v>582</x:v>
      </x:c>
      <x:c r="M282" s="6" t="s">
        <x:v>612</x:v>
      </x:c>
      <x:c r="N282" s="6" t="s">
        <x:v>613</x:v>
      </x:c>
      <x:c r="O282" s="6" t="s">
        <x:v>230</x:v>
      </x:c>
      <x:c r="P282" s="9"/>
      <x:c r="Q282" s="9"/>
      <x:c r="R282" s="9"/>
      <x:c r="S282" s="9"/>
      <x:c r="T282" s="9"/>
      <x:c r="U282" s="9"/>
      <x:c r="V282" s="9"/>
      <x:c r="W282" s="9"/>
      <x:c r="X282" s="12" t="str">
        <x:f t="shared" si="20"/>
      </x:c>
      <x:c r="Y282" s="12" t="str">
        <x:f t="shared" si="21"/>
      </x:c>
      <x:c r="Z282" s="9" t="s">
        <x:v>870</x:v>
      </x:c>
      <x:c r="AA282" s="9"/>
      <x:c r="AB282" s="9"/>
      <x:c r="AC282" s="9"/>
      <x:c r="AD282" s="9"/>
      <x:c r="AE282" s="9"/>
      <x:c r="AF282" s="9"/>
      <x:c r="AG282" s="9"/>
      <x:c r="AH282" s="9"/>
      <x:c r="AI282" s="9"/>
      <x:c r="AJ282" s="9"/>
      <x:c r="AK282" s="9"/>
      <x:c r="AL282" s="12" t="str">
        <x:f t="shared" si="22"/>
      </x:c>
      <x:c r="AM282" s="11" t="str">
        <x:f t="shared" si="23"/>
      </x:c>
      <x:c r="AN282" s="11" t="str">
        <x:f t="shared" si="24"/>
      </x:c>
      <x:c r="AO282" s="9"/>
      <x:c r="AP282" s="9"/>
      <x:c r="AQ282" s="27" t="s">
        <x:v>610</x:v>
      </x:c>
    </x:row>
    <x:row r="283" ht="118.05000305175781" customHeight="1">
      <x:c r="A283" s="6" t="s">
        <x:v>1171</x:v>
      </x:c>
      <x:c r="B283" s="6" t="s">
        <x:v>607</x:v>
      </x:c>
      <x:c r="C283" s="6" t="s">
        <x:v>60</x:v>
      </x:c>
      <x:c r="D283" s="6" t="s">
        <x:v>608</x:v>
      </x:c>
      <x:c r="E283" s="6" t="s">
        <x:v>241</x:v>
      </x:c>
      <x:c r="F283" s="6" t="s">
        <x:v>609</x:v>
      </x:c>
      <x:c r="G283" s="6" t="s">
        <x:v>707</x:v>
      </x:c>
      <x:c r="H283" s="6" t="s">
        <x:v>709</x:v>
      </x:c>
      <x:c r="I283" s="6" t="s">
        <x:v>1068</x:v>
      </x:c>
      <x:c r="J283" s="6" t="s">
        <x:v>1069</x:v>
      </x:c>
      <x:c r="K283" s="6" t="s">
        <x:v>611</x:v>
      </x:c>
      <x:c r="L283" s="6" t="s">
        <x:v>582</x:v>
      </x:c>
      <x:c r="M283" s="6" t="s">
        <x:v>612</x:v>
      </x:c>
      <x:c r="N283" s="6" t="s">
        <x:v>613</x:v>
      </x:c>
      <x:c r="O283" s="6" t="s">
        <x:v>230</x:v>
      </x:c>
      <x:c r="P283" s="9"/>
      <x:c r="Q283" s="9"/>
      <x:c r="R283" s="9"/>
      <x:c r="S283" s="9"/>
      <x:c r="T283" s="9"/>
      <x:c r="U283" s="9"/>
      <x:c r="V283" s="9"/>
      <x:c r="W283" s="9"/>
      <x:c r="X283" s="12" t="str">
        <x:f t="shared" si="20"/>
      </x:c>
      <x:c r="Y283" s="12" t="str">
        <x:f t="shared" si="21"/>
      </x:c>
      <x:c r="Z283" s="9" t="s">
        <x:v>870</x:v>
      </x:c>
      <x:c r="AA283" s="9"/>
      <x:c r="AB283" s="9"/>
      <x:c r="AC283" s="9"/>
      <x:c r="AD283" s="9"/>
      <x:c r="AE283" s="9"/>
      <x:c r="AF283" s="9"/>
      <x:c r="AG283" s="9"/>
      <x:c r="AH283" s="9"/>
      <x:c r="AI283" s="9"/>
      <x:c r="AJ283" s="9"/>
      <x:c r="AK283" s="9"/>
      <x:c r="AL283" s="12" t="str">
        <x:f t="shared" si="22"/>
      </x:c>
      <x:c r="AM283" s="11" t="str">
        <x:f t="shared" si="23"/>
      </x:c>
      <x:c r="AN283" s="11" t="str">
        <x:f t="shared" si="24"/>
      </x:c>
      <x:c r="AO283" s="9"/>
      <x:c r="AP283" s="9"/>
      <x:c r="AQ283" s="27" t="s">
        <x:v>610</x:v>
      </x:c>
    </x:row>
    <x:row r="284" ht="118.05000305175781" customHeight="1">
      <x:c r="A284" s="6" t="s">
        <x:v>1172</x:v>
      </x:c>
      <x:c r="B284" s="6" t="s">
        <x:v>607</x:v>
      </x:c>
      <x:c r="C284" s="6" t="s">
        <x:v>60</x:v>
      </x:c>
      <x:c r="D284" s="6" t="s">
        <x:v>608</x:v>
      </x:c>
      <x:c r="E284" s="6" t="s">
        <x:v>241</x:v>
      </x:c>
      <x:c r="F284" s="6" t="s">
        <x:v>609</x:v>
      </x:c>
      <x:c r="G284" s="6" t="s">
        <x:v>724</x:v>
      </x:c>
      <x:c r="H284" s="6" t="s">
        <x:v>726</x:v>
      </x:c>
      <x:c r="I284" s="6" t="s">
        <x:v>1031</x:v>
      </x:c>
      <x:c r="J284" s="6" t="s">
        <x:v>1032</x:v>
      </x:c>
      <x:c r="K284" s="6" t="s">
        <x:v>611</x:v>
      </x:c>
      <x:c r="L284" s="6" t="s">
        <x:v>582</x:v>
      </x:c>
      <x:c r="M284" s="6" t="s">
        <x:v>612</x:v>
      </x:c>
      <x:c r="N284" s="6" t="s">
        <x:v>613</x:v>
      </x:c>
      <x:c r="O284" s="6" t="s">
        <x:v>230</x:v>
      </x:c>
      <x:c r="P284" s="9"/>
      <x:c r="Q284" s="9"/>
      <x:c r="R284" s="9"/>
      <x:c r="S284" s="9"/>
      <x:c r="T284" s="9"/>
      <x:c r="U284" s="9"/>
      <x:c r="V284" s="9"/>
      <x:c r="W284" s="9"/>
      <x:c r="X284" s="12" t="str">
        <x:f t="shared" si="20"/>
      </x:c>
      <x:c r="Y284" s="12" t="str">
        <x:f t="shared" si="21"/>
      </x:c>
      <x:c r="Z284" s="9" t="s">
        <x:v>870</x:v>
      </x:c>
      <x:c r="AA284" s="9"/>
      <x:c r="AB284" s="9"/>
      <x:c r="AC284" s="9"/>
      <x:c r="AD284" s="9"/>
      <x:c r="AE284" s="9"/>
      <x:c r="AF284" s="9"/>
      <x:c r="AG284" s="9"/>
      <x:c r="AH284" s="9"/>
      <x:c r="AI284" s="9"/>
      <x:c r="AJ284" s="9"/>
      <x:c r="AK284" s="9"/>
      <x:c r="AL284" s="12" t="str">
        <x:f t="shared" si="22"/>
      </x:c>
      <x:c r="AM284" s="11" t="str">
        <x:f t="shared" si="23"/>
      </x:c>
      <x:c r="AN284" s="11" t="str">
        <x:f t="shared" si="24"/>
      </x:c>
      <x:c r="AO284" s="9"/>
      <x:c r="AP284" s="9"/>
      <x:c r="AQ284" s="27" t="s">
        <x:v>610</x:v>
      </x:c>
    </x:row>
    <x:row r="285" ht="118.05000305175781" customHeight="1">
      <x:c r="A285" s="6" t="s">
        <x:v>1173</x:v>
      </x:c>
      <x:c r="B285" s="6" t="s">
        <x:v>607</x:v>
      </x:c>
      <x:c r="C285" s="6" t="s">
        <x:v>60</x:v>
      </x:c>
      <x:c r="D285" s="6" t="s">
        <x:v>608</x:v>
      </x:c>
      <x:c r="E285" s="6" t="s">
        <x:v>241</x:v>
      </x:c>
      <x:c r="F285" s="6" t="s">
        <x:v>609</x:v>
      </x:c>
      <x:c r="G285" s="6" t="s">
        <x:v>724</x:v>
      </x:c>
      <x:c r="H285" s="6" t="s">
        <x:v>726</x:v>
      </x:c>
      <x:c r="I285" s="6" t="s">
        <x:v>1068</x:v>
      </x:c>
      <x:c r="J285" s="6" t="s">
        <x:v>1069</x:v>
      </x:c>
      <x:c r="K285" s="6" t="s">
        <x:v>611</x:v>
      </x:c>
      <x:c r="L285" s="6" t="s">
        <x:v>582</x:v>
      </x:c>
      <x:c r="M285" s="6" t="s">
        <x:v>612</x:v>
      </x:c>
      <x:c r="N285" s="6" t="s">
        <x:v>613</x:v>
      </x:c>
      <x:c r="O285" s="6" t="s">
        <x:v>230</x:v>
      </x:c>
      <x:c r="P285" s="9"/>
      <x:c r="Q285" s="9"/>
      <x:c r="R285" s="9"/>
      <x:c r="S285" s="9"/>
      <x:c r="T285" s="9"/>
      <x:c r="U285" s="9"/>
      <x:c r="V285" s="9"/>
      <x:c r="W285" s="9"/>
      <x:c r="X285" s="12" t="str">
        <x:f t="shared" si="20"/>
      </x:c>
      <x:c r="Y285" s="12" t="str">
        <x:f t="shared" si="21"/>
      </x:c>
      <x:c r="Z285" s="9" t="s">
        <x:v>870</x:v>
      </x:c>
      <x:c r="AA285" s="9"/>
      <x:c r="AB285" s="9"/>
      <x:c r="AC285" s="9"/>
      <x:c r="AD285" s="9"/>
      <x:c r="AE285" s="9"/>
      <x:c r="AF285" s="9"/>
      <x:c r="AG285" s="9"/>
      <x:c r="AH285" s="9"/>
      <x:c r="AI285" s="9"/>
      <x:c r="AJ285" s="9"/>
      <x:c r="AK285" s="9"/>
      <x:c r="AL285" s="12" t="str">
        <x:f t="shared" si="22"/>
      </x:c>
      <x:c r="AM285" s="11" t="str">
        <x:f t="shared" si="23"/>
      </x:c>
      <x:c r="AN285" s="11" t="str">
        <x:f t="shared" si="24"/>
      </x:c>
      <x:c r="AO285" s="9"/>
      <x:c r="AP285" s="9"/>
      <x:c r="AQ285" s="27" t="s">
        <x:v>610</x:v>
      </x:c>
    </x:row>
    <x:row r="286" ht="118.05000305175781" customHeight="1">
      <x:c r="A286" s="6" t="s">
        <x:v>1174</x:v>
      </x:c>
      <x:c r="B286" s="6" t="s">
        <x:v>614</x:v>
      </x:c>
      <x:c r="C286" s="6" t="s">
        <x:v>60</x:v>
      </x:c>
      <x:c r="D286" s="6" t="s">
        <x:v>615</x:v>
      </x:c>
      <x:c r="E286" s="6" t="s">
        <x:v>214</x:v>
      </x:c>
      <x:c r="F286" s="6" t="s">
        <x:v>616</x:v>
      </x:c>
      <x:c r="G286" s="6" t="s">
        <x:v>696</x:v>
      </x:c>
      <x:c r="H286" s="6" t="s">
        <x:v>698</x:v>
      </x:c>
      <x:c r="I286" s="6" t="s">
        <x:v>1046</x:v>
      </x:c>
      <x:c r="J286" s="6" t="s">
        <x:v>1047</x:v>
      </x:c>
      <x:c r="K286" s="6" t="s">
        <x:v>619</x:v>
      </x:c>
      <x:c r="L286" s="6" t="s">
        <x:v>582</x:v>
      </x:c>
      <x:c r="M286" s="6" t="s">
        <x:v>620</x:v>
      </x:c>
      <x:c r="N286" s="6" t="s">
        <x:v>621</x:v>
      </x:c>
      <x:c r="O286" s="6" t="s">
        <x:v>230</x:v>
      </x:c>
      <x:c r="P286" s="9"/>
      <x:c r="Q286" s="9"/>
      <x:c r="R286" s="9"/>
      <x:c r="S286" s="9"/>
      <x:c r="T286" s="9"/>
      <x:c r="U286" s="9"/>
      <x:c r="V286" s="9"/>
      <x:c r="W286" s="9"/>
      <x:c r="X286" s="12" t="str">
        <x:f t="shared" si="20"/>
      </x:c>
      <x:c r="Y286" s="12" t="str">
        <x:f t="shared" si="21"/>
      </x:c>
      <x:c r="Z286" s="9" t="s">
        <x:v>870</x:v>
      </x:c>
      <x:c r="AA286" s="9"/>
      <x:c r="AB286" s="9"/>
      <x:c r="AC286" s="9"/>
      <x:c r="AD286" s="9"/>
      <x:c r="AE286" s="9"/>
      <x:c r="AF286" s="9"/>
      <x:c r="AG286" s="9"/>
      <x:c r="AH286" s="9"/>
      <x:c r="AI286" s="9"/>
      <x:c r="AJ286" s="9"/>
      <x:c r="AK286" s="9"/>
      <x:c r="AL286" s="12" t="str">
        <x:f t="shared" si="22"/>
      </x:c>
      <x:c r="AM286" s="11" t="str">
        <x:f t="shared" si="23"/>
      </x:c>
      <x:c r="AN286" s="11" t="str">
        <x:f t="shared" si="24"/>
      </x:c>
      <x:c r="AO286" s="9"/>
      <x:c r="AP286" s="9"/>
      <x:c r="AQ286" s="27" t="s">
        <x:v>617</x:v>
      </x:c>
    </x:row>
    <x:row r="287" ht="118.05000305175781" customHeight="1">
      <x:c r="A287" s="6" t="s">
        <x:v>1175</x:v>
      </x:c>
      <x:c r="B287" s="6" t="s">
        <x:v>614</x:v>
      </x:c>
      <x:c r="C287" s="6" t="s">
        <x:v>60</x:v>
      </x:c>
      <x:c r="D287" s="6" t="s">
        <x:v>615</x:v>
      </x:c>
      <x:c r="E287" s="6" t="s">
        <x:v>214</x:v>
      </x:c>
      <x:c r="F287" s="6" t="s">
        <x:v>616</x:v>
      </x:c>
      <x:c r="G287" s="6" t="s">
        <x:v>696</x:v>
      </x:c>
      <x:c r="H287" s="6" t="s">
        <x:v>698</x:v>
      </x:c>
      <x:c r="I287" s="6" t="s">
        <x:v>1054</x:v>
      </x:c>
      <x:c r="J287" s="6" t="s">
        <x:v>1055</x:v>
      </x:c>
      <x:c r="K287" s="6" t="s">
        <x:v>619</x:v>
      </x:c>
      <x:c r="L287" s="6" t="s">
        <x:v>582</x:v>
      </x:c>
      <x:c r="M287" s="6" t="s">
        <x:v>620</x:v>
      </x:c>
      <x:c r="N287" s="6" t="s">
        <x:v>621</x:v>
      </x:c>
      <x:c r="O287" s="6" t="s">
        <x:v>230</x:v>
      </x:c>
      <x:c r="P287" s="9"/>
      <x:c r="Q287" s="9"/>
      <x:c r="R287" s="9"/>
      <x:c r="S287" s="9"/>
      <x:c r="T287" s="9"/>
      <x:c r="U287" s="9"/>
      <x:c r="V287" s="9"/>
      <x:c r="W287" s="9"/>
      <x:c r="X287" s="12" t="str">
        <x:f t="shared" si="20"/>
      </x:c>
      <x:c r="Y287" s="12" t="str">
        <x:f t="shared" si="21"/>
      </x:c>
      <x:c r="Z287" s="9" t="s">
        <x:v>870</x:v>
      </x:c>
      <x:c r="AA287" s="9"/>
      <x:c r="AB287" s="9"/>
      <x:c r="AC287" s="9"/>
      <x:c r="AD287" s="9"/>
      <x:c r="AE287" s="9"/>
      <x:c r="AF287" s="9"/>
      <x:c r="AG287" s="9"/>
      <x:c r="AH287" s="9"/>
      <x:c r="AI287" s="9"/>
      <x:c r="AJ287" s="9"/>
      <x:c r="AK287" s="9"/>
      <x:c r="AL287" s="12" t="str">
        <x:f t="shared" si="22"/>
      </x:c>
      <x:c r="AM287" s="11" t="str">
        <x:f t="shared" si="23"/>
      </x:c>
      <x:c r="AN287" s="11" t="str">
        <x:f t="shared" si="24"/>
      </x:c>
      <x:c r="AO287" s="9"/>
      <x:c r="AP287" s="9"/>
      <x:c r="AQ287" s="27" t="s">
        <x:v>617</x:v>
      </x:c>
    </x:row>
    <x:row r="288" ht="118.05000305175781" customHeight="1">
      <x:c r="A288" s="6" t="s">
        <x:v>1176</x:v>
      </x:c>
      <x:c r="B288" s="6" t="s">
        <x:v>614</x:v>
      </x:c>
      <x:c r="C288" s="6" t="s">
        <x:v>60</x:v>
      </x:c>
      <x:c r="D288" s="6" t="s">
        <x:v>615</x:v>
      </x:c>
      <x:c r="E288" s="6" t="s">
        <x:v>214</x:v>
      </x:c>
      <x:c r="F288" s="6" t="s">
        <x:v>616</x:v>
      </x:c>
      <x:c r="G288" s="6" t="s">
        <x:v>707</x:v>
      </x:c>
      <x:c r="H288" s="6" t="s">
        <x:v>709</x:v>
      </x:c>
      <x:c r="I288" s="6" t="s">
        <x:v>1046</x:v>
      </x:c>
      <x:c r="J288" s="6" t="s">
        <x:v>1047</x:v>
      </x:c>
      <x:c r="K288" s="6" t="s">
        <x:v>619</x:v>
      </x:c>
      <x:c r="L288" s="6" t="s">
        <x:v>582</x:v>
      </x:c>
      <x:c r="M288" s="6" t="s">
        <x:v>620</x:v>
      </x:c>
      <x:c r="N288" s="6" t="s">
        <x:v>621</x:v>
      </x:c>
      <x:c r="O288" s="6" t="s">
        <x:v>230</x:v>
      </x:c>
      <x:c r="P288" s="9"/>
      <x:c r="Q288" s="9"/>
      <x:c r="R288" s="9"/>
      <x:c r="S288" s="9"/>
      <x:c r="T288" s="9"/>
      <x:c r="U288" s="9"/>
      <x:c r="V288" s="9"/>
      <x:c r="W288" s="9"/>
      <x:c r="X288" s="12" t="str">
        <x:f t="shared" si="20"/>
      </x:c>
      <x:c r="Y288" s="12" t="str">
        <x:f t="shared" si="21"/>
      </x:c>
      <x:c r="Z288" s="9" t="s">
        <x:v>870</x:v>
      </x:c>
      <x:c r="AA288" s="9"/>
      <x:c r="AB288" s="9"/>
      <x:c r="AC288" s="9"/>
      <x:c r="AD288" s="9"/>
      <x:c r="AE288" s="9"/>
      <x:c r="AF288" s="9"/>
      <x:c r="AG288" s="9"/>
      <x:c r="AH288" s="9"/>
      <x:c r="AI288" s="9"/>
      <x:c r="AJ288" s="9"/>
      <x:c r="AK288" s="9"/>
      <x:c r="AL288" s="12" t="str">
        <x:f t="shared" si="22"/>
      </x:c>
      <x:c r="AM288" s="11" t="str">
        <x:f t="shared" si="23"/>
      </x:c>
      <x:c r="AN288" s="11" t="str">
        <x:f t="shared" si="24"/>
      </x:c>
      <x:c r="AO288" s="9"/>
      <x:c r="AP288" s="9"/>
      <x:c r="AQ288" s="27" t="s">
        <x:v>617</x:v>
      </x:c>
    </x:row>
    <x:row r="289" ht="118.05000305175781" customHeight="1">
      <x:c r="A289" s="6" t="s">
        <x:v>1177</x:v>
      </x:c>
      <x:c r="B289" s="6" t="s">
        <x:v>614</x:v>
      </x:c>
      <x:c r="C289" s="6" t="s">
        <x:v>60</x:v>
      </x:c>
      <x:c r="D289" s="6" t="s">
        <x:v>615</x:v>
      </x:c>
      <x:c r="E289" s="6" t="s">
        <x:v>214</x:v>
      </x:c>
      <x:c r="F289" s="6" t="s">
        <x:v>616</x:v>
      </x:c>
      <x:c r="G289" s="6" t="s">
        <x:v>707</x:v>
      </x:c>
      <x:c r="H289" s="6" t="s">
        <x:v>709</x:v>
      </x:c>
      <x:c r="I289" s="6" t="s">
        <x:v>1054</x:v>
      </x:c>
      <x:c r="J289" s="6" t="s">
        <x:v>1055</x:v>
      </x:c>
      <x:c r="K289" s="6" t="s">
        <x:v>619</x:v>
      </x:c>
      <x:c r="L289" s="6" t="s">
        <x:v>582</x:v>
      </x:c>
      <x:c r="M289" s="6" t="s">
        <x:v>620</x:v>
      </x:c>
      <x:c r="N289" s="6" t="s">
        <x:v>621</x:v>
      </x:c>
      <x:c r="O289" s="6" t="s">
        <x:v>230</x:v>
      </x:c>
      <x:c r="P289" s="9"/>
      <x:c r="Q289" s="9"/>
      <x:c r="R289" s="9"/>
      <x:c r="S289" s="9"/>
      <x:c r="T289" s="9"/>
      <x:c r="U289" s="9"/>
      <x:c r="V289" s="9"/>
      <x:c r="W289" s="9"/>
      <x:c r="X289" s="12" t="str">
        <x:f t="shared" si="20"/>
      </x:c>
      <x:c r="Y289" s="12" t="str">
        <x:f t="shared" si="21"/>
      </x:c>
      <x:c r="Z289" s="9" t="s">
        <x:v>870</x:v>
      </x:c>
      <x:c r="AA289" s="9"/>
      <x:c r="AB289" s="9"/>
      <x:c r="AC289" s="9"/>
      <x:c r="AD289" s="9"/>
      <x:c r="AE289" s="9"/>
      <x:c r="AF289" s="9"/>
      <x:c r="AG289" s="9"/>
      <x:c r="AH289" s="9"/>
      <x:c r="AI289" s="9"/>
      <x:c r="AJ289" s="9"/>
      <x:c r="AK289" s="9"/>
      <x:c r="AL289" s="12" t="str">
        <x:f t="shared" si="22"/>
      </x:c>
      <x:c r="AM289" s="11" t="str">
        <x:f t="shared" si="23"/>
      </x:c>
      <x:c r="AN289" s="11" t="str">
        <x:f t="shared" si="24"/>
      </x:c>
      <x:c r="AO289" s="9"/>
      <x:c r="AP289" s="9"/>
      <x:c r="AQ289" s="27" t="s">
        <x:v>617</x:v>
      </x:c>
    </x:row>
    <x:row r="290" ht="118.05000305175781" customHeight="1">
      <x:c r="A290" s="6" t="s">
        <x:v>1178</x:v>
      </x:c>
      <x:c r="B290" s="6" t="s">
        <x:v>614</x:v>
      </x:c>
      <x:c r="C290" s="6" t="s">
        <x:v>60</x:v>
      </x:c>
      <x:c r="D290" s="6" t="s">
        <x:v>615</x:v>
      </x:c>
      <x:c r="E290" s="6" t="s">
        <x:v>214</x:v>
      </x:c>
      <x:c r="F290" s="6" t="s">
        <x:v>616</x:v>
      </x:c>
      <x:c r="G290" s="6" t="s">
        <x:v>724</x:v>
      </x:c>
      <x:c r="H290" s="6" t="s">
        <x:v>726</x:v>
      </x:c>
      <x:c r="I290" s="6" t="s">
        <x:v>1046</x:v>
      </x:c>
      <x:c r="J290" s="6" t="s">
        <x:v>1047</x:v>
      </x:c>
      <x:c r="K290" s="6" t="s">
        <x:v>619</x:v>
      </x:c>
      <x:c r="L290" s="6" t="s">
        <x:v>582</x:v>
      </x:c>
      <x:c r="M290" s="6" t="s">
        <x:v>620</x:v>
      </x:c>
      <x:c r="N290" s="6" t="s">
        <x:v>621</x:v>
      </x:c>
      <x:c r="O290" s="6" t="s">
        <x:v>230</x:v>
      </x:c>
      <x:c r="P290" s="9"/>
      <x:c r="Q290" s="9"/>
      <x:c r="R290" s="9"/>
      <x:c r="S290" s="9"/>
      <x:c r="T290" s="9"/>
      <x:c r="U290" s="9"/>
      <x:c r="V290" s="9"/>
      <x:c r="W290" s="9"/>
      <x:c r="X290" s="12" t="str">
        <x:f t="shared" si="20"/>
      </x:c>
      <x:c r="Y290" s="12" t="str">
        <x:f t="shared" si="21"/>
      </x:c>
      <x:c r="Z290" s="9" t="s">
        <x:v>870</x:v>
      </x:c>
      <x:c r="AA290" s="9"/>
      <x:c r="AB290" s="9"/>
      <x:c r="AC290" s="9"/>
      <x:c r="AD290" s="9"/>
      <x:c r="AE290" s="9"/>
      <x:c r="AF290" s="9"/>
      <x:c r="AG290" s="9"/>
      <x:c r="AH290" s="9"/>
      <x:c r="AI290" s="9"/>
      <x:c r="AJ290" s="9"/>
      <x:c r="AK290" s="9"/>
      <x:c r="AL290" s="12" t="str">
        <x:f t="shared" si="22"/>
      </x:c>
      <x:c r="AM290" s="11" t="str">
        <x:f t="shared" si="23"/>
      </x:c>
      <x:c r="AN290" s="11" t="str">
        <x:f t="shared" si="24"/>
      </x:c>
      <x:c r="AO290" s="9"/>
      <x:c r="AP290" s="9"/>
      <x:c r="AQ290" s="27" t="s">
        <x:v>617</x:v>
      </x:c>
    </x:row>
    <x:row r="291" ht="118.05000305175781" customHeight="1">
      <x:c r="A291" s="6" t="s">
        <x:v>1179</x:v>
      </x:c>
      <x:c r="B291" s="6" t="s">
        <x:v>614</x:v>
      </x:c>
      <x:c r="C291" s="6" t="s">
        <x:v>60</x:v>
      </x:c>
      <x:c r="D291" s="6" t="s">
        <x:v>615</x:v>
      </x:c>
      <x:c r="E291" s="6" t="s">
        <x:v>214</x:v>
      </x:c>
      <x:c r="F291" s="6" t="s">
        <x:v>616</x:v>
      </x:c>
      <x:c r="G291" s="6" t="s">
        <x:v>724</x:v>
      </x:c>
      <x:c r="H291" s="6" t="s">
        <x:v>726</x:v>
      </x:c>
      <x:c r="I291" s="6" t="s">
        <x:v>1054</x:v>
      </x:c>
      <x:c r="J291" s="6" t="s">
        <x:v>1055</x:v>
      </x:c>
      <x:c r="K291" s="6" t="s">
        <x:v>619</x:v>
      </x:c>
      <x:c r="L291" s="6" t="s">
        <x:v>582</x:v>
      </x:c>
      <x:c r="M291" s="6" t="s">
        <x:v>620</x:v>
      </x:c>
      <x:c r="N291" s="6" t="s">
        <x:v>621</x:v>
      </x:c>
      <x:c r="O291" s="6" t="s">
        <x:v>230</x:v>
      </x:c>
      <x:c r="P291" s="9"/>
      <x:c r="Q291" s="9"/>
      <x:c r="R291" s="9"/>
      <x:c r="S291" s="9"/>
      <x:c r="T291" s="9"/>
      <x:c r="U291" s="9"/>
      <x:c r="V291" s="9"/>
      <x:c r="W291" s="9"/>
      <x:c r="X291" s="12" t="str">
        <x:f t="shared" si="20"/>
      </x:c>
      <x:c r="Y291" s="12" t="str">
        <x:f t="shared" si="21"/>
      </x:c>
      <x:c r="Z291" s="9" t="s">
        <x:v>870</x:v>
      </x:c>
      <x:c r="AA291" s="9"/>
      <x:c r="AB291" s="9"/>
      <x:c r="AC291" s="9"/>
      <x:c r="AD291" s="9"/>
      <x:c r="AE291" s="9"/>
      <x:c r="AF291" s="9"/>
      <x:c r="AG291" s="9"/>
      <x:c r="AH291" s="9"/>
      <x:c r="AI291" s="9"/>
      <x:c r="AJ291" s="9"/>
      <x:c r="AK291" s="9"/>
      <x:c r="AL291" s="12" t="str">
        <x:f t="shared" si="22"/>
      </x:c>
      <x:c r="AM291" s="11" t="str">
        <x:f t="shared" si="23"/>
      </x:c>
      <x:c r="AN291" s="11" t="str">
        <x:f t="shared" si="24"/>
      </x:c>
      <x:c r="AO291" s="9"/>
      <x:c r="AP291" s="9"/>
      <x:c r="AQ291" s="27" t="s">
        <x:v>617</x:v>
      </x:c>
    </x:row>
    <x:row r="292" ht="118.05000305175781" customHeight="1">
      <x:c r="A292" s="6" t="s">
        <x:v>1180</x:v>
      </x:c>
      <x:c r="B292" s="6" t="s">
        <x:v>622</x:v>
      </x:c>
      <x:c r="C292" s="6" t="s">
        <x:v>60</x:v>
      </x:c>
      <x:c r="D292" s="6" t="s">
        <x:v>623</x:v>
      </x:c>
      <x:c r="E292" s="6" t="s">
        <x:v>233</x:v>
      </x:c>
      <x:c r="F292" s="6" t="s">
        <x:v>624</x:v>
      </x:c>
      <x:c r="G292" s="6" t="s">
        <x:v>696</x:v>
      </x:c>
      <x:c r="H292" s="6" t="s">
        <x:v>698</x:v>
      </x:c>
      <x:c r="I292" s="6" t="s">
        <x:v>1034</x:v>
      </x:c>
      <x:c r="J292" s="6" t="s">
        <x:v>1035</x:v>
      </x:c>
      <x:c r="K292" s="6" t="s">
        <x:v>626</x:v>
      </x:c>
      <x:c r="L292" s="6" t="s">
        <x:v>582</x:v>
      </x:c>
      <x:c r="M292" s="6" t="s">
        <x:v>627</x:v>
      </x:c>
      <x:c r="N292" s="6" t="s">
        <x:v>628</x:v>
      </x:c>
      <x:c r="O292" s="6" t="s">
        <x:v>230</x:v>
      </x:c>
      <x:c r="P292" s="9"/>
      <x:c r="Q292" s="9"/>
      <x:c r="R292" s="9"/>
      <x:c r="S292" s="9"/>
      <x:c r="T292" s="9"/>
      <x:c r="U292" s="9"/>
      <x:c r="V292" s="9"/>
      <x:c r="W292" s="9"/>
      <x:c r="X292" s="12" t="str">
        <x:f t="shared" si="20"/>
      </x:c>
      <x:c r="Y292" s="12" t="str">
        <x:f t="shared" si="21"/>
      </x:c>
      <x:c r="Z292" s="9" t="s">
        <x:v>870</x:v>
      </x:c>
      <x:c r="AA292" s="9"/>
      <x:c r="AB292" s="9"/>
      <x:c r="AC292" s="9"/>
      <x:c r="AD292" s="9"/>
      <x:c r="AE292" s="9"/>
      <x:c r="AF292" s="9"/>
      <x:c r="AG292" s="9"/>
      <x:c r="AH292" s="9"/>
      <x:c r="AI292" s="9"/>
      <x:c r="AJ292" s="9"/>
      <x:c r="AK292" s="9"/>
      <x:c r="AL292" s="12" t="str">
        <x:f t="shared" si="22"/>
      </x:c>
      <x:c r="AM292" s="11" t="str">
        <x:f t="shared" si="23"/>
      </x:c>
      <x:c r="AN292" s="11" t="str">
        <x:f t="shared" si="24"/>
      </x:c>
      <x:c r="AO292" s="9"/>
      <x:c r="AP292" s="9"/>
      <x:c r="AQ292" s="27" t="s">
        <x:v>625</x:v>
      </x:c>
    </x:row>
    <x:row r="293" ht="118.05000305175781" customHeight="1">
      <x:c r="A293" s="6" t="s">
        <x:v>1181</x:v>
      </x:c>
      <x:c r="B293" s="6" t="s">
        <x:v>622</x:v>
      </x:c>
      <x:c r="C293" s="6" t="s">
        <x:v>60</x:v>
      </x:c>
      <x:c r="D293" s="6" t="s">
        <x:v>623</x:v>
      </x:c>
      <x:c r="E293" s="6" t="s">
        <x:v>233</x:v>
      </x:c>
      <x:c r="F293" s="6" t="s">
        <x:v>624</x:v>
      </x:c>
      <x:c r="G293" s="6" t="s">
        <x:v>696</x:v>
      </x:c>
      <x:c r="H293" s="6" t="s">
        <x:v>698</x:v>
      </x:c>
      <x:c r="I293" s="6" t="s">
        <x:v>1054</x:v>
      </x:c>
      <x:c r="J293" s="6" t="s">
        <x:v>1055</x:v>
      </x:c>
      <x:c r="K293" s="6" t="s">
        <x:v>626</x:v>
      </x:c>
      <x:c r="L293" s="6" t="s">
        <x:v>582</x:v>
      </x:c>
      <x:c r="M293" s="6" t="s">
        <x:v>627</x:v>
      </x:c>
      <x:c r="N293" s="6" t="s">
        <x:v>628</x:v>
      </x:c>
      <x:c r="O293" s="6" t="s">
        <x:v>230</x:v>
      </x:c>
      <x:c r="P293" s="9"/>
      <x:c r="Q293" s="9"/>
      <x:c r="R293" s="9"/>
      <x:c r="S293" s="9"/>
      <x:c r="T293" s="9"/>
      <x:c r="U293" s="9"/>
      <x:c r="V293" s="9"/>
      <x:c r="W293" s="9"/>
      <x:c r="X293" s="12" t="str">
        <x:f t="shared" si="20"/>
      </x:c>
      <x:c r="Y293" s="12" t="str">
        <x:f t="shared" si="21"/>
      </x:c>
      <x:c r="Z293" s="9" t="s">
        <x:v>870</x:v>
      </x:c>
      <x:c r="AA293" s="9"/>
      <x:c r="AB293" s="9"/>
      <x:c r="AC293" s="9"/>
      <x:c r="AD293" s="9"/>
      <x:c r="AE293" s="9"/>
      <x:c r="AF293" s="9"/>
      <x:c r="AG293" s="9"/>
      <x:c r="AH293" s="9"/>
      <x:c r="AI293" s="9"/>
      <x:c r="AJ293" s="9"/>
      <x:c r="AK293" s="9"/>
      <x:c r="AL293" s="12" t="str">
        <x:f t="shared" si="22"/>
      </x:c>
      <x:c r="AM293" s="11" t="str">
        <x:f t="shared" si="23"/>
      </x:c>
      <x:c r="AN293" s="11" t="str">
        <x:f t="shared" si="24"/>
      </x:c>
      <x:c r="AO293" s="9"/>
      <x:c r="AP293" s="9"/>
      <x:c r="AQ293" s="27" t="s">
        <x:v>625</x:v>
      </x:c>
    </x:row>
    <x:row r="294" ht="118.05000305175781" customHeight="1">
      <x:c r="A294" s="6" t="s">
        <x:v>1182</x:v>
      </x:c>
      <x:c r="B294" s="6" t="s">
        <x:v>622</x:v>
      </x:c>
      <x:c r="C294" s="6" t="s">
        <x:v>60</x:v>
      </x:c>
      <x:c r="D294" s="6" t="s">
        <x:v>623</x:v>
      </x:c>
      <x:c r="E294" s="6" t="s">
        <x:v>233</x:v>
      </x:c>
      <x:c r="F294" s="6" t="s">
        <x:v>624</x:v>
      </x:c>
      <x:c r="G294" s="6" t="s">
        <x:v>707</x:v>
      </x:c>
      <x:c r="H294" s="6" t="s">
        <x:v>709</x:v>
      </x:c>
      <x:c r="I294" s="6" t="s">
        <x:v>1034</x:v>
      </x:c>
      <x:c r="J294" s="6" t="s">
        <x:v>1035</x:v>
      </x:c>
      <x:c r="K294" s="6" t="s">
        <x:v>626</x:v>
      </x:c>
      <x:c r="L294" s="6" t="s">
        <x:v>582</x:v>
      </x:c>
      <x:c r="M294" s="6" t="s">
        <x:v>627</x:v>
      </x:c>
      <x:c r="N294" s="6" t="s">
        <x:v>628</x:v>
      </x:c>
      <x:c r="O294" s="6" t="s">
        <x:v>230</x:v>
      </x:c>
      <x:c r="P294" s="9"/>
      <x:c r="Q294" s="9"/>
      <x:c r="R294" s="9"/>
      <x:c r="S294" s="9"/>
      <x:c r="T294" s="9"/>
      <x:c r="U294" s="9"/>
      <x:c r="V294" s="9"/>
      <x:c r="W294" s="9"/>
      <x:c r="X294" s="12" t="str">
        <x:f t="shared" si="20"/>
      </x:c>
      <x:c r="Y294" s="12" t="str">
        <x:f t="shared" si="21"/>
      </x:c>
      <x:c r="Z294" s="9" t="s">
        <x:v>870</x:v>
      </x:c>
      <x:c r="AA294" s="9"/>
      <x:c r="AB294" s="9"/>
      <x:c r="AC294" s="9"/>
      <x:c r="AD294" s="9"/>
      <x:c r="AE294" s="9"/>
      <x:c r="AF294" s="9"/>
      <x:c r="AG294" s="9"/>
      <x:c r="AH294" s="9"/>
      <x:c r="AI294" s="9"/>
      <x:c r="AJ294" s="9"/>
      <x:c r="AK294" s="9"/>
      <x:c r="AL294" s="12" t="str">
        <x:f t="shared" si="22"/>
      </x:c>
      <x:c r="AM294" s="11" t="str">
        <x:f t="shared" si="23"/>
      </x:c>
      <x:c r="AN294" s="11" t="str">
        <x:f t="shared" si="24"/>
      </x:c>
      <x:c r="AO294" s="9"/>
      <x:c r="AP294" s="9"/>
      <x:c r="AQ294" s="27" t="s">
        <x:v>625</x:v>
      </x:c>
    </x:row>
    <x:row r="295" ht="118.05000305175781" customHeight="1">
      <x:c r="A295" s="6" t="s">
        <x:v>1183</x:v>
      </x:c>
      <x:c r="B295" s="6" t="s">
        <x:v>622</x:v>
      </x:c>
      <x:c r="C295" s="6" t="s">
        <x:v>60</x:v>
      </x:c>
      <x:c r="D295" s="6" t="s">
        <x:v>623</x:v>
      </x:c>
      <x:c r="E295" s="6" t="s">
        <x:v>233</x:v>
      </x:c>
      <x:c r="F295" s="6" t="s">
        <x:v>624</x:v>
      </x:c>
      <x:c r="G295" s="6" t="s">
        <x:v>707</x:v>
      </x:c>
      <x:c r="H295" s="6" t="s">
        <x:v>709</x:v>
      </x:c>
      <x:c r="I295" s="6" t="s">
        <x:v>1054</x:v>
      </x:c>
      <x:c r="J295" s="6" t="s">
        <x:v>1055</x:v>
      </x:c>
      <x:c r="K295" s="6" t="s">
        <x:v>626</x:v>
      </x:c>
      <x:c r="L295" s="6" t="s">
        <x:v>582</x:v>
      </x:c>
      <x:c r="M295" s="6" t="s">
        <x:v>627</x:v>
      </x:c>
      <x:c r="N295" s="6" t="s">
        <x:v>628</x:v>
      </x:c>
      <x:c r="O295" s="6" t="s">
        <x:v>230</x:v>
      </x:c>
      <x:c r="P295" s="9"/>
      <x:c r="Q295" s="9"/>
      <x:c r="R295" s="9"/>
      <x:c r="S295" s="9"/>
      <x:c r="T295" s="9"/>
      <x:c r="U295" s="9"/>
      <x:c r="V295" s="9"/>
      <x:c r="W295" s="9"/>
      <x:c r="X295" s="12" t="str">
        <x:f t="shared" si="20"/>
      </x:c>
      <x:c r="Y295" s="12" t="str">
        <x:f t="shared" si="21"/>
      </x:c>
      <x:c r="Z295" s="9" t="s">
        <x:v>870</x:v>
      </x:c>
      <x:c r="AA295" s="9"/>
      <x:c r="AB295" s="9"/>
      <x:c r="AC295" s="9"/>
      <x:c r="AD295" s="9"/>
      <x:c r="AE295" s="9"/>
      <x:c r="AF295" s="9"/>
      <x:c r="AG295" s="9"/>
      <x:c r="AH295" s="9"/>
      <x:c r="AI295" s="9"/>
      <x:c r="AJ295" s="9"/>
      <x:c r="AK295" s="9"/>
      <x:c r="AL295" s="12" t="str">
        <x:f t="shared" si="22"/>
      </x:c>
      <x:c r="AM295" s="11" t="str">
        <x:f t="shared" si="23"/>
      </x:c>
      <x:c r="AN295" s="11" t="str">
        <x:f t="shared" si="24"/>
      </x:c>
      <x:c r="AO295" s="9"/>
      <x:c r="AP295" s="9"/>
      <x:c r="AQ295" s="27" t="s">
        <x:v>625</x:v>
      </x:c>
    </x:row>
    <x:row r="296" ht="118.05000305175781" customHeight="1">
      <x:c r="A296" s="6" t="s">
        <x:v>1184</x:v>
      </x:c>
      <x:c r="B296" s="6" t="s">
        <x:v>622</x:v>
      </x:c>
      <x:c r="C296" s="6" t="s">
        <x:v>60</x:v>
      </x:c>
      <x:c r="D296" s="6" t="s">
        <x:v>623</x:v>
      </x:c>
      <x:c r="E296" s="6" t="s">
        <x:v>233</x:v>
      </x:c>
      <x:c r="F296" s="6" t="s">
        <x:v>624</x:v>
      </x:c>
      <x:c r="G296" s="6" t="s">
        <x:v>724</x:v>
      </x:c>
      <x:c r="H296" s="6" t="s">
        <x:v>726</x:v>
      </x:c>
      <x:c r="I296" s="6" t="s">
        <x:v>1034</x:v>
      </x:c>
      <x:c r="J296" s="6" t="s">
        <x:v>1035</x:v>
      </x:c>
      <x:c r="K296" s="6" t="s">
        <x:v>626</x:v>
      </x:c>
      <x:c r="L296" s="6" t="s">
        <x:v>582</x:v>
      </x:c>
      <x:c r="M296" s="6" t="s">
        <x:v>627</x:v>
      </x:c>
      <x:c r="N296" s="6" t="s">
        <x:v>628</x:v>
      </x:c>
      <x:c r="O296" s="6" t="s">
        <x:v>230</x:v>
      </x:c>
      <x:c r="P296" s="9"/>
      <x:c r="Q296" s="9"/>
      <x:c r="R296" s="9"/>
      <x:c r="S296" s="9"/>
      <x:c r="T296" s="9"/>
      <x:c r="U296" s="9"/>
      <x:c r="V296" s="9"/>
      <x:c r="W296" s="9"/>
      <x:c r="X296" s="12" t="str">
        <x:f t="shared" si="20"/>
      </x:c>
      <x:c r="Y296" s="12" t="str">
        <x:f t="shared" si="21"/>
      </x:c>
      <x:c r="Z296" s="9" t="s">
        <x:v>870</x:v>
      </x:c>
      <x:c r="AA296" s="9"/>
      <x:c r="AB296" s="9"/>
      <x:c r="AC296" s="9"/>
      <x:c r="AD296" s="9"/>
      <x:c r="AE296" s="9"/>
      <x:c r="AF296" s="9"/>
      <x:c r="AG296" s="9"/>
      <x:c r="AH296" s="9"/>
      <x:c r="AI296" s="9"/>
      <x:c r="AJ296" s="9"/>
      <x:c r="AK296" s="9"/>
      <x:c r="AL296" s="12" t="str">
        <x:f t="shared" si="22"/>
      </x:c>
      <x:c r="AM296" s="11" t="str">
        <x:f t="shared" si="23"/>
      </x:c>
      <x:c r="AN296" s="11" t="str">
        <x:f t="shared" si="24"/>
      </x:c>
      <x:c r="AO296" s="9"/>
      <x:c r="AP296" s="9"/>
      <x:c r="AQ296" s="27" t="s">
        <x:v>625</x:v>
      </x:c>
    </x:row>
    <x:row r="297" ht="118.05000305175781" customHeight="1">
      <x:c r="A297" s="6" t="s">
        <x:v>1185</x:v>
      </x:c>
      <x:c r="B297" s="6" t="s">
        <x:v>622</x:v>
      </x:c>
      <x:c r="C297" s="6" t="s">
        <x:v>60</x:v>
      </x:c>
      <x:c r="D297" s="6" t="s">
        <x:v>623</x:v>
      </x:c>
      <x:c r="E297" s="6" t="s">
        <x:v>233</x:v>
      </x:c>
      <x:c r="F297" s="6" t="s">
        <x:v>624</x:v>
      </x:c>
      <x:c r="G297" s="6" t="s">
        <x:v>724</x:v>
      </x:c>
      <x:c r="H297" s="6" t="s">
        <x:v>726</x:v>
      </x:c>
      <x:c r="I297" s="6" t="s">
        <x:v>1054</x:v>
      </x:c>
      <x:c r="J297" s="6" t="s">
        <x:v>1055</x:v>
      </x:c>
      <x:c r="K297" s="6" t="s">
        <x:v>626</x:v>
      </x:c>
      <x:c r="L297" s="6" t="s">
        <x:v>582</x:v>
      </x:c>
      <x:c r="M297" s="6" t="s">
        <x:v>627</x:v>
      </x:c>
      <x:c r="N297" s="6" t="s">
        <x:v>628</x:v>
      </x:c>
      <x:c r="O297" s="6" t="s">
        <x:v>230</x:v>
      </x:c>
      <x:c r="P297" s="9"/>
      <x:c r="Q297" s="9"/>
      <x:c r="R297" s="9"/>
      <x:c r="S297" s="9"/>
      <x:c r="T297" s="9"/>
      <x:c r="U297" s="9"/>
      <x:c r="V297" s="9"/>
      <x:c r="W297" s="9"/>
      <x:c r="X297" s="12" t="str">
        <x:f t="shared" si="20"/>
      </x:c>
      <x:c r="Y297" s="12" t="str">
        <x:f t="shared" si="21"/>
      </x:c>
      <x:c r="Z297" s="9" t="s">
        <x:v>870</x:v>
      </x:c>
      <x:c r="AA297" s="9"/>
      <x:c r="AB297" s="9"/>
      <x:c r="AC297" s="9"/>
      <x:c r="AD297" s="9"/>
      <x:c r="AE297" s="9"/>
      <x:c r="AF297" s="9"/>
      <x:c r="AG297" s="9"/>
      <x:c r="AH297" s="9"/>
      <x:c r="AI297" s="9"/>
      <x:c r="AJ297" s="9"/>
      <x:c r="AK297" s="9"/>
      <x:c r="AL297" s="12" t="str">
        <x:f t="shared" si="22"/>
      </x:c>
      <x:c r="AM297" s="11" t="str">
        <x:f t="shared" si="23"/>
      </x:c>
      <x:c r="AN297" s="11" t="str">
        <x:f t="shared" si="24"/>
      </x:c>
      <x:c r="AO297" s="9"/>
      <x:c r="AP297" s="9"/>
      <x:c r="AQ297" s="27" t="s">
        <x:v>625</x:v>
      </x:c>
    </x:row>
    <x:row r="298" ht="118.05000305175781" customHeight="1">
      <x:c r="A298" s="6" t="s">
        <x:v>1186</x:v>
      </x:c>
      <x:c r="B298" s="6" t="s">
        <x:v>629</x:v>
      </x:c>
      <x:c r="C298" s="6" t="s">
        <x:v>60</x:v>
      </x:c>
      <x:c r="D298" s="6" t="s">
        <x:v>630</x:v>
      </x:c>
      <x:c r="E298" s="6" t="s">
        <x:v>249</x:v>
      </x:c>
      <x:c r="F298" s="6" t="s">
        <x:v>631</x:v>
      </x:c>
      <x:c r="G298" s="6" t="s">
        <x:v>696</x:v>
      </x:c>
      <x:c r="H298" s="6" t="s">
        <x:v>698</x:v>
      </x:c>
      <x:c r="I298" s="6" t="s">
        <x:v>1046</x:v>
      </x:c>
      <x:c r="J298" s="6" t="s">
        <x:v>1047</x:v>
      </x:c>
      <x:c r="K298" s="6" t="s">
        <x:v>633</x:v>
      </x:c>
      <x:c r="L298" s="6" t="s">
        <x:v>582</x:v>
      </x:c>
      <x:c r="M298" s="6" t="s">
        <x:v>634</x:v>
      </x:c>
      <x:c r="N298" s="6" t="s">
        <x:v>635</x:v>
      </x:c>
      <x:c r="O298" s="6" t="s">
        <x:v>636</x:v>
      </x:c>
      <x:c r="P298" s="9"/>
      <x:c r="Q298" s="9"/>
      <x:c r="R298" s="9"/>
      <x:c r="S298" s="9"/>
      <x:c r="T298" s="9"/>
      <x:c r="U298" s="9"/>
      <x:c r="V298" s="9"/>
      <x:c r="W298" s="9"/>
      <x:c r="X298" s="12" t="str">
        <x:f t="shared" si="20"/>
      </x:c>
      <x:c r="Y298" s="12" t="str">
        <x:f t="shared" si="21"/>
      </x:c>
      <x:c r="Z298" s="9" t="s">
        <x:v>870</x:v>
      </x:c>
      <x:c r="AA298" s="9"/>
      <x:c r="AB298" s="9"/>
      <x:c r="AC298" s="9"/>
      <x:c r="AD298" s="9"/>
      <x:c r="AE298" s="9"/>
      <x:c r="AF298" s="9"/>
      <x:c r="AG298" s="9"/>
      <x:c r="AH298" s="9"/>
      <x:c r="AI298" s="9"/>
      <x:c r="AJ298" s="9"/>
      <x:c r="AK298" s="9"/>
      <x:c r="AL298" s="12" t="str">
        <x:f t="shared" si="22"/>
      </x:c>
      <x:c r="AM298" s="11" t="str">
        <x:f t="shared" si="23"/>
      </x:c>
      <x:c r="AN298" s="11" t="str">
        <x:f t="shared" si="24"/>
      </x:c>
      <x:c r="AO298" s="9"/>
      <x:c r="AP298" s="9"/>
      <x:c r="AQ298" s="27" t="s">
        <x:v>632</x:v>
      </x:c>
    </x:row>
    <x:row r="299" ht="118.05000305175781" customHeight="1">
      <x:c r="A299" s="6" t="s">
        <x:v>1187</x:v>
      </x:c>
      <x:c r="B299" s="6" t="s">
        <x:v>629</x:v>
      </x:c>
      <x:c r="C299" s="6" t="s">
        <x:v>60</x:v>
      </x:c>
      <x:c r="D299" s="6" t="s">
        <x:v>630</x:v>
      </x:c>
      <x:c r="E299" s="6" t="s">
        <x:v>249</x:v>
      </x:c>
      <x:c r="F299" s="6" t="s">
        <x:v>631</x:v>
      </x:c>
      <x:c r="G299" s="6" t="s">
        <x:v>696</x:v>
      </x:c>
      <x:c r="H299" s="6" t="s">
        <x:v>698</x:v>
      </x:c>
      <x:c r="I299" s="6" t="s">
        <x:v>1068</x:v>
      </x:c>
      <x:c r="J299" s="6" t="s">
        <x:v>1069</x:v>
      </x:c>
      <x:c r="K299" s="6" t="s">
        <x:v>633</x:v>
      </x:c>
      <x:c r="L299" s="6" t="s">
        <x:v>582</x:v>
      </x:c>
      <x:c r="M299" s="6" t="s">
        <x:v>634</x:v>
      </x:c>
      <x:c r="N299" s="6" t="s">
        <x:v>635</x:v>
      </x:c>
      <x:c r="O299" s="6" t="s">
        <x:v>636</x:v>
      </x:c>
      <x:c r="P299" s="9"/>
      <x:c r="Q299" s="9"/>
      <x:c r="R299" s="9"/>
      <x:c r="S299" s="9"/>
      <x:c r="T299" s="9"/>
      <x:c r="U299" s="9"/>
      <x:c r="V299" s="9"/>
      <x:c r="W299" s="9"/>
      <x:c r="X299" s="12" t="str">
        <x:f t="shared" si="20"/>
      </x:c>
      <x:c r="Y299" s="12" t="str">
        <x:f t="shared" si="21"/>
      </x:c>
      <x:c r="Z299" s="9" t="s">
        <x:v>870</x:v>
      </x:c>
      <x:c r="AA299" s="9"/>
      <x:c r="AB299" s="9"/>
      <x:c r="AC299" s="9"/>
      <x:c r="AD299" s="9"/>
      <x:c r="AE299" s="9"/>
      <x:c r="AF299" s="9"/>
      <x:c r="AG299" s="9"/>
      <x:c r="AH299" s="9"/>
      <x:c r="AI299" s="9"/>
      <x:c r="AJ299" s="9"/>
      <x:c r="AK299" s="9"/>
      <x:c r="AL299" s="12" t="str">
        <x:f t="shared" si="22"/>
      </x:c>
      <x:c r="AM299" s="11" t="str">
        <x:f t="shared" si="23"/>
      </x:c>
      <x:c r="AN299" s="11" t="str">
        <x:f t="shared" si="24"/>
      </x:c>
      <x:c r="AO299" s="9"/>
      <x:c r="AP299" s="9"/>
      <x:c r="AQ299" s="27" t="s">
        <x:v>632</x:v>
      </x:c>
    </x:row>
    <x:row r="300" ht="118.05000305175781" customHeight="1">
      <x:c r="A300" s="6" t="s">
        <x:v>1188</x:v>
      </x:c>
      <x:c r="B300" s="6" t="s">
        <x:v>629</x:v>
      </x:c>
      <x:c r="C300" s="6" t="s">
        <x:v>60</x:v>
      </x:c>
      <x:c r="D300" s="6" t="s">
        <x:v>630</x:v>
      </x:c>
      <x:c r="E300" s="6" t="s">
        <x:v>249</x:v>
      </x:c>
      <x:c r="F300" s="6" t="s">
        <x:v>631</x:v>
      </x:c>
      <x:c r="G300" s="6" t="s">
        <x:v>715</x:v>
      </x:c>
      <x:c r="H300" s="6" t="s">
        <x:v>717</x:v>
      </x:c>
      <x:c r="I300" s="6" t="s">
        <x:v>1046</x:v>
      </x:c>
      <x:c r="J300" s="6" t="s">
        <x:v>1047</x:v>
      </x:c>
      <x:c r="K300" s="6" t="s">
        <x:v>633</x:v>
      </x:c>
      <x:c r="L300" s="6" t="s">
        <x:v>582</x:v>
      </x:c>
      <x:c r="M300" s="6" t="s">
        <x:v>634</x:v>
      </x:c>
      <x:c r="N300" s="6" t="s">
        <x:v>635</x:v>
      </x:c>
      <x:c r="O300" s="6" t="s">
        <x:v>636</x:v>
      </x:c>
      <x:c r="P300" s="9"/>
      <x:c r="Q300" s="9"/>
      <x:c r="R300" s="9"/>
      <x:c r="S300" s="9"/>
      <x:c r="T300" s="9"/>
      <x:c r="U300" s="9"/>
      <x:c r="V300" s="9"/>
      <x:c r="W300" s="9"/>
      <x:c r="X300" s="12" t="str">
        <x:f t="shared" si="20"/>
      </x:c>
      <x:c r="Y300" s="12" t="str">
        <x:f t="shared" si="21"/>
      </x:c>
      <x:c r="Z300" s="9" t="s">
        <x:v>870</x:v>
      </x:c>
      <x:c r="AA300" s="9"/>
      <x:c r="AB300" s="9"/>
      <x:c r="AC300" s="9"/>
      <x:c r="AD300" s="9"/>
      <x:c r="AE300" s="9"/>
      <x:c r="AF300" s="9"/>
      <x:c r="AG300" s="9"/>
      <x:c r="AH300" s="9"/>
      <x:c r="AI300" s="9"/>
      <x:c r="AJ300" s="9"/>
      <x:c r="AK300" s="9"/>
      <x:c r="AL300" s="12" t="str">
        <x:f t="shared" si="22"/>
      </x:c>
      <x:c r="AM300" s="11" t="str">
        <x:f t="shared" si="23"/>
      </x:c>
      <x:c r="AN300" s="11" t="str">
        <x:f t="shared" si="24"/>
      </x:c>
      <x:c r="AO300" s="9"/>
      <x:c r="AP300" s="9"/>
      <x:c r="AQ300" s="27" t="s">
        <x:v>632</x:v>
      </x:c>
    </x:row>
    <x:row r="301" ht="118.05000305175781" customHeight="1">
      <x:c r="A301" s="6" t="s">
        <x:v>1189</x:v>
      </x:c>
      <x:c r="B301" s="6" t="s">
        <x:v>629</x:v>
      </x:c>
      <x:c r="C301" s="6" t="s">
        <x:v>60</x:v>
      </x:c>
      <x:c r="D301" s="6" t="s">
        <x:v>630</x:v>
      </x:c>
      <x:c r="E301" s="6" t="s">
        <x:v>249</x:v>
      </x:c>
      <x:c r="F301" s="6" t="s">
        <x:v>631</x:v>
      </x:c>
      <x:c r="G301" s="6" t="s">
        <x:v>715</x:v>
      </x:c>
      <x:c r="H301" s="6" t="s">
        <x:v>717</x:v>
      </x:c>
      <x:c r="I301" s="6" t="s">
        <x:v>1068</x:v>
      </x:c>
      <x:c r="J301" s="6" t="s">
        <x:v>1069</x:v>
      </x:c>
      <x:c r="K301" s="6" t="s">
        <x:v>633</x:v>
      </x:c>
      <x:c r="L301" s="6" t="s">
        <x:v>582</x:v>
      </x:c>
      <x:c r="M301" s="6" t="s">
        <x:v>634</x:v>
      </x:c>
      <x:c r="N301" s="6" t="s">
        <x:v>635</x:v>
      </x:c>
      <x:c r="O301" s="6" t="s">
        <x:v>636</x:v>
      </x:c>
      <x:c r="P301" s="9"/>
      <x:c r="Q301" s="9"/>
      <x:c r="R301" s="9"/>
      <x:c r="S301" s="9"/>
      <x:c r="T301" s="9"/>
      <x:c r="U301" s="9"/>
      <x:c r="V301" s="9"/>
      <x:c r="W301" s="9"/>
      <x:c r="X301" s="12" t="str">
        <x:f t="shared" si="20"/>
      </x:c>
      <x:c r="Y301" s="12" t="str">
        <x:f t="shared" si="21"/>
      </x:c>
      <x:c r="Z301" s="9" t="s">
        <x:v>870</x:v>
      </x:c>
      <x:c r="AA301" s="9"/>
      <x:c r="AB301" s="9"/>
      <x:c r="AC301" s="9"/>
      <x:c r="AD301" s="9"/>
      <x:c r="AE301" s="9"/>
      <x:c r="AF301" s="9"/>
      <x:c r="AG301" s="9"/>
      <x:c r="AH301" s="9"/>
      <x:c r="AI301" s="9"/>
      <x:c r="AJ301" s="9"/>
      <x:c r="AK301" s="9"/>
      <x:c r="AL301" s="12" t="str">
        <x:f t="shared" si="22"/>
      </x:c>
      <x:c r="AM301" s="11" t="str">
        <x:f t="shared" si="23"/>
      </x:c>
      <x:c r="AN301" s="11" t="str">
        <x:f t="shared" si="24"/>
      </x:c>
      <x:c r="AO301" s="9"/>
      <x:c r="AP301" s="9"/>
      <x:c r="AQ301" s="27" t="s">
        <x:v>632</x:v>
      </x:c>
    </x:row>
    <x:row r="302" ht="118.05000305175781" customHeight="1">
      <x:c r="A302" s="6" t="s">
        <x:v>1190</x:v>
      </x:c>
      <x:c r="B302" s="6" t="s">
        <x:v>629</x:v>
      </x:c>
      <x:c r="C302" s="6" t="s">
        <x:v>60</x:v>
      </x:c>
      <x:c r="D302" s="6" t="s">
        <x:v>630</x:v>
      </x:c>
      <x:c r="E302" s="6" t="s">
        <x:v>249</x:v>
      </x:c>
      <x:c r="F302" s="6" t="s">
        <x:v>631</x:v>
      </x:c>
      <x:c r="G302" s="6" t="s">
        <x:v>724</x:v>
      </x:c>
      <x:c r="H302" s="6" t="s">
        <x:v>726</x:v>
      </x:c>
      <x:c r="I302" s="6" t="s">
        <x:v>1046</x:v>
      </x:c>
      <x:c r="J302" s="6" t="s">
        <x:v>1047</x:v>
      </x:c>
      <x:c r="K302" s="6" t="s">
        <x:v>633</x:v>
      </x:c>
      <x:c r="L302" s="6" t="s">
        <x:v>582</x:v>
      </x:c>
      <x:c r="M302" s="6" t="s">
        <x:v>634</x:v>
      </x:c>
      <x:c r="N302" s="6" t="s">
        <x:v>635</x:v>
      </x:c>
      <x:c r="O302" s="6" t="s">
        <x:v>636</x:v>
      </x:c>
      <x:c r="P302" s="9"/>
      <x:c r="Q302" s="9"/>
      <x:c r="R302" s="9"/>
      <x:c r="S302" s="9"/>
      <x:c r="T302" s="9"/>
      <x:c r="U302" s="9"/>
      <x:c r="V302" s="9"/>
      <x:c r="W302" s="9"/>
      <x:c r="X302" s="12" t="str">
        <x:f t="shared" si="20"/>
      </x:c>
      <x:c r="Y302" s="12" t="str">
        <x:f t="shared" si="21"/>
      </x:c>
      <x:c r="Z302" s="9" t="s">
        <x:v>870</x:v>
      </x:c>
      <x:c r="AA302" s="9"/>
      <x:c r="AB302" s="9"/>
      <x:c r="AC302" s="9"/>
      <x:c r="AD302" s="9"/>
      <x:c r="AE302" s="9"/>
      <x:c r="AF302" s="9"/>
      <x:c r="AG302" s="9"/>
      <x:c r="AH302" s="9"/>
      <x:c r="AI302" s="9"/>
      <x:c r="AJ302" s="9"/>
      <x:c r="AK302" s="9"/>
      <x:c r="AL302" s="12" t="str">
        <x:f t="shared" si="22"/>
      </x:c>
      <x:c r="AM302" s="11" t="str">
        <x:f t="shared" si="23"/>
      </x:c>
      <x:c r="AN302" s="11" t="str">
        <x:f t="shared" si="24"/>
      </x:c>
      <x:c r="AO302" s="9"/>
      <x:c r="AP302" s="9"/>
      <x:c r="AQ302" s="27" t="s">
        <x:v>632</x:v>
      </x:c>
    </x:row>
    <x:row r="303" ht="118.05000305175781" customHeight="1">
      <x:c r="A303" s="6" t="s">
        <x:v>1191</x:v>
      </x:c>
      <x:c r="B303" s="6" t="s">
        <x:v>629</x:v>
      </x:c>
      <x:c r="C303" s="6" t="s">
        <x:v>60</x:v>
      </x:c>
      <x:c r="D303" s="6" t="s">
        <x:v>630</x:v>
      </x:c>
      <x:c r="E303" s="6" t="s">
        <x:v>249</x:v>
      </x:c>
      <x:c r="F303" s="6" t="s">
        <x:v>631</x:v>
      </x:c>
      <x:c r="G303" s="6" t="s">
        <x:v>724</x:v>
      </x:c>
      <x:c r="H303" s="6" t="s">
        <x:v>726</x:v>
      </x:c>
      <x:c r="I303" s="6" t="s">
        <x:v>1068</x:v>
      </x:c>
      <x:c r="J303" s="6" t="s">
        <x:v>1069</x:v>
      </x:c>
      <x:c r="K303" s="6" t="s">
        <x:v>633</x:v>
      </x:c>
      <x:c r="L303" s="6" t="s">
        <x:v>582</x:v>
      </x:c>
      <x:c r="M303" s="6" t="s">
        <x:v>634</x:v>
      </x:c>
      <x:c r="N303" s="6" t="s">
        <x:v>635</x:v>
      </x:c>
      <x:c r="O303" s="6" t="s">
        <x:v>636</x:v>
      </x:c>
      <x:c r="P303" s="9"/>
      <x:c r="Q303" s="9"/>
      <x:c r="R303" s="9"/>
      <x:c r="S303" s="9"/>
      <x:c r="T303" s="9"/>
      <x:c r="U303" s="9"/>
      <x:c r="V303" s="9"/>
      <x:c r="W303" s="9"/>
      <x:c r="X303" s="12" t="str">
        <x:f t="shared" si="20"/>
      </x:c>
      <x:c r="Y303" s="12" t="str">
        <x:f t="shared" si="21"/>
      </x:c>
      <x:c r="Z303" s="9" t="s">
        <x:v>870</x:v>
      </x:c>
      <x:c r="AA303" s="9"/>
      <x:c r="AB303" s="9"/>
      <x:c r="AC303" s="9"/>
      <x:c r="AD303" s="9"/>
      <x:c r="AE303" s="9"/>
      <x:c r="AF303" s="9"/>
      <x:c r="AG303" s="9"/>
      <x:c r="AH303" s="9"/>
      <x:c r="AI303" s="9"/>
      <x:c r="AJ303" s="9"/>
      <x:c r="AK303" s="9"/>
      <x:c r="AL303" s="12" t="str">
        <x:f t="shared" si="22"/>
      </x:c>
      <x:c r="AM303" s="11" t="str">
        <x:f t="shared" si="23"/>
      </x:c>
      <x:c r="AN303" s="11" t="str">
        <x:f t="shared" si="24"/>
      </x:c>
      <x:c r="AO303" s="9"/>
      <x:c r="AP303" s="9"/>
      <x:c r="AQ303" s="27" t="s">
        <x:v>632</x:v>
      </x:c>
    </x:row>
    <x:row r="304" ht="118.05000305175781" customHeight="1">
      <x:c r="A304" s="6" t="s">
        <x:v>1192</x:v>
      </x:c>
      <x:c r="B304" s="6" t="s">
        <x:v>637</x:v>
      </x:c>
      <x:c r="C304" s="6" t="s">
        <x:v>60</x:v>
      </x:c>
      <x:c r="D304" s="6" t="s">
        <x:v>638</x:v>
      </x:c>
      <x:c r="E304" s="6" t="s">
        <x:v>249</x:v>
      </x:c>
      <x:c r="F304" s="6" t="s">
        <x:v>639</x:v>
      </x:c>
      <x:c r="G304" s="6" t="s">
        <x:v>696</x:v>
      </x:c>
      <x:c r="H304" s="6" t="s">
        <x:v>698</x:v>
      </x:c>
      <x:c r="I304" s="6" t="s">
        <x:v>1031</x:v>
      </x:c>
      <x:c r="J304" s="6" t="s">
        <x:v>1032</x:v>
      </x:c>
      <x:c r="K304" s="6" t="s">
        <x:v>641</x:v>
      </x:c>
      <x:c r="L304" s="6" t="s">
        <x:v>582</x:v>
      </x:c>
      <x:c r="M304" s="6" t="s">
        <x:v>642</x:v>
      </x:c>
      <x:c r="N304" s="6" t="s">
        <x:v>643</x:v>
      </x:c>
      <x:c r="O304" s="6" t="s">
        <x:v>230</x:v>
      </x:c>
      <x:c r="P304" s="9"/>
      <x:c r="Q304" s="9"/>
      <x:c r="R304" s="9"/>
      <x:c r="S304" s="9"/>
      <x:c r="T304" s="9"/>
      <x:c r="U304" s="9"/>
      <x:c r="V304" s="9"/>
      <x:c r="W304" s="9"/>
      <x:c r="X304" s="12" t="str">
        <x:f t="shared" si="20"/>
      </x:c>
      <x:c r="Y304" s="12" t="str">
        <x:f t="shared" si="21"/>
      </x:c>
      <x:c r="Z304" s="9" t="s">
        <x:v>870</x:v>
      </x:c>
      <x:c r="AA304" s="9"/>
      <x:c r="AB304" s="9"/>
      <x:c r="AC304" s="9"/>
      <x:c r="AD304" s="9"/>
      <x:c r="AE304" s="9"/>
      <x:c r="AF304" s="9"/>
      <x:c r="AG304" s="9"/>
      <x:c r="AH304" s="9"/>
      <x:c r="AI304" s="9"/>
      <x:c r="AJ304" s="9"/>
      <x:c r="AK304" s="9"/>
      <x:c r="AL304" s="12" t="str">
        <x:f t="shared" si="22"/>
      </x:c>
      <x:c r="AM304" s="11" t="str">
        <x:f t="shared" si="23"/>
      </x:c>
      <x:c r="AN304" s="11" t="str">
        <x:f t="shared" si="24"/>
      </x:c>
      <x:c r="AO304" s="9"/>
      <x:c r="AP304" s="9"/>
      <x:c r="AQ304" s="27" t="s">
        <x:v>640</x:v>
      </x:c>
    </x:row>
    <x:row r="305" ht="118.05000305175781" customHeight="1">
      <x:c r="A305" s="6" t="s">
        <x:v>1193</x:v>
      </x:c>
      <x:c r="B305" s="6" t="s">
        <x:v>637</x:v>
      </x:c>
      <x:c r="C305" s="6" t="s">
        <x:v>60</x:v>
      </x:c>
      <x:c r="D305" s="6" t="s">
        <x:v>638</x:v>
      </x:c>
      <x:c r="E305" s="6" t="s">
        <x:v>249</x:v>
      </x:c>
      <x:c r="F305" s="6" t="s">
        <x:v>639</x:v>
      </x:c>
      <x:c r="G305" s="6" t="s">
        <x:v>696</x:v>
      </x:c>
      <x:c r="H305" s="6" t="s">
        <x:v>698</x:v>
      </x:c>
      <x:c r="I305" s="6" t="s">
        <x:v>1068</x:v>
      </x:c>
      <x:c r="J305" s="6" t="s">
        <x:v>1069</x:v>
      </x:c>
      <x:c r="K305" s="6" t="s">
        <x:v>641</x:v>
      </x:c>
      <x:c r="L305" s="6" t="s">
        <x:v>582</x:v>
      </x:c>
      <x:c r="M305" s="6" t="s">
        <x:v>642</x:v>
      </x:c>
      <x:c r="N305" s="6" t="s">
        <x:v>643</x:v>
      </x:c>
      <x:c r="O305" s="6" t="s">
        <x:v>230</x:v>
      </x:c>
      <x:c r="P305" s="9"/>
      <x:c r="Q305" s="9"/>
      <x:c r="R305" s="9"/>
      <x:c r="S305" s="9"/>
      <x:c r="T305" s="9"/>
      <x:c r="U305" s="9"/>
      <x:c r="V305" s="9"/>
      <x:c r="W305" s="9"/>
      <x:c r="X305" s="12" t="str">
        <x:f t="shared" si="20"/>
      </x:c>
      <x:c r="Y305" s="12" t="str">
        <x:f t="shared" si="21"/>
      </x:c>
      <x:c r="Z305" s="9" t="s">
        <x:v>870</x:v>
      </x:c>
      <x:c r="AA305" s="9"/>
      <x:c r="AB305" s="9"/>
      <x:c r="AC305" s="9"/>
      <x:c r="AD305" s="9"/>
      <x:c r="AE305" s="9"/>
      <x:c r="AF305" s="9"/>
      <x:c r="AG305" s="9"/>
      <x:c r="AH305" s="9"/>
      <x:c r="AI305" s="9"/>
      <x:c r="AJ305" s="9"/>
      <x:c r="AK305" s="9"/>
      <x:c r="AL305" s="12" t="str">
        <x:f t="shared" si="22"/>
      </x:c>
      <x:c r="AM305" s="11" t="str">
        <x:f t="shared" si="23"/>
      </x:c>
      <x:c r="AN305" s="11" t="str">
        <x:f t="shared" si="24"/>
      </x:c>
      <x:c r="AO305" s="9"/>
      <x:c r="AP305" s="9"/>
      <x:c r="AQ305" s="27" t="s">
        <x:v>640</x:v>
      </x:c>
    </x:row>
    <x:row r="306" ht="118.05000305175781" customHeight="1">
      <x:c r="A306" s="6" t="s">
        <x:v>1194</x:v>
      </x:c>
      <x:c r="B306" s="6" t="s">
        <x:v>637</x:v>
      </x:c>
      <x:c r="C306" s="6" t="s">
        <x:v>60</x:v>
      </x:c>
      <x:c r="D306" s="6" t="s">
        <x:v>638</x:v>
      </x:c>
      <x:c r="E306" s="6" t="s">
        <x:v>249</x:v>
      </x:c>
      <x:c r="F306" s="6" t="s">
        <x:v>639</x:v>
      </x:c>
      <x:c r="G306" s="6" t="s">
        <x:v>715</x:v>
      </x:c>
      <x:c r="H306" s="6" t="s">
        <x:v>717</x:v>
      </x:c>
      <x:c r="I306" s="6" t="s">
        <x:v>1031</x:v>
      </x:c>
      <x:c r="J306" s="6" t="s">
        <x:v>1032</x:v>
      </x:c>
      <x:c r="K306" s="6" t="s">
        <x:v>641</x:v>
      </x:c>
      <x:c r="L306" s="6" t="s">
        <x:v>582</x:v>
      </x:c>
      <x:c r="M306" s="6" t="s">
        <x:v>642</x:v>
      </x:c>
      <x:c r="N306" s="6" t="s">
        <x:v>643</x:v>
      </x:c>
      <x:c r="O306" s="6" t="s">
        <x:v>230</x:v>
      </x:c>
      <x:c r="P306" s="9"/>
      <x:c r="Q306" s="9"/>
      <x:c r="R306" s="9"/>
      <x:c r="S306" s="9"/>
      <x:c r="T306" s="9"/>
      <x:c r="U306" s="9"/>
      <x:c r="V306" s="9"/>
      <x:c r="W306" s="9"/>
      <x:c r="X306" s="12" t="str">
        <x:f t="shared" si="20"/>
      </x:c>
      <x:c r="Y306" s="12" t="str">
        <x:f t="shared" si="21"/>
      </x:c>
      <x:c r="Z306" s="9" t="s">
        <x:v>870</x:v>
      </x:c>
      <x:c r="AA306" s="9"/>
      <x:c r="AB306" s="9"/>
      <x:c r="AC306" s="9"/>
      <x:c r="AD306" s="9"/>
      <x:c r="AE306" s="9"/>
      <x:c r="AF306" s="9"/>
      <x:c r="AG306" s="9"/>
      <x:c r="AH306" s="9"/>
      <x:c r="AI306" s="9"/>
      <x:c r="AJ306" s="9"/>
      <x:c r="AK306" s="9"/>
      <x:c r="AL306" s="12" t="str">
        <x:f t="shared" si="22"/>
      </x:c>
      <x:c r="AM306" s="11" t="str">
        <x:f t="shared" si="23"/>
      </x:c>
      <x:c r="AN306" s="11" t="str">
        <x:f t="shared" si="24"/>
      </x:c>
      <x:c r="AO306" s="9"/>
      <x:c r="AP306" s="9"/>
      <x:c r="AQ306" s="27" t="s">
        <x:v>640</x:v>
      </x:c>
    </x:row>
    <x:row r="307" ht="118.05000305175781" customHeight="1">
      <x:c r="A307" s="6" t="s">
        <x:v>1195</x:v>
      </x:c>
      <x:c r="B307" s="6" t="s">
        <x:v>637</x:v>
      </x:c>
      <x:c r="C307" s="6" t="s">
        <x:v>60</x:v>
      </x:c>
      <x:c r="D307" s="6" t="s">
        <x:v>638</x:v>
      </x:c>
      <x:c r="E307" s="6" t="s">
        <x:v>249</x:v>
      </x:c>
      <x:c r="F307" s="6" t="s">
        <x:v>639</x:v>
      </x:c>
      <x:c r="G307" s="6" t="s">
        <x:v>715</x:v>
      </x:c>
      <x:c r="H307" s="6" t="s">
        <x:v>717</x:v>
      </x:c>
      <x:c r="I307" s="6" t="s">
        <x:v>1068</x:v>
      </x:c>
      <x:c r="J307" s="6" t="s">
        <x:v>1069</x:v>
      </x:c>
      <x:c r="K307" s="6" t="s">
        <x:v>641</x:v>
      </x:c>
      <x:c r="L307" s="6" t="s">
        <x:v>582</x:v>
      </x:c>
      <x:c r="M307" s="6" t="s">
        <x:v>642</x:v>
      </x:c>
      <x:c r="N307" s="6" t="s">
        <x:v>643</x:v>
      </x:c>
      <x:c r="O307" s="6" t="s">
        <x:v>230</x:v>
      </x:c>
      <x:c r="P307" s="9"/>
      <x:c r="Q307" s="9"/>
      <x:c r="R307" s="9"/>
      <x:c r="S307" s="9"/>
      <x:c r="T307" s="9"/>
      <x:c r="U307" s="9"/>
      <x:c r="V307" s="9"/>
      <x:c r="W307" s="9"/>
      <x:c r="X307" s="12" t="str">
        <x:f t="shared" si="20"/>
      </x:c>
      <x:c r="Y307" s="12" t="str">
        <x:f t="shared" si="21"/>
      </x:c>
      <x:c r="Z307" s="9" t="s">
        <x:v>870</x:v>
      </x:c>
      <x:c r="AA307" s="9"/>
      <x:c r="AB307" s="9"/>
      <x:c r="AC307" s="9"/>
      <x:c r="AD307" s="9"/>
      <x:c r="AE307" s="9"/>
      <x:c r="AF307" s="9"/>
      <x:c r="AG307" s="9"/>
      <x:c r="AH307" s="9"/>
      <x:c r="AI307" s="9"/>
      <x:c r="AJ307" s="9"/>
      <x:c r="AK307" s="9"/>
      <x:c r="AL307" s="12" t="str">
        <x:f t="shared" si="22"/>
      </x:c>
      <x:c r="AM307" s="11" t="str">
        <x:f t="shared" si="23"/>
      </x:c>
      <x:c r="AN307" s="11" t="str">
        <x:f t="shared" si="24"/>
      </x:c>
      <x:c r="AO307" s="9"/>
      <x:c r="AP307" s="9"/>
      <x:c r="AQ307" s="27" t="s">
        <x:v>640</x:v>
      </x:c>
    </x:row>
    <x:row r="308" ht="118.05000305175781" customHeight="1">
      <x:c r="A308" s="6" t="s">
        <x:v>1196</x:v>
      </x:c>
      <x:c r="B308" s="6" t="s">
        <x:v>637</x:v>
      </x:c>
      <x:c r="C308" s="6" t="s">
        <x:v>60</x:v>
      </x:c>
      <x:c r="D308" s="6" t="s">
        <x:v>638</x:v>
      </x:c>
      <x:c r="E308" s="6" t="s">
        <x:v>249</x:v>
      </x:c>
      <x:c r="F308" s="6" t="s">
        <x:v>639</x:v>
      </x:c>
      <x:c r="G308" s="6" t="s">
        <x:v>724</x:v>
      </x:c>
      <x:c r="H308" s="6" t="s">
        <x:v>726</x:v>
      </x:c>
      <x:c r="I308" s="6" t="s">
        <x:v>1031</x:v>
      </x:c>
      <x:c r="J308" s="6" t="s">
        <x:v>1032</x:v>
      </x:c>
      <x:c r="K308" s="6" t="s">
        <x:v>641</x:v>
      </x:c>
      <x:c r="L308" s="6" t="s">
        <x:v>582</x:v>
      </x:c>
      <x:c r="M308" s="6" t="s">
        <x:v>642</x:v>
      </x:c>
      <x:c r="N308" s="6" t="s">
        <x:v>643</x:v>
      </x:c>
      <x:c r="O308" s="6" t="s">
        <x:v>230</x:v>
      </x:c>
      <x:c r="P308" s="9"/>
      <x:c r="Q308" s="9"/>
      <x:c r="R308" s="9"/>
      <x:c r="S308" s="9"/>
      <x:c r="T308" s="9"/>
      <x:c r="U308" s="9"/>
      <x:c r="V308" s="9"/>
      <x:c r="W308" s="9"/>
      <x:c r="X308" s="12" t="str">
        <x:f t="shared" si="20"/>
      </x:c>
      <x:c r="Y308" s="12" t="str">
        <x:f t="shared" si="21"/>
      </x:c>
      <x:c r="Z308" s="9" t="s">
        <x:v>870</x:v>
      </x:c>
      <x:c r="AA308" s="9"/>
      <x:c r="AB308" s="9"/>
      <x:c r="AC308" s="9"/>
      <x:c r="AD308" s="9"/>
      <x:c r="AE308" s="9"/>
      <x:c r="AF308" s="9"/>
      <x:c r="AG308" s="9"/>
      <x:c r="AH308" s="9"/>
      <x:c r="AI308" s="9"/>
      <x:c r="AJ308" s="9"/>
      <x:c r="AK308" s="9"/>
      <x:c r="AL308" s="12" t="str">
        <x:f t="shared" si="22"/>
      </x:c>
      <x:c r="AM308" s="11" t="str">
        <x:f t="shared" si="23"/>
      </x:c>
      <x:c r="AN308" s="11" t="str">
        <x:f t="shared" si="24"/>
      </x:c>
      <x:c r="AO308" s="9"/>
      <x:c r="AP308" s="9"/>
      <x:c r="AQ308" s="27" t="s">
        <x:v>640</x:v>
      </x:c>
    </x:row>
    <x:row r="309" ht="118.05000305175781" customHeight="1">
      <x:c r="A309" s="6" t="s">
        <x:v>1197</x:v>
      </x:c>
      <x:c r="B309" s="6" t="s">
        <x:v>637</x:v>
      </x:c>
      <x:c r="C309" s="6" t="s">
        <x:v>60</x:v>
      </x:c>
      <x:c r="D309" s="6" t="s">
        <x:v>638</x:v>
      </x:c>
      <x:c r="E309" s="6" t="s">
        <x:v>249</x:v>
      </x:c>
      <x:c r="F309" s="6" t="s">
        <x:v>639</x:v>
      </x:c>
      <x:c r="G309" s="6" t="s">
        <x:v>724</x:v>
      </x:c>
      <x:c r="H309" s="6" t="s">
        <x:v>726</x:v>
      </x:c>
      <x:c r="I309" s="6" t="s">
        <x:v>1068</x:v>
      </x:c>
      <x:c r="J309" s="6" t="s">
        <x:v>1069</x:v>
      </x:c>
      <x:c r="K309" s="6" t="s">
        <x:v>641</x:v>
      </x:c>
      <x:c r="L309" s="6" t="s">
        <x:v>582</x:v>
      </x:c>
      <x:c r="M309" s="6" t="s">
        <x:v>642</x:v>
      </x:c>
      <x:c r="N309" s="6" t="s">
        <x:v>643</x:v>
      </x:c>
      <x:c r="O309" s="6" t="s">
        <x:v>230</x:v>
      </x:c>
      <x:c r="P309" s="9"/>
      <x:c r="Q309" s="9"/>
      <x:c r="R309" s="9"/>
      <x:c r="S309" s="9"/>
      <x:c r="T309" s="9"/>
      <x:c r="U309" s="9"/>
      <x:c r="V309" s="9"/>
      <x:c r="W309" s="9"/>
      <x:c r="X309" s="12" t="str">
        <x:f t="shared" si="20"/>
      </x:c>
      <x:c r="Y309" s="12" t="str">
        <x:f t="shared" si="21"/>
      </x:c>
      <x:c r="Z309" s="9" t="s">
        <x:v>870</x:v>
      </x:c>
      <x:c r="AA309" s="9"/>
      <x:c r="AB309" s="9"/>
      <x:c r="AC309" s="9"/>
      <x:c r="AD309" s="9"/>
      <x:c r="AE309" s="9"/>
      <x:c r="AF309" s="9"/>
      <x:c r="AG309" s="9"/>
      <x:c r="AH309" s="9"/>
      <x:c r="AI309" s="9"/>
      <x:c r="AJ309" s="9"/>
      <x:c r="AK309" s="9"/>
      <x:c r="AL309" s="12" t="str">
        <x:f t="shared" si="22"/>
      </x:c>
      <x:c r="AM309" s="11" t="str">
        <x:f t="shared" si="23"/>
      </x:c>
      <x:c r="AN309" s="11" t="str">
        <x:f t="shared" si="24"/>
      </x:c>
      <x:c r="AO309" s="9"/>
      <x:c r="AP309" s="9"/>
      <x:c r="AQ309" s="27" t="s">
        <x:v>640</x:v>
      </x:c>
    </x:row>
    <x:row r="310" ht="118.05000305175781" customHeight="1">
      <x:c r="A310" s="6" t="s">
        <x:v>1198</x:v>
      </x:c>
      <x:c r="B310" s="6" t="s">
        <x:v>644</x:v>
      </x:c>
      <x:c r="C310" s="6" t="s">
        <x:v>60</x:v>
      </x:c>
      <x:c r="D310" s="6" t="s">
        <x:v>645</x:v>
      </x:c>
      <x:c r="E310" s="6" t="s">
        <x:v>268</x:v>
      </x:c>
      <x:c r="F310" s="6" t="s">
        <x:v>646</x:v>
      </x:c>
      <x:c r="G310" s="6" t="s">
        <x:v>271</x:v>
      </x:c>
      <x:c r="H310" s="6" t="s">
        <x:v>721</x:v>
      </x:c>
      <x:c r="I310" s="6" t="s">
        <x:v>1034</x:v>
      </x:c>
      <x:c r="J310" s="6" t="s">
        <x:v>1035</x:v>
      </x:c>
      <x:c r="K310" s="6" t="s">
        <x:v>648</x:v>
      </x:c>
      <x:c r="L310" s="6" t="s">
        <x:v>582</x:v>
      </x:c>
      <x:c r="M310" s="6" t="s">
        <x:v>649</x:v>
      </x:c>
      <x:c r="N310" s="6" t="s">
        <x:v>650</x:v>
      </x:c>
      <x:c r="O310" s="6" t="s">
        <x:v>651</x:v>
      </x:c>
      <x:c r="P310" s="9"/>
      <x:c r="Q310" s="9"/>
      <x:c r="R310" s="9"/>
      <x:c r="S310" s="9"/>
      <x:c r="T310" s="9"/>
      <x:c r="U310" s="9"/>
      <x:c r="V310" s="9"/>
      <x:c r="W310" s="9"/>
      <x:c r="X310" s="12" t="str">
        <x:f t="shared" si="20"/>
      </x:c>
      <x:c r="Y310" s="12" t="str">
        <x:f t="shared" si="21"/>
      </x:c>
      <x:c r="Z310" s="9" t="s">
        <x:v>870</x:v>
      </x:c>
      <x:c r="AA310" s="9"/>
      <x:c r="AB310" s="9"/>
      <x:c r="AC310" s="9"/>
      <x:c r="AD310" s="9"/>
      <x:c r="AE310" s="9"/>
      <x:c r="AF310" s="9"/>
      <x:c r="AG310" s="9"/>
      <x:c r="AH310" s="9"/>
      <x:c r="AI310" s="9"/>
      <x:c r="AJ310" s="9"/>
      <x:c r="AK310" s="9"/>
      <x:c r="AL310" s="12" t="str">
        <x:f t="shared" si="22"/>
      </x:c>
      <x:c r="AM310" s="11" t="str">
        <x:f t="shared" si="23"/>
      </x:c>
      <x:c r="AN310" s="11" t="str">
        <x:f t="shared" si="24"/>
      </x:c>
      <x:c r="AO310" s="9"/>
      <x:c r="AP310" s="9"/>
      <x:c r="AQ310" s="27" t="s">
        <x:v>647</x:v>
      </x:c>
    </x:row>
    <x:row r="311" ht="118.05000305175781" customHeight="1">
      <x:c r="A311" s="6" t="s">
        <x:v>1199</x:v>
      </x:c>
      <x:c r="B311" s="6" t="s">
        <x:v>644</x:v>
      </x:c>
      <x:c r="C311" s="6" t="s">
        <x:v>60</x:v>
      </x:c>
      <x:c r="D311" s="6" t="s">
        <x:v>645</x:v>
      </x:c>
      <x:c r="E311" s="6" t="s">
        <x:v>268</x:v>
      </x:c>
      <x:c r="F311" s="6" t="s">
        <x:v>646</x:v>
      </x:c>
      <x:c r="G311" s="6" t="s">
        <x:v>271</x:v>
      </x:c>
      <x:c r="H311" s="6" t="s">
        <x:v>721</x:v>
      </x:c>
      <x:c r="I311" s="6" t="s">
        <x:v>1046</x:v>
      </x:c>
      <x:c r="J311" s="6" t="s">
        <x:v>1047</x:v>
      </x:c>
      <x:c r="K311" s="6" t="s">
        <x:v>648</x:v>
      </x:c>
      <x:c r="L311" s="6" t="s">
        <x:v>582</x:v>
      </x:c>
      <x:c r="M311" s="6" t="s">
        <x:v>649</x:v>
      </x:c>
      <x:c r="N311" s="6" t="s">
        <x:v>650</x:v>
      </x:c>
      <x:c r="O311" s="6" t="s">
        <x:v>651</x:v>
      </x:c>
      <x:c r="P311" s="9"/>
      <x:c r="Q311" s="9"/>
      <x:c r="R311" s="9"/>
      <x:c r="S311" s="9"/>
      <x:c r="T311" s="9"/>
      <x:c r="U311" s="9"/>
      <x:c r="V311" s="9"/>
      <x:c r="W311" s="9"/>
      <x:c r="X311" s="12" t="str">
        <x:f t="shared" si="20"/>
      </x:c>
      <x:c r="Y311" s="12" t="str">
        <x:f t="shared" si="21"/>
      </x:c>
      <x:c r="Z311" s="9" t="s">
        <x:v>870</x:v>
      </x:c>
      <x:c r="AA311" s="9"/>
      <x:c r="AB311" s="9"/>
      <x:c r="AC311" s="9"/>
      <x:c r="AD311" s="9"/>
      <x:c r="AE311" s="9"/>
      <x:c r="AF311" s="9"/>
      <x:c r="AG311" s="9"/>
      <x:c r="AH311" s="9"/>
      <x:c r="AI311" s="9"/>
      <x:c r="AJ311" s="9"/>
      <x:c r="AK311" s="9"/>
      <x:c r="AL311" s="12" t="str">
        <x:f t="shared" si="22"/>
      </x:c>
      <x:c r="AM311" s="11" t="str">
        <x:f t="shared" si="23"/>
      </x:c>
      <x:c r="AN311" s="11" t="str">
        <x:f t="shared" si="24"/>
      </x:c>
      <x:c r="AO311" s="9"/>
      <x:c r="AP311" s="9"/>
      <x:c r="AQ311" s="27" t="s">
        <x:v>647</x:v>
      </x:c>
    </x:row>
  </x:sheetData>
  <x:conditionalFormatting sqref="AM2:AN311">
    <x:cfRule type="cellIs" dxfId="1" priority="1" operator="notEqual">
      <x:formula>0</x:formula>
    </x:cfRule>
  </x:conditionalFormatting>
  <x:conditionalFormatting sqref="Z2:Z311">
    <x:cfRule type="containsText" dxfId="0" priority="2" operator="containsText" text="待执行"/>
  </x:conditionalFormatting>
  <x:dataValidations count="1">
    <x:dataValidation type="list" sqref="Z2:Z311">
      <x:formula1>"待执行,试跑中,正式运行,已完成,需复核,排除"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4" customWidth="1"/>
    <x:col min="2" max="2" width="52" customWidth="1"/>
    <x:col min="3" max="3" width="26" customWidth="1"/>
    <x:col min="4" max="4" width="28" customWidth="1"/>
    <x:col min="5" max="5" width="60" customWidth="1"/>
    <x:col min="6" max="6" width="74" customWidth="1"/>
  </x:cols>
  <x:sheetData>
    <x:row r="1" ht="34.04999923706055" customHeight="1">
      <x:c r="A1" s="7" t="s">
        <x:v>1200</x:v>
      </x:c>
      <x:c r="B1" s="7" t="s">
        <x:v>1201</x:v>
      </x:c>
      <x:c r="C1" s="7" t="s">
        <x:v>1202</x:v>
      </x:c>
      <x:c r="D1" s="7" t="s">
        <x:v>1203</x:v>
      </x:c>
      <x:c r="E1" s="7" t="s">
        <x:v>1204</x:v>
      </x:c>
      <x:c r="F1" s="7" t="s">
        <x:v>1205</x:v>
      </x:c>
    </x:row>
    <x:row r="2" ht="72" customHeight="1">
      <x:c r="A2" s="6" t="s">
        <x:v>1206</x:v>
      </x:c>
      <x:c r="B2" s="6" t="s">
        <x:v>1207</x:v>
      </x:c>
      <x:c r="C2" s="6" t="s">
        <x:v>1208</x:v>
      </x:c>
      <x:c r="D2" s="6" t="s">
        <x:v>1209</x:v>
      </x:c>
      <x:c r="E2" s="6" t="s">
        <x:v>1210</x:v>
      </x:c>
      <x:c r="F2" s="6" t="s">
        <x:v>1211</x:v>
      </x:c>
    </x:row>
    <x:row r="3" ht="72" customHeight="1">
      <x:c r="A3" s="6" t="s">
        <x:v>1212</x:v>
      </x:c>
      <x:c r="B3" s="6" t="s">
        <x:v>1213</x:v>
      </x:c>
      <x:c r="C3" s="6" t="s">
        <x:v>1208</x:v>
      </x:c>
      <x:c r="D3" s="6" t="s">
        <x:v>1209</x:v>
      </x:c>
      <x:c r="E3" s="6" t="s">
        <x:v>1214</x:v>
      </x:c>
      <x:c r="F3" s="6" t="s">
        <x:v>1215</x:v>
      </x:c>
    </x:row>
    <x:row r="4" ht="72" customHeight="1">
      <x:c r="A4" s="6" t="s">
        <x:v>1216</x:v>
      </x:c>
      <x:c r="B4" s="6" t="s">
        <x:v>1217</x:v>
      </x:c>
      <x:c r="C4" s="6" t="s">
        <x:v>1218</x:v>
      </x:c>
      <x:c r="D4" s="6" t="s">
        <x:v>1219</x:v>
      </x:c>
      <x:c r="E4" s="6" t="s">
        <x:v>1220</x:v>
      </x:c>
      <x:c r="F4" s="6" t="s">
        <x:v>1221</x:v>
      </x:c>
    </x:row>
    <x:row r="5" ht="72" customHeight="1">
      <x:c r="A5" s="6" t="s">
        <x:v>1222</x:v>
      </x:c>
      <x:c r="B5" s="6" t="s">
        <x:v>1223</x:v>
      </x:c>
      <x:c r="C5" s="6" t="s">
        <x:v>1224</x:v>
      </x:c>
      <x:c r="D5" s="6" t="s">
        <x:v>1219</x:v>
      </x:c>
      <x:c r="E5" s="6" t="s">
        <x:v>1225</x:v>
      </x:c>
      <x:c r="F5" s="6" t="s">
        <x:v>1226</x:v>
      </x:c>
    </x:row>
    <x:row r="6" ht="72" customHeight="1">
      <x:c r="A6" s="6" t="s">
        <x:v>1227</x:v>
      </x:c>
      <x:c r="B6" s="6" t="s">
        <x:v>1228</x:v>
      </x:c>
      <x:c r="C6" s="6" t="s">
        <x:v>1229</x:v>
      </x:c>
      <x:c r="D6" s="6" t="s">
        <x:v>1219</x:v>
      </x:c>
      <x:c r="E6" s="6" t="s">
        <x:v>1230</x:v>
      </x:c>
      <x:c r="F6" s="6" t="s">
        <x:v>1231</x:v>
      </x:c>
    </x:row>
    <x:row r="7" ht="72" customHeight="1">
      <x:c r="A7" s="6" t="s">
        <x:v>1232</x:v>
      </x:c>
      <x:c r="B7" s="6" t="s">
        <x:v>1233</x:v>
      </x:c>
      <x:c r="C7" s="6" t="s">
        <x:v>1234</x:v>
      </x:c>
      <x:c r="D7" s="6" t="s">
        <x:v>1219</x:v>
      </x:c>
      <x:c r="E7" s="6" t="s">
        <x:v>1235</x:v>
      </x:c>
      <x:c r="F7" s="6" t="s">
        <x:v>1236</x:v>
      </x:c>
    </x:row>
    <x:row r="8" ht="72" customHeight="1">
      <x:c r="A8" s="6" t="s">
        <x:v>1237</x:v>
      </x:c>
      <x:c r="B8" s="6" t="s">
        <x:v>1238</x:v>
      </x:c>
      <x:c r="C8" s="6" t="s">
        <x:v>1239</x:v>
      </x:c>
      <x:c r="D8" s="6" t="s">
        <x:v>1219</x:v>
      </x:c>
      <x:c r="E8" s="6" t="s">
        <x:v>1240</x:v>
      </x:c>
      <x:c r="F8" s="6" t="s">
        <x:v>1241</x:v>
      </x:c>
    </x:row>
    <x:row r="9" ht="72" customHeight="1">
      <x:c r="A9" s="6" t="s">
        <x:v>1242</x:v>
      </x:c>
      <x:c r="B9" s="6" t="s">
        <x:v>1243</x:v>
      </x:c>
      <x:c r="C9" s="6" t="s">
        <x:v>1244</x:v>
      </x:c>
      <x:c r="D9" s="6" t="s">
        <x:v>1219</x:v>
      </x:c>
      <x:c r="E9" s="6" t="s">
        <x:v>1245</x:v>
      </x:c>
      <x:c r="F9" s="6" t="s">
        <x:v>1246</x:v>
      </x:c>
    </x:row>
    <x:row r="10" ht="72" customHeight="1">
      <x:c r="A10" s="6" t="s">
        <x:v>1247</x:v>
      </x:c>
      <x:c r="B10" s="6" t="s">
        <x:v>1248</x:v>
      </x:c>
      <x:c r="C10" s="6" t="s">
        <x:v>1249</x:v>
      </x:c>
      <x:c r="D10" s="6" t="s">
        <x:v>1219</x:v>
      </x:c>
      <x:c r="E10" s="6" t="s">
        <x:v>1250</x:v>
      </x:c>
      <x:c r="F10" s="6" t="s">
        <x:v>1251</x:v>
      </x:c>
    </x:row>
    <x:row r="11" ht="72" customHeight="1">
      <x:c r="A11" s="6" t="s">
        <x:v>1252</x:v>
      </x:c>
      <x:c r="B11" s="6" t="s">
        <x:v>1253</x:v>
      </x:c>
      <x:c r="C11" s="6" t="s">
        <x:v>1254</x:v>
      </x:c>
      <x:c r="D11" s="6" t="s">
        <x:v>1255</x:v>
      </x:c>
      <x:c r="E11" s="6" t="s">
        <x:v>1256</x:v>
      </x:c>
      <x:c r="F11" s="6" t="s">
        <x:v>1257</x:v>
      </x:c>
    </x:row>
    <x:row r="12" ht="72" customHeight="1">
      <x:c r="A12" s="6" t="s">
        <x:v>1258</x:v>
      </x:c>
      <x:c r="B12" s="6" t="s">
        <x:v>1259</x:v>
      </x:c>
      <x:c r="C12" s="6" t="s">
        <x:v>1260</x:v>
      </x:c>
      <x:c r="D12" s="6" t="s">
        <x:v>1255</x:v>
      </x:c>
      <x:c r="E12" s="6" t="s">
        <x:v>1261</x:v>
      </x:c>
      <x:c r="F12" s="6" t="s">
        <x:v>1262</x:v>
      </x:c>
    </x:row>
  </x:sheetData>
  <x:pageMargins left="0.7" right="0.7" top="0.75" bottom="0.75" header="0.3" footer="0.3"/>
</x:worksheet>
</file>
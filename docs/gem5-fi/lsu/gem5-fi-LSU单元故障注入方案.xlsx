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comments/comment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0.说明与总览" sheetId="1" state="visible" r:id="rId1"/>
    <sheet xmlns:r="http://schemas.openxmlformats.org/officeDocument/2006/relationships" name="1.单元与现有研究" sheetId="2" state="visible" r:id="rId2"/>
    <sheet xmlns:r="http://schemas.openxmlformats.org/officeDocument/2006/relationships" name="2.LSU参数基线" sheetId="3" state="visible" r:id="rId3"/>
    <sheet xmlns:r="http://schemas.openxmlformats.org/officeDocument/2006/relationships" name="3.位置x模型矩阵" sheetId="4" state="visible" r:id="rId4"/>
    <sheet xmlns:r="http://schemas.openxmlformats.org/officeDocument/2006/relationships" name="4.观测点定义" sheetId="5" state="visible" r:id="rId5"/>
    <sheet xmlns:r="http://schemas.openxmlformats.org/officeDocument/2006/relationships" name="5.频率与统计" sheetId="6" state="visible" r:id="rId6"/>
    <sheet xmlns:r="http://schemas.openxmlformats.org/officeDocument/2006/relationships" name="6.负载清单" sheetId="7" state="visible" r:id="rId7"/>
    <sheet xmlns:r="http://schemas.openxmlformats.org/officeDocument/2006/relationships" name="7.展开执行矩阵" sheetId="8" state="visible" r:id="rId8"/>
    <sheet xmlns:r="http://schemas.openxmlformats.org/officeDocument/2006/relationships" name="8.文献与来源" sheetId="9" state="visible" r:id="rId9"/>
  </sheets>
  <definedNames>
    <definedName name="_xlnm._FilterDatabase" localSheetId="7" hidden="1">'7.展开执行矩阵'!$A$1:$AW$326</definedName>
  </definedNames>
  <calcPr calcId="191029" calcMode="auto" fullCalcOnLoad="1" forceFullCalc="1"/>
</workbook>
</file>

<file path=xl/styles.xml><?xml version="1.0" encoding="utf-8"?>
<styleSheet xmlns="http://schemas.openxmlformats.org/spreadsheetml/2006/main">
  <numFmts count="0"/>
  <fonts count="16">
    <font>
      <name val="等线"/>
      <color theme="1"/>
      <sz val="11"/>
    </font>
    <font>
      <name val="Carlito"/>
      <sz val="11"/>
    </font>
    <font>
      <name val="微软雅黑"/>
      <charset val="134"/>
      <family val="2"/>
      <b val="1"/>
      <color rgb="FF1F1F1F"/>
      <sz val="13"/>
    </font>
    <font>
      <name val="微软雅黑"/>
      <charset val="134"/>
      <family val="2"/>
      <color rgb="FF1F1F1F"/>
      <sz val="10"/>
    </font>
    <font>
      <name val="微软雅黑"/>
      <charset val="134"/>
      <family val="2"/>
      <b val="1"/>
      <color rgb="FF1F4E78"/>
      <sz val="10"/>
    </font>
    <font>
      <name val="微软雅黑"/>
      <charset val="134"/>
      <family val="2"/>
      <b val="1"/>
      <color rgb="FFFFFFFF"/>
      <sz val="11"/>
    </font>
    <font>
      <name val="微软雅黑"/>
      <charset val="134"/>
      <family val="2"/>
      <b val="1"/>
      <color rgb="FF1F1F1F"/>
      <sz val="9"/>
    </font>
    <font>
      <name val="微软雅黑"/>
      <charset val="134"/>
      <family val="2"/>
      <color rgb="FF1F1F1F"/>
      <sz val="9"/>
    </font>
    <font>
      <name val="微软雅黑"/>
      <charset val="134"/>
      <family val="2"/>
      <b val="1"/>
      <color rgb="FF1F4E78"/>
      <sz val="9"/>
    </font>
    <font>
      <name val="微软雅黑"/>
      <charset val="134"/>
      <family val="2"/>
      <b val="1"/>
      <color rgb="FF1F1F1F"/>
      <sz val="8"/>
    </font>
    <font>
      <name val="微软雅黑"/>
      <charset val="134"/>
      <family val="2"/>
      <color rgb="FF1F1F1F"/>
      <sz val="8"/>
    </font>
    <font>
      <name val="微软雅黑"/>
      <charset val="134"/>
      <family val="2"/>
      <color rgb="FF9C5700"/>
      <sz val="8"/>
    </font>
    <font>
      <name val="宋体"/>
      <charset val="134"/>
      <family val="3"/>
      <sz val="9"/>
    </font>
    <font>
      <name val="Arial"/>
      <family val="2"/>
      <b val="1"/>
      <color rgb="FFFFFFFF"/>
      <sz val="10"/>
    </font>
    <font>
      <name val="Arial"/>
      <family val="2"/>
      <b val="1"/>
      <color rgb="FF1F2937"/>
      <sz val="10"/>
    </font>
    <font>
      <name val="Arial"/>
      <family val="2"/>
      <color rgb="FF1F2937"/>
      <sz val="10"/>
    </font>
  </fonts>
  <fills count="19">
    <fill>
      <patternFill/>
    </fill>
    <fill>
      <patternFill patternType="gray125"/>
    </fill>
    <fill>
      <patternFill patternType="solid">
        <fgColor rgb="FF4472C4"/>
      </patternFill>
    </fill>
    <fill>
      <patternFill patternType="solid">
        <fgColor rgb="FFD9E1F2"/>
      </patternFill>
    </fill>
    <fill>
      <patternFill patternType="solid">
        <fgColor rgb="FFE2F0D9"/>
      </patternFill>
    </fill>
    <fill>
      <patternFill patternType="solid">
        <fgColor rgb="FFFCE4D6"/>
      </patternFill>
    </fill>
    <fill>
      <patternFill patternType="solid">
        <fgColor rgb="FFDDEBF7"/>
      </patternFill>
    </fill>
    <fill>
      <patternFill patternType="solid">
        <fgColor rgb="FFE7E6E6"/>
      </patternFill>
    </fill>
    <fill>
      <patternFill patternType="solid">
        <fgColor rgb="FFFFF2CC"/>
      </patternFill>
    </fill>
    <fill>
      <patternFill patternType="solid">
        <fgColor rgb="FFFCE4D6"/>
      </patternFill>
    </fill>
    <fill>
      <patternFill patternType="solid">
        <fgColor rgb="FFDDEBF7"/>
      </patternFill>
    </fill>
    <fill>
      <patternFill patternType="solid">
        <fgColor rgb="FFFFF2CC"/>
      </patternFill>
    </fill>
    <fill>
      <patternFill patternType="solid">
        <fgColor rgb="FFFFF2CC"/>
      </patternFill>
    </fill>
    <fill>
      <patternFill patternType="solid">
        <fgColor rgb="FFDDEBF7"/>
      </patternFill>
    </fill>
    <fill>
      <patternFill patternType="solid">
        <fgColor rgb="FF4472C4"/>
      </patternFill>
    </fill>
    <fill>
      <patternFill patternType="solid">
        <fgColor rgb="FFFFF2CC"/>
      </patternFill>
    </fill>
    <fill>
      <patternFill patternType="solid">
        <fgColor rgb="FF17365D"/>
      </patternFill>
    </fill>
    <fill>
      <patternFill patternType="solid">
        <fgColor rgb="FFD9E2F3"/>
      </patternFill>
    </fill>
    <fill>
      <patternFill patternType="solid">
        <fgColor rgb="FFEAF2F8"/>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diagonal/>
    </border>
    <border>
      <left/>
      <right style="thin">
        <color rgb="FFFFFFFF"/>
      </right>
      <top style="thin">
        <color rgb="FFFFFFFF"/>
      </top>
      <bottom/>
      <diagonal/>
    </border>
  </borders>
  <cellStyleXfs count="3">
    <xf numFmtId="0" fontId="0" fillId="0" borderId="0" applyAlignment="1">
      <alignment vertical="center"/>
    </xf>
    <xf numFmtId="0" fontId="1" fillId="0" borderId="0"/>
    <xf numFmtId="0" fontId="1" fillId="0" borderId="0"/>
  </cellStyleXfs>
  <cellXfs count="63">
    <xf numFmtId="0" fontId="0" fillId="0" borderId="0" applyAlignment="1" pivotButton="0" quotePrefix="0" xfId="0">
      <alignment vertical="center"/>
    </xf>
    <xf numFmtId="0" fontId="2" fillId="0" borderId="0" applyAlignment="1" pivotButton="0" quotePrefix="0" xfId="1">
      <alignment vertical="top" wrapText="1"/>
    </xf>
    <xf numFmtId="0" fontId="1" fillId="0" borderId="0" pivotButton="0" quotePrefix="0" xfId="2"/>
    <xf numFmtId="0" fontId="3" fillId="0" borderId="0" applyAlignment="1" pivotButton="0" quotePrefix="0" xfId="1">
      <alignment vertical="top" wrapText="1"/>
    </xf>
    <xf numFmtId="0" fontId="4" fillId="0" borderId="0" applyAlignment="1" pivotButton="0" quotePrefix="0" xfId="1">
      <alignment vertical="top" wrapText="1"/>
    </xf>
    <xf numFmtId="0" fontId="5" fillId="2" borderId="1" applyAlignment="1" pivotButton="0" quotePrefix="0" xfId="1">
      <alignment horizontal="center" vertical="center" wrapText="1"/>
    </xf>
    <xf numFmtId="0" fontId="6" fillId="3" borderId="1" applyAlignment="1" pivotButton="0" quotePrefix="0" xfId="1">
      <alignment horizontal="left" vertical="top" wrapText="1"/>
    </xf>
    <xf numFmtId="0" fontId="7" fillId="3" borderId="1" applyAlignment="1" pivotButton="0" quotePrefix="0" xfId="1">
      <alignment horizontal="left" vertical="top" wrapText="1"/>
    </xf>
    <xf numFmtId="0" fontId="6" fillId="4" borderId="1" applyAlignment="1" pivotButton="0" quotePrefix="0" xfId="1">
      <alignment horizontal="left" vertical="top" wrapText="1"/>
    </xf>
    <xf numFmtId="0" fontId="7" fillId="4" borderId="1" applyAlignment="1" pivotButton="0" quotePrefix="0" xfId="1">
      <alignment horizontal="left" vertical="top" wrapText="1"/>
    </xf>
    <xf numFmtId="0" fontId="6" fillId="5" borderId="1" applyAlignment="1" pivotButton="0" quotePrefix="0" xfId="1">
      <alignment horizontal="left" vertical="top" wrapText="1"/>
    </xf>
    <xf numFmtId="0" fontId="7" fillId="5" borderId="1" applyAlignment="1" pivotButton="0" quotePrefix="0" xfId="1">
      <alignment horizontal="left" vertical="top" wrapText="1"/>
    </xf>
    <xf numFmtId="0" fontId="6" fillId="6" borderId="1" applyAlignment="1" pivotButton="0" quotePrefix="0" xfId="1">
      <alignment horizontal="left" vertical="top" wrapText="1"/>
    </xf>
    <xf numFmtId="0" fontId="7" fillId="6" borderId="1" applyAlignment="1" pivotButton="0" quotePrefix="0" xfId="1">
      <alignment horizontal="left" vertical="top" wrapText="1"/>
    </xf>
    <xf numFmtId="0" fontId="6" fillId="7" borderId="1" applyAlignment="1" pivotButton="0" quotePrefix="0" xfId="1">
      <alignment horizontal="left" vertical="top" wrapText="1"/>
    </xf>
    <xf numFmtId="0" fontId="7" fillId="7" borderId="1" applyAlignment="1" pivotButton="0" quotePrefix="0" xfId="1">
      <alignment horizontal="left" vertical="top" wrapText="1"/>
    </xf>
    <xf numFmtId="0" fontId="6" fillId="8" borderId="1" applyAlignment="1" pivotButton="0" quotePrefix="0" xfId="1">
      <alignment horizontal="left" vertical="top" wrapText="1"/>
    </xf>
    <xf numFmtId="0" fontId="7" fillId="8" borderId="1" applyAlignment="1" pivotButton="0" quotePrefix="0" xfId="1">
      <alignment horizontal="left" vertical="top" wrapText="1"/>
    </xf>
    <xf numFmtId="0" fontId="6" fillId="0" borderId="1" applyAlignment="1" pivotButton="0" quotePrefix="0" xfId="1">
      <alignment horizontal="left" vertical="top" wrapText="1"/>
    </xf>
    <xf numFmtId="0" fontId="7" fillId="0" borderId="1" applyAlignment="1" pivotButton="0" quotePrefix="0" xfId="1">
      <alignment horizontal="left" vertical="top" wrapText="1"/>
    </xf>
    <xf numFmtId="0" fontId="8" fillId="0" borderId="1" applyAlignment="1" pivotButton="0" quotePrefix="0" xfId="1">
      <alignment horizontal="left" vertical="top" wrapText="1"/>
    </xf>
    <xf numFmtId="0" fontId="9" fillId="0" borderId="1" applyAlignment="1" pivotButton="0" quotePrefix="0" xfId="1">
      <alignment horizontal="left" vertical="top" wrapText="1"/>
    </xf>
    <xf numFmtId="0" fontId="10" fillId="0" borderId="1" applyAlignment="1" pivotButton="0" quotePrefix="0" xfId="1">
      <alignment horizontal="left" vertical="top" wrapText="1"/>
    </xf>
    <xf numFmtId="0" fontId="10" fillId="8" borderId="1" applyAlignment="1" pivotButton="0" quotePrefix="0" xfId="1">
      <alignment horizontal="left" vertical="top" wrapText="1"/>
    </xf>
    <xf numFmtId="0" fontId="10" fillId="6" borderId="1" applyAlignment="1" pivotButton="0" quotePrefix="0" xfId="1">
      <alignment horizontal="left" vertical="top" wrapText="1"/>
    </xf>
    <xf numFmtId="0" fontId="4" fillId="0" borderId="0" applyAlignment="1" pivotButton="0" quotePrefix="0" xfId="0">
      <alignment vertical="center" wrapText="1"/>
    </xf>
    <xf numFmtId="0" fontId="3" fillId="0" borderId="0" applyAlignment="1" pivotButton="0" quotePrefix="0" xfId="0">
      <alignment vertical="center" wrapText="1"/>
    </xf>
    <xf numFmtId="0" fontId="7" fillId="9" borderId="1" applyAlignment="1" pivotButton="0" quotePrefix="0" xfId="0">
      <alignment horizontal="left" vertical="top" wrapText="1"/>
    </xf>
    <xf numFmtId="0" fontId="6" fillId="9" borderId="1" applyAlignment="1" pivotButton="0" quotePrefix="0" xfId="0">
      <alignment horizontal="left" vertical="top" wrapText="1"/>
    </xf>
    <xf numFmtId="0" fontId="7"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0" borderId="1" applyAlignment="1" pivotButton="0" quotePrefix="0" xfId="0">
      <alignment horizontal="left" vertical="top" wrapText="1"/>
    </xf>
    <xf numFmtId="0" fontId="9" fillId="0" borderId="1" applyAlignment="1" pivotButton="0" quotePrefix="0" xfId="0">
      <alignment horizontal="left" vertical="top" wrapText="1"/>
    </xf>
    <xf numFmtId="0" fontId="10" fillId="11" borderId="1" applyAlignment="1" pivotButton="0" quotePrefix="0" xfId="0">
      <alignment horizontal="left" vertical="top" wrapText="1"/>
    </xf>
    <xf numFmtId="0" fontId="11" fillId="11" borderId="1" applyAlignment="1" pivotButton="0" quotePrefix="0" xfId="0">
      <alignment horizontal="left" vertical="top" wrapText="1"/>
    </xf>
    <xf numFmtId="10" fontId="10" fillId="6" borderId="1" applyAlignment="1" pivotButton="0" quotePrefix="0" xfId="0">
      <alignment horizontal="left" vertical="top" wrapText="1"/>
    </xf>
    <xf numFmtId="10" fontId="10" fillId="10" borderId="1" applyAlignment="1" pivotButton="0" quotePrefix="0" xfId="0">
      <alignment horizontal="left" vertical="top" wrapText="1"/>
    </xf>
    <xf numFmtId="0" fontId="0" fillId="0" borderId="0" applyAlignment="1" pivotButton="0" quotePrefix="0" xfId="0">
      <alignment vertical="center" wrapText="1"/>
    </xf>
    <xf numFmtId="1" fontId="0" fillId="12" borderId="2" applyAlignment="1" pivotButton="0" quotePrefix="0" xfId="0">
      <alignment horizontal="center" vertical="center"/>
    </xf>
    <xf numFmtId="0" fontId="0" fillId="12" borderId="2" applyAlignment="1" pivotButton="0" quotePrefix="0" xfId="0">
      <alignment vertical="center"/>
    </xf>
    <xf numFmtId="10" fontId="0" fillId="13" borderId="2" applyAlignment="1" pivotButton="0" quotePrefix="0" xfId="0">
      <alignment horizontal="center" vertical="center"/>
    </xf>
    <xf numFmtId="1" fontId="0" fillId="13" borderId="2" applyAlignment="1" pivotButton="0" quotePrefix="0" xfId="0">
      <alignment horizontal="center" vertical="center"/>
    </xf>
    <xf numFmtId="0" fontId="0" fillId="15" borderId="3" applyAlignment="1" pivotButton="0" quotePrefix="0" xfId="0">
      <alignment horizontal="center" vertical="center"/>
    </xf>
    <xf numFmtId="0" fontId="0" fillId="15" borderId="4" applyAlignment="1" pivotButton="0" quotePrefix="0" xfId="0">
      <alignment horizontal="center" vertical="center"/>
    </xf>
    <xf numFmtId="0" fontId="0" fillId="15" borderId="5" applyAlignment="1" pivotButton="0" quotePrefix="0" xfId="0">
      <alignment horizontal="center" vertical="center"/>
    </xf>
    <xf numFmtId="0" fontId="0" fillId="15" borderId="6" applyAlignment="1" pivotButton="0" quotePrefix="0" xfId="0">
      <alignment horizontal="center" vertical="center"/>
    </xf>
    <xf numFmtId="0" fontId="13" fillId="16" borderId="7" applyAlignment="1" pivotButton="0" quotePrefix="0" xfId="0">
      <alignment horizontal="center" vertical="center" wrapText="1"/>
    </xf>
    <xf numFmtId="0" fontId="15" fillId="17" borderId="8" applyAlignment="1" pivotButton="0" quotePrefix="0" xfId="0">
      <alignment vertical="center" wrapText="1"/>
    </xf>
    <xf numFmtId="0" fontId="15" fillId="18" borderId="8" applyAlignment="1" pivotButton="0" quotePrefix="0" xfId="0">
      <alignment vertical="center" wrapText="1"/>
    </xf>
    <xf numFmtId="0" fontId="14" fillId="18" borderId="8" applyAlignment="1" pivotButton="0" quotePrefix="0" xfId="0">
      <alignment horizontal="left" vertical="center" wrapText="1"/>
    </xf>
    <xf numFmtId="0" fontId="15" fillId="18" borderId="8" applyAlignment="1" pivotButton="0" quotePrefix="0" xfId="0">
      <alignment horizontal="left" vertical="center" wrapText="1"/>
    </xf>
    <xf numFmtId="0" fontId="5" fillId="14" borderId="1" applyAlignment="1" pivotButton="0" quotePrefix="0" xfId="1">
      <alignment horizontal="center" vertical="center" wrapText="1"/>
    </xf>
    <xf numFmtId="0" fontId="6" fillId="9" borderId="1" applyAlignment="1" pivotButton="0" quotePrefix="0" xfId="1">
      <alignment horizontal="left" vertical="top" wrapText="1"/>
    </xf>
    <xf numFmtId="0" fontId="7" fillId="9" borderId="1" applyAlignment="1" pivotButton="0" quotePrefix="0" xfId="1">
      <alignment horizontal="left" vertical="top" wrapText="1"/>
    </xf>
    <xf numFmtId="0" fontId="6" fillId="13" borderId="1" applyAlignment="1" pivotButton="0" quotePrefix="0" xfId="1">
      <alignment horizontal="left" vertical="top" wrapText="1"/>
    </xf>
    <xf numFmtId="0" fontId="7" fillId="13" borderId="1" applyAlignment="1" pivotButton="0" quotePrefix="0" xfId="1">
      <alignment horizontal="left" vertical="top" wrapText="1"/>
    </xf>
    <xf numFmtId="0" fontId="6" fillId="15" borderId="1" applyAlignment="1" pivotButton="0" quotePrefix="0" xfId="1">
      <alignment horizontal="left" vertical="top" wrapText="1"/>
    </xf>
    <xf numFmtId="0" fontId="7" fillId="15" borderId="1" applyAlignment="1" pivotButton="0" quotePrefix="0" xfId="1">
      <alignment horizontal="left" vertical="top" wrapText="1"/>
    </xf>
    <xf numFmtId="0" fontId="0" fillId="0" borderId="0" pivotButton="0" quotePrefix="0" xfId="0"/>
    <xf numFmtId="0" fontId="13" fillId="16" borderId="7" applyAlignment="1" pivotButton="0" quotePrefix="0" xfId="0">
      <alignment vertical="center" wrapText="1"/>
    </xf>
    <xf numFmtId="0" fontId="0" fillId="0" borderId="9" pivotButton="0" quotePrefix="0" xfId="0"/>
    <xf numFmtId="0" fontId="0" fillId="0" borderId="10" pivotButton="0" quotePrefix="0" xfId="0"/>
    <xf numFmtId="10" fontId="10" fillId="13" borderId="1" applyAlignment="1" pivotButton="0" quotePrefix="0" xfId="0">
      <alignment horizontal="left" vertical="top" wrapText="1"/>
    </xf>
  </cellXfs>
  <cellStyles count="3">
    <cellStyle name="常规" xfId="0" builtinId="0"/>
    <cellStyle name="Normal" xfId="1"/>
    <cellStyle name="常规 2" xfId="2"/>
  </cellStyles>
  <dxfs count="3">
    <dxf>
      <font>
        <color rgb="FF9C5700"/>
      </font>
      <fill>
        <patternFill>
          <bgColor rgb="FFFFF2CC"/>
        </patternFill>
      </fill>
    </dxf>
    <dxf>
      <font>
        <b val="1"/>
        <color rgb="FF9C0006"/>
      </font>
      <fill>
        <patternFill>
          <bgColor rgb="FFF4CCCC"/>
        </patternFill>
      </fill>
    </dxf>
    <dxf>
      <font>
        <b val="1"/>
        <color rgb="FF9C5700"/>
      </font>
      <fill>
        <patternFill>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OpenAI</author>
  </authors>
  <commentList>
    <comment ref="A20" authorId="0" shapeId="0">
      <text>
        <t>385与2401由二项比例样本量公式n=z²p(1-p)/e²得到，取z=1.96、p=0.5，e分别为0.05和0.02。385次统计故障注入的直接文献依据见“8.文献与来源”中的SFI09。</t>
      </text>
    </comment>
  </commentList>
</comments>
</file>

<file path=xl/comments/comment2.xml><?xml version="1.0" encoding="utf-8"?>
<comments xmlns="http://schemas.openxmlformats.org/spreadsheetml/2006/main">
  <authors>
    <author>OpenAI</author>
  </authors>
  <commentList>
    <comment ref="B14" authorId="0" shapeId="0">
      <text>
        <t>Leveugle等在DATE 2009的统计故障注入论文中实际采用385次注入来对应95%置信水平和±5%误差。</t>
      </text>
    </comment>
    <comment ref="B15" authorId="0" shapeId="0">
      <text>
        <t>2401由同一二项比例样本量公式推导；固定样本量用于避免普通置信区间下的序贯停止问题。</t>
      </text>
    </comment>
  </commentList>
</comments>
</file>

<file path=xl/tables/table1.xml><?xml version="1.0" encoding="utf-8"?>
<table xmlns="http://schemas.openxmlformats.org/spreadsheetml/2006/main" id="1" name="ExistingResearch" displayName="ExistingResearch" ref="A1:G7" headerRowCount="1" totalsRowShown="0">
  <autoFilter ref="A1:G7"/>
  <tableColumns count="7">
    <tableColumn id="1" name="单元"/>
    <tableColumn id="2" name="作用"/>
    <tableColumn id="3" name="现有文章"/>
    <tableColumn id="4" name="现有文章结果"/>
    <tableColumn id="5" name="指标口径"/>
    <tableColumn id="6" name="证据直接性"/>
    <tableColumn id="7" name="研究空白/本方案增量"/>
  </tableColumns>
  <tableStyleInfo name="TableStyleMedium2" showFirstColumn="0" showLastColumn="0" showRowStripes="0" showColumnStripes="0"/>
</table>
</file>

<file path=xl/tables/table2.xml><?xml version="1.0" encoding="utf-8"?>
<table xmlns="http://schemas.openxmlformats.org/spreadsheetml/2006/main" id="2" name="LSUParameters" displayName="LSUParameters" ref="A1:E20" headerRowCount="1" totalsRowShown="0">
  <autoFilter ref="A1:E20"/>
  <tableColumns count="5">
    <tableColumn id="1" name="结构/参数"/>
    <tableColumn id="2" name="B0最终值"/>
    <tableColumn id="3" name="处理"/>
    <tableColumn id="4" name="依据/合理性判断"/>
    <tableColumn id="5" name="敏感性配置"/>
  </tableColumns>
  <tableStyleInfo name="TableStyleMedium2" showFirstColumn="0" showLastColumn="0" showRowStripes="0" showColumnStripes="0"/>
</table>
</file>

<file path=xl/tables/table3.xml><?xml version="1.0" encoding="utf-8"?>
<table xmlns="http://schemas.openxmlformats.org/spreadsheetml/2006/main" id="3" name="ObservationLevels" displayName="ObservationLevels" ref="A1:F7" headerRowCount="1" totalsRowShown="0">
  <autoFilter ref="A1:F7"/>
  <tableColumns count="6">
    <tableColumn id="1" name="层级"/>
    <tableColumn id="2" name="含义"/>
    <tableColumn id="3" name="LSU必须记录的字段/状态"/>
    <tableColumn id="4" name="建议实现点"/>
    <tableColumn id="5" name="判定用途"/>
    <tableColumn id="6" name="注意事项"/>
  </tableColumns>
  <tableStyleInfo name="TableStyleMedium2" showFirstColumn="0" showLastColumn="0" showRowStripes="1" showColumnStripes="0"/>
</table>
</file>

<file path=xl/tables/table4.xml><?xml version="1.0" encoding="utf-8"?>
<table xmlns="http://schemas.openxmlformats.org/spreadsheetml/2006/main" id="4" name="StatRules" displayName="StatRules" ref="A11:F18" headerRowCount="1" totalsRowShown="0">
  <autoFilter ref="A11:F18"/>
  <tableColumns count="6">
    <tableColumn id="1" name="统计项"/>
    <tableColumn id="2" name="规则/公式"/>
    <tableColumn id="3" name="筛查目标"/>
    <tableColumn id="4" name="主结果目标"/>
    <tableColumn id="5" name="原因"/>
    <tableColumn id="6" name="备注"/>
  </tableColumns>
  <tableStyleInfo name="TableStyleMedium2" showFirstColumn="0" showLastColumn="0" showRowStripes="0" showColumnStripes="0"/>
</table>
</file>

<file path=xl/tables/table5.xml><?xml version="1.0" encoding="utf-8"?>
<table xmlns="http://schemas.openxmlformats.org/spreadsheetml/2006/main" id="5" name="FrequencyTiers" displayName="FrequencyTiers" ref="A1:F8" headerRowCount="1" totalsRowShown="0">
  <tableColumns count="6">
    <tableColumn id="1" name="档位"/>
    <tableColumn id="2" name="名称"/>
    <tableColumn id="3" name="定义"/>
    <tableColumn id="4" name="适用故障"/>
    <tableColumn id="5" name="设计意图"/>
    <tableColumn id="6" name="统计单位"/>
  </tableColumns>
  <tableStyleInfo name="TableStyleMedium2" showFirstColumn="0" showLastColumn="0" showRowStripes="1" showColumnStripes="0"/>
</table>
</file>

<file path=xl/tables/table6.xml><?xml version="1.0" encoding="utf-8"?>
<table xmlns="http://schemas.openxmlformats.org/spreadsheetml/2006/main" id="6" name="Workloads" displayName="Workloads" ref="A1:F13" headerRowCount="1" totalsRowShown="0">
  <autoFilter ref="A1:F13"/>
  <tableColumns count="6">
    <tableColumn id="1" name="负载ID"/>
    <tableColumn id="2" name="名称"/>
    <tableColumn id="3" name="类型"/>
    <tableColumn id="4" name="定义/输入与oracle"/>
    <tableColumn id="5" name="主要覆盖单元"/>
    <tableColumn id="6" name="模式"/>
  </tableColumns>
  <tableStyleInfo name="TableStyleMedium2" showFirstColumn="0" showLastColumn="0" showRowStripes="0" showColumnStripes="0"/>
</table>
</file>

<file path=xl/tables/table7.xml><?xml version="1.0" encoding="utf-8"?>
<table xmlns="http://schemas.openxmlformats.org/spreadsheetml/2006/main" id="7" name="Sources" displayName="Sources" ref="A1:F12" headerRowCount="1" totalsRowShown="0">
  <autoFilter ref="A1:F12"/>
  <tableColumns count="6">
    <tableColumn id="1" name="代码"/>
    <tableColumn id="2" name="标题/资源"/>
    <tableColumn id="3" name="类型/发表"/>
    <tableColumn id="4" name="核对方式"/>
    <tableColumn id="5" name="本工作簿用途"/>
    <tableColumn id="6" name="定位"/>
  </tableColumns>
  <tableStyleInfo name="TableStyleMedium2" showFirstColumn="0" showLastColumn="0" showRowStripes="0"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tabColor rgb="FF1F4E78"/>
    <outlinePr summaryBelow="1" summaryRight="1"/>
    <pageSetUpPr/>
  </sheetPr>
  <dimension ref="A1:A25"/>
  <sheetViews>
    <sheetView showGridLines="0" workbookViewId="0">
      <selection activeCell="A1" sqref="A1"/>
    </sheetView>
  </sheetViews>
  <sheetFormatPr baseColWidth="8" defaultColWidth="9" defaultRowHeight="14.25"/>
  <cols>
    <col width="135" customWidth="1" style="2" min="1" max="1"/>
    <col width="9" customWidth="1" style="2" min="2" max="2"/>
    <col width="9" customWidth="1" style="2" min="3" max="16384"/>
  </cols>
  <sheetData>
    <row r="1" ht="27.95" customHeight="1" s="58">
      <c r="A1" s="1" t="inlineStr">
        <is>
          <t>LSU 单元故障注入方案 — 总览</t>
        </is>
      </c>
    </row>
    <row r="2" ht="13.9" customHeight="1" s="58">
      <c r="A2" s="3" t="n"/>
    </row>
    <row r="3" ht="15" customHeight="1" s="58">
      <c r="A3" s="3" t="inlineStr">
        <is>
          <t>范围：AGU、L1d-TLB、Load Queue、Store Queue、L1d-Cache、原子与同步、数据预取器。</t>
        </is>
      </c>
    </row>
    <row r="4" ht="15" customHeight="1" s="58">
      <c r="A4" s="3" t="inlineStr">
        <is>
          <t>统一基线：LSU单元参数总表.md 的 B0。除 DTLB=32 项是为复现 TC'23 的显式覆盖外，其余优先采用 gem5 stable 的 O3_ARM_v7a_3 / BaseO3CPU / ArmMMU 配置。</t>
        </is>
      </c>
    </row>
    <row r="5" ht="27.75" customHeight="1" s="58">
      <c r="A5" s="3" t="inlineStr">
        <is>
          <t>重要纠正：B0 是可复现实验模型，不是鲲鹏 920 复刻；cache ports=200 不是物理端口数；当前 ARM 示例为 1 Load FU + 1 Store FU，L1D=32KiB/2-way，StridePrefetcher 位于 L2。</t>
        </is>
      </c>
    </row>
    <row r="6" ht="15" customHeight="1" s="58">
      <c r="A6" s="3" t="n"/>
    </row>
    <row r="7" ht="15" customHeight="1" s="58">
      <c r="A7" s="4" t="inlineStr">
        <is>
          <t>工作簿结构</t>
        </is>
      </c>
    </row>
    <row r="8" ht="15" customHeight="1" s="58">
      <c r="A8" s="3" t="inlineStr">
        <is>
          <t>1.单元与现有研究：逐单元填写“现有文章”和“现有文章结果”，并严格区分 AVF、非Benign条件占比、检测率和DelayAVF。</t>
        </is>
      </c>
    </row>
    <row r="9" ht="15" customHeight="1" s="58">
      <c r="A9" s="3" t="inlineStr">
        <is>
          <t>2.LSU参数基线：参数合理性审查、B0定值与单因素敏感性配置。</t>
        </is>
      </c>
    </row>
    <row r="10" ht="15" customHeight="1" s="58">
      <c r="A10" s="3" t="inlineStr">
        <is>
          <t>3.位置×模型矩阵：按“注入位置→故障子模型→注入条件/频率→负载→观测→预期→理由→依据→保护机制”展开，避免在位置和模型之间重复叙述。</t>
        </is>
      </c>
    </row>
    <row r="11" ht="15" customHeight="1" s="58">
      <c r="A11" s="3" t="inlineStr">
        <is>
          <t>4.观测点定义：L0-L5传播链；激活后的SDC条件率以可分析activated为分母，同时单独报告合法目标出现率和激活率。</t>
        </is>
      </c>
    </row>
    <row r="12" ht="15" customHeight="1" s="58">
      <c r="A12" s="3" t="inlineStr">
        <is>
          <t>5.频率与统计：事件归一化频率、周期换算、随机化与样本量。</t>
        </is>
      </c>
    </row>
    <row r="13" ht="15" customHeight="1" s="58">
      <c r="A13" s="3" t="inlineStr">
        <is>
          <t>6.负载清单：论文复现、公开通用和定向探针负载。</t>
        </is>
      </c>
    </row>
    <row r="14" ht="15" customHeight="1" s="58">
      <c r="A14" s="3" t="inlineStr">
        <is>
          <t>7.展开执行矩阵：以运行级独立样本记录；保留模型ID、频率档、负载、seed、eligible/activated、首次检测、最终结局、保护机制证据，并显式记录故障表现形式/子模型。</t>
        </is>
      </c>
    </row>
    <row r="15" ht="15" customHeight="1" s="58">
      <c r="A15" s="3" t="inlineStr">
        <is>
          <t>8.文献与来源：本地论文和官方源码定位。</t>
        </is>
      </c>
    </row>
    <row r="16" ht="15" customHeight="1" s="58">
      <c r="A16" s="3" t="n"/>
    </row>
    <row r="17" ht="15" customHeight="1" s="58">
      <c r="A17" s="4" t="inlineStr">
        <is>
          <t>统计与判定边界</t>
        </is>
      </c>
    </row>
    <row r="18" ht="15" customHeight="1" s="58">
      <c r="A18" s="3" t="inlineStr">
        <is>
          <t>① attempted、eligible、activated分开记录；报告eligible/attempted（合法目标出现率）和activated/eligible（故障激活率）。目标未被后续读取/使用的注入归入Injected-not-activated，不进入激活后的条件结果率分母。</t>
        </is>
      </c>
    </row>
    <row r="19" ht="15" customHeight="1" s="58">
      <c r="A19" s="3" t="inlineStr">
        <is>
          <t>② F0单次故障用于AVF/论文对照；F1-F4是重复/突发故障压力实验，不能与F0混成一个“故障率”。F5永久故障按运行分类。</t>
        </is>
      </c>
    </row>
    <row r="20" ht="27.75" customHeight="1" s="58">
      <c r="A20" s="3" t="inlineStr">
        <is>
          <t>③ 每个‘模型×频率×负载’组合先取得30个独立activated样本作工程预试验；若注入器或配置未改变，可计入正式累计，否则作废重采。所有有效组合固定累计至少385个，对应95%置信水平下最坏约±5个百分点；仅‘5.频率与统计’预登记的21个重点组合固定累计到2401个，对应最坏约±2个百分点。2401包含前385个，不是所有组合，也不是额外增加2401个。最终统一报告Wilson 95%置信区间，不按中途结果或区间半宽序贯停止。</t>
        </is>
      </c>
    </row>
    <row r="21" ht="15" customHeight="1" s="58">
      <c r="A21" s="3" t="inlineStr">
        <is>
          <t>④ 每个故障运行绑定同一checkpoint、输入、seed和无故障golden run；结构化换值只允许替换成明确合法值，并保存源值/目标值。</t>
        </is>
      </c>
    </row>
    <row r="22" ht="15" customHeight="1" s="58">
      <c r="A22" s="3" t="inlineStr">
        <is>
          <t>⑤ 预期结果是可证伪假设，不是实测结论。没有论文直接结果的AGU、原子/同步和多数结构化模型，实测列必须保持待执行。</t>
        </is>
      </c>
    </row>
    <row r="23" ht="48" customHeight="1" s="58">
      <c r="A23" s="37" t="inlineStr">
        <is>
          <t>⑥ 检测情况与最终结局分开记录：首检层级为Hardware RAS / OS / Application / None，并另记Hardware RAS是否在任意时点检出。SDC只指三层运行时检测都沉默、程序表面正常完成，但离线oracle发现Data Corruption。全程无硬件RAS但最终Crash/Timeout分别记为RAS-silent Crash/Timeout；gem5 panic/assert或实验基础设施故障单列Simulator failure，不算架构级Crash或SDC。</t>
        </is>
      </c>
    </row>
    <row r="24" ht="24" customHeight="1" s="58">
      <c r="A24" s="25" t="inlineStr">
        <is>
          <t>完善版增量</t>
        </is>
      </c>
    </row>
    <row r="25" ht="48" customHeight="1" s="58">
      <c r="A25" s="26" t="inlineStr">
        <is>
          <t>补充PPN与SQ基础对照、Load Queue、MSHR资源记账、原子操作数、预取触发脏驱逐、真实应用负载，以及F1-F4按运行聚类的统计规则；原58条模型扩展为64条。</t>
        </is>
      </c>
    </row>
  </sheetData>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tabColor rgb="FF4472C4"/>
    <outlinePr summaryBelow="1" summaryRight="1"/>
    <pageSetUpPr/>
  </sheetPr>
  <dimension ref="A1:G8"/>
  <sheetViews>
    <sheetView showGridLines="0" workbookViewId="0">
      <pane xSplit="1" ySplit="1" topLeftCell="B2" activePane="bottomRight" state="frozen"/>
      <selection pane="topRight" activeCell="A1" sqref="A1"/>
      <selection pane="bottomLeft" activeCell="A1" sqref="A1"/>
      <selection pane="bottomRight" activeCell="B2" sqref="B2"/>
    </sheetView>
  </sheetViews>
  <sheetFormatPr baseColWidth="8" defaultColWidth="9" defaultRowHeight="14.25"/>
  <cols>
    <col width="15" customWidth="1" style="2" min="1" max="1"/>
    <col width="34" customWidth="1" style="2" min="2" max="2"/>
    <col width="58" customWidth="1" style="2" min="3" max="3"/>
    <col width="60" customWidth="1" style="2" min="4" max="4"/>
    <col width="25" customWidth="1" style="2" min="5" max="5"/>
    <col width="17" customWidth="1" style="2" min="6" max="6"/>
    <col width="34" customWidth="1" style="2" min="7" max="7"/>
    <col width="9" customWidth="1" style="2" min="8" max="8"/>
    <col width="9" customWidth="1" style="2" min="9" max="16384"/>
  </cols>
  <sheetData>
    <row r="1" ht="33.95" customHeight="1" s="58">
      <c r="A1" s="5" t="inlineStr">
        <is>
          <t>单元</t>
        </is>
      </c>
      <c r="B1" s="5" t="inlineStr">
        <is>
          <t>作用</t>
        </is>
      </c>
      <c r="C1" s="5" t="inlineStr">
        <is>
          <t>现有文章</t>
        </is>
      </c>
      <c r="D1" s="5" t="inlineStr">
        <is>
          <t>现有文章结果</t>
        </is>
      </c>
      <c r="E1" s="5" t="inlineStr">
        <is>
          <t>指标口径</t>
        </is>
      </c>
      <c r="F1" s="5" t="inlineStr">
        <is>
          <t>证据直接性</t>
        </is>
      </c>
      <c r="G1" s="5" t="inlineStr">
        <is>
          <t>研究空白/本方案增量</t>
        </is>
      </c>
    </row>
    <row r="2" ht="122.1" customHeight="1" s="58">
      <c r="A2" s="6" t="inlineStr">
        <is>
          <t>AGU</t>
        </is>
      </c>
      <c r="B2" s="7" t="inlineStr">
        <is>
          <t>生成load/store有效地址，含base/index选择、扩展/移位、地址加法、访问尺寸与请求路由。</t>
        </is>
      </c>
      <c r="C2" s="7" t="inlineStr">
        <is>
          <t>本地论文中无直接AGU故障注入。ITC'23仅说明访存地址生成位于独立FU，但没有注入。</t>
        </is>
      </c>
      <c r="D2" s="7" t="inlineStr">
        <is>
          <t>无直接实测结果。</t>
        </is>
      </c>
      <c r="E2" s="7" t="inlineStr">
        <is>
          <t>不适用</t>
        </is>
      </c>
      <c r="F2" s="7" t="inlineStr">
        <is>
          <t>同机制类比</t>
        </is>
      </c>
      <c r="G2" s="7" t="inlineStr">
        <is>
          <t>空白：合法地址替换、寻址模式拼接、byte-enable和ready时序。</t>
        </is>
      </c>
    </row>
    <row r="3" ht="122.1" customHeight="1" s="58">
      <c r="A3" s="8" t="inlineStr">
        <is>
          <t>L1d-TLB</t>
        </is>
      </c>
      <c r="B3" s="9" t="inlineStr">
        <is>
          <t>缓存VA→PA翻译与权限/属性，未命中时触发page walk。</t>
        </is>
      </c>
      <c r="C3" s="9" t="inlineStr">
        <is>
          <t>TC'22：Arm A5/A9，DTLB单bit瞬态，每部件≥1000次；CRC32/FFT/MatMul/Qsort。TC'23：Armv8类A72/Armv7类A15，32项全相联DTLB，MiBench 10个，每负载2000次。</t>
        </is>
      </c>
      <c r="D3" s="9" t="inlineStr">
        <is>
          <t>TC'22将ITLB/DTLB合并：平均Crash AVF约50%、Hang约10%、SDC AVF&lt;1%。TC'23 Armv8：SDC占非Benign故障22.2%，内核指令贡献2.3个百分点；执行时间错组内11.8%。</t>
        </is>
      </c>
      <c r="E3" s="9" t="inlineStr">
        <is>
          <t>TC'22为AVF；TC'23为非Benign条件占比，不能直接比较</t>
        </is>
      </c>
      <c r="F3" s="9" t="inlineStr">
        <is>
          <t>直接</t>
        </is>
      </c>
      <c r="G3" s="9" t="inlineStr">
        <is>
          <t>空白：字段级PPN/权限/ASID、合法映射替换、refill时序、永久与保护故障。</t>
        </is>
      </c>
    </row>
    <row r="4" ht="122.1" customHeight="1" s="58">
      <c r="A4" s="10" t="inlineStr">
        <is>
          <t>Store Queue</t>
        </is>
      </c>
      <c r="B4" s="11" t="inlineStr">
        <is>
          <t>缓存未提交store，维护顺序并做store-to-load forwarding；本方案把SSIT/LFST归入其子位置。</t>
        </is>
      </c>
      <c r="C4" s="11" t="inlineStr">
        <is>
          <t>IISWC'15：LSQ/SQ数据域单bit瞬态，MiBench 10个，2000次/结构/负载。TC'23：16项LQ/SQ分别注入，2000次/负载。HPCA'24：32项LQ/SQ，MiBench 15个，1000次/结构。Harpocrates++：SQ数据域检测率。MICRO'24 DelayAVF：Ibex LSU 2027根线，BEEBS 5个，每根线抽4%执行周期。</t>
        </is>
      </c>
      <c r="D4" s="11" t="inlineStr">
        <is>
          <t>IISWC'15：平均非掩蔽通常&lt;3%，五类后果均有。TC'23：LQ/SQ SDC概率均为0，论文归因于commit前依赖检查。HPCA'24总AVF：LQ Arm 2.4%-8.6%，SQ Arm 2.2%-6.2%。Harpocrates++多数基线程序检出0%-1%，个别约20%。DelayAVF证明LSQ对小延迟故障的排序与粒子AVF不同，但不提供SDC/Crash分解。</t>
        </is>
      </c>
      <c r="E4" s="11" t="inlineStr">
        <is>
          <t>非掩蔽率、条件SDC、总AVF、检出率、DelayAVF并存，严禁混算</t>
        </is>
      </c>
      <c r="F4" s="11" t="inlineStr">
        <is>
          <t>直接+不同模型</t>
        </is>
      </c>
      <c r="G4" s="11" t="inlineStr">
        <is>
          <t>空白：forward比较/拼接、byte mask、状态指针、SSIT/LFST、事务ack和保护链。</t>
        </is>
      </c>
    </row>
    <row r="5" ht="122.1" customHeight="1" s="58">
      <c r="A5" s="12" t="inlineStr">
        <is>
          <t>L1d-Cache</t>
        </is>
      </c>
      <c r="B5" s="13" t="inlineStr">
        <is>
          <t>保存最近数据，含tag/data/valid/dirty/coherence、替换、MSHR、fill/writeback。</t>
        </is>
      </c>
      <c r="C5" s="13" t="inlineStr">
        <is>
          <t>IISWC'15、TC'22、TC'23、HPCA'24/ITC'23/ETS'24、Harpocrates均直接注入L1D data/tag或永久故障；CHAOS补充单/多bit与stuck-at频率规律。</t>
        </is>
      </c>
      <c r="D5" s="13" t="inlineStr">
        <is>
          <t>IISWC'15：非掩蔽2.5%-47.3%，SDC为主导。TC'22：A9 L1D SDC AVF约30%（文中约数）。TC'23 Armv8非Benign中data/tag的SDC占53.4%/38.0%；高字节位置SDC概率下降。HPCA'24：Arm瞬态L1D AVF 4.3%-44.9%，SDC AVF 1.2%-43%；永久SDC 5.1%-53.3%。Harpocrates最佳基线约80%，生成程序接近90%检出。</t>
        </is>
      </c>
      <c r="E5" s="13" t="inlineStr">
        <is>
          <t>非掩蔽率、AVF、条件SDC、检测率需分列解释</t>
        </is>
      </c>
      <c r="F5" s="13" t="inlineStr">
        <is>
          <t>直接</t>
        </is>
      </c>
      <c r="G5" s="13" t="inlineStr">
        <is>
          <t>空白：dirty/coherence、MSHR merge、tag-data错配、fill/writeback时序与保护失效。</t>
        </is>
      </c>
    </row>
    <row r="6" ht="122.1" customHeight="1" s="58">
      <c r="A6" s="14" t="inlineStr">
        <is>
          <t>原子与同步</t>
        </is>
      </c>
      <c r="B6" s="15" t="inlineStr">
        <is>
          <t>实现LDXR/STXR、LSE原子RMW和DMB/DSB排序，依赖exclusive monitor与一致性。</t>
        </is>
      </c>
      <c r="C6" s="15" t="inlineStr">
        <is>
          <t>本地论文中无直接原子/屏障单元故障注入。</t>
        </is>
      </c>
      <c r="D6" s="15" t="inlineStr">
        <is>
          <t>无直接实测结果。</t>
        </is>
      </c>
      <c r="E6" s="15" t="inlineStr">
        <is>
          <t>不适用</t>
        </is>
      </c>
      <c r="F6" s="15" t="inlineStr">
        <is>
          <t>空白</t>
        </is>
      </c>
      <c r="G6" s="15" t="inlineStr">
        <is>
          <t>必须用多核FS和litmus禁出现结果；普通单线程benchmark不足以激活。</t>
        </is>
      </c>
    </row>
    <row r="7" ht="122.1" customHeight="1" s="58">
      <c r="A7" s="16" t="inlineStr">
        <is>
          <t>数据预取器</t>
        </is>
      </c>
      <c r="B7" s="17" t="inlineStr">
        <is>
          <t>训练访存模式并生成预取请求；B0用L2 StridePrefetcher代理。</t>
        </is>
      </c>
      <c r="C7" s="17" t="inlineStr">
        <is>
          <t>TC'23明确未注入，理由是普通预取错误不改变架构状态。MICRO'24 DelayAVF直接研究Ibex prefetch buffer：3249根线、BEEBS 5个、每根线抽4%周期。IISWC'15表中列出L1D prefetcher差异，但没有可分离的预取器结果。</t>
        </is>
      </c>
      <c r="D7" s="17" t="inlineStr">
        <is>
          <t>MICRO'24指出Ibex prefetcher既有较高particle-strike AVF也有较高DelayAVF，原因是内部buffer把cache line送入流水线；论文没有给SDC/Crash分解。TC'23的“无架构状态变化”只覆盖普通预测地址错误，未覆盖fill tag/data/dirty控制出错。</t>
        </is>
      </c>
      <c r="E7" s="17" t="inlineStr">
        <is>
          <t>DelayAVF与SDC率不同；其结果只能作机制证据</t>
        </is>
      </c>
      <c r="F7" s="17" t="inlineStr">
        <is>
          <t>部分直接（不同核心/故障模型）</t>
        </is>
      </c>
      <c r="G7" s="17" t="inlineStr">
        <is>
          <t>空白：需求-预取事务配对、fill tag-data错配、dirty/ownership误赋、保护链。</t>
        </is>
      </c>
    </row>
    <row r="8" ht="120" customHeight="1" s="58">
      <c r="A8" s="28" t="inlineStr">
        <is>
          <t>Load Queue</t>
        </is>
      </c>
      <c r="B8" s="27" t="inlineStr">
        <is>
          <t>跟踪在飞load的地址、发射/完成状态、与更老store的冲突及violation/replay；还参与cache response与目标动态指令配对。</t>
        </is>
      </c>
      <c r="C8" s="27" t="inlineStr">
        <is>
          <t>TC'23对16项LQ直接注入；HPCA'24对32项LQ报告Arm总AVF；IISWC'15覆盖LSQ数据/地址类字段。</t>
        </is>
      </c>
      <c r="D8" s="27" t="inlineStr">
        <is>
          <t>TC'23报告LQ SDC概率为0并归因于commit前依赖检查；HPCA'24 Arm LQ总AVF约2.4%-8.6%。两者指标口径不同。</t>
        </is>
      </c>
      <c r="E8" s="27" t="inlineStr">
        <is>
          <t>条件SDC、总AVF和replay/检测率分开报告</t>
        </is>
      </c>
      <c r="F8" s="27" t="inlineStr">
        <is>
          <t>直接+机制扩展</t>
        </is>
      </c>
      <c r="G8" s="27" t="inlineStr">
        <is>
          <t>空白：生命周期状态、violation/replay本身、response transaction ID与目标load错配、保护链。</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29"/>
  <sheetViews>
    <sheetView showGridLines="0" workbookViewId="0">
      <pane xSplit="1" ySplit="1" topLeftCell="B2" activePane="bottomRight" state="frozen"/>
      <selection pane="topRight" activeCell="A1" sqref="A1"/>
      <selection pane="bottomLeft" activeCell="A1" sqref="A1"/>
      <selection pane="bottomRight" activeCell="B2" sqref="B2"/>
    </sheetView>
  </sheetViews>
  <sheetFormatPr baseColWidth="8" defaultColWidth="9" defaultRowHeight="14.25"/>
  <cols>
    <col width="27" customWidth="1" style="2" min="1" max="1"/>
    <col width="33" customWidth="1" style="2" min="2" max="2"/>
    <col width="18" customWidth="1" style="2" min="3" max="3"/>
    <col width="72" customWidth="1" style="2" min="4" max="4"/>
    <col width="24" customWidth="1" style="2" min="5" max="5"/>
    <col width="9" customWidth="1" style="2" min="6" max="6"/>
    <col width="9" customWidth="1" style="2" min="7" max="16384"/>
  </cols>
  <sheetData>
    <row r="1" ht="33.95" customHeight="1" s="58">
      <c r="A1" s="5" t="inlineStr">
        <is>
          <t>结构/参数</t>
        </is>
      </c>
      <c r="B1" s="5" t="inlineStr">
        <is>
          <t>B0最终值</t>
        </is>
      </c>
      <c r="C1" s="5" t="inlineStr">
        <is>
          <t>处理</t>
        </is>
      </c>
      <c r="D1" s="5" t="inlineStr">
        <is>
          <t>依据/合理性判断</t>
        </is>
      </c>
      <c r="E1" s="5" t="inlineStr">
        <is>
          <t>敏感性配置</t>
        </is>
      </c>
    </row>
    <row r="2" ht="48" customHeight="1" s="58">
      <c r="A2" s="18" t="inlineStr">
        <is>
          <t>LQEntries</t>
        </is>
      </c>
      <c r="B2" s="19" t="n">
        <v>16</v>
      </c>
      <c r="C2" s="19" t="inlineStr">
        <is>
          <t>保留</t>
        </is>
      </c>
      <c r="D2" s="19" t="inlineStr">
        <is>
          <t>O3_ARM_v7a_3明确覆盖</t>
        </is>
      </c>
      <c r="E2" s="19" t="inlineStr">
        <is>
          <t>B0</t>
        </is>
      </c>
    </row>
    <row r="3" ht="48" customHeight="1" s="58">
      <c r="A3" s="18" t="inlineStr">
        <is>
          <t>SQEntries</t>
        </is>
      </c>
      <c r="B3" s="19" t="n">
        <v>16</v>
      </c>
      <c r="C3" s="19" t="inlineStr">
        <is>
          <t>保留</t>
        </is>
      </c>
      <c r="D3" s="19" t="inlineStr">
        <is>
          <t>O3_ARM_v7a_3明确覆盖</t>
        </is>
      </c>
      <c r="E3" s="19" t="inlineStr">
        <is>
          <t>B0</t>
        </is>
      </c>
    </row>
    <row r="4" ht="48" customHeight="1" s="58">
      <c r="A4" s="18" t="inlineStr">
        <is>
          <t>Load FU</t>
        </is>
      </c>
      <c r="B4" s="19" t="inlineStr">
        <is>
          <t>1个；MemRead/FloatMemRead opLat=2</t>
        </is>
      </c>
      <c r="C4" s="19" t="inlineStr">
        <is>
          <t>修正</t>
        </is>
      </c>
      <c r="D4" s="19" t="inlineStr">
        <is>
          <t>原表“每周期2 load”与官方示例不符</t>
        </is>
      </c>
      <c r="E4" s="19" t="inlineStr">
        <is>
          <t>B0</t>
        </is>
      </c>
    </row>
    <row r="5" ht="48" customHeight="1" s="58">
      <c r="A5" s="18" t="inlineStr">
        <is>
          <t>Store FU</t>
        </is>
      </c>
      <c r="B5" s="19" t="inlineStr">
        <is>
          <t>1个；MemWrite/FloatMemWrite opLat=2</t>
        </is>
      </c>
      <c r="C5" s="19" t="inlineStr">
        <is>
          <t>修正</t>
        </is>
      </c>
      <c r="D5" s="19" t="inlineStr">
        <is>
          <t>官方示例独立1个Store FU</t>
        </is>
      </c>
      <c r="E5" s="19" t="inlineStr">
        <is>
          <t>B0</t>
        </is>
      </c>
    </row>
    <row r="6" ht="48" customHeight="1" s="58">
      <c r="A6" s="18" t="inlineStr">
        <is>
          <t>LSQDepCheckShift</t>
        </is>
      </c>
      <c r="B6" s="19" t="n">
        <v>0</v>
      </c>
      <c r="C6" s="19" t="inlineStr">
        <is>
          <t>修正</t>
        </is>
      </c>
      <c r="D6" s="19" t="inlineStr">
        <is>
          <t>ARM示例明确覆盖0，不应取BaseO3CPU默认4</t>
        </is>
      </c>
      <c r="E6" s="19" t="inlineStr">
        <is>
          <t>B0；S3=4</t>
        </is>
      </c>
    </row>
    <row r="7" ht="48" customHeight="1" s="58">
      <c r="A7" s="18" t="inlineStr">
        <is>
          <t>LSQCheckLoads</t>
        </is>
      </c>
      <c r="B7" s="19" t="b">
        <v>1</v>
      </c>
      <c r="C7" s="19" t="inlineStr">
        <is>
          <t>保留</t>
        </is>
      </c>
      <c r="D7" s="19" t="inlineStr">
        <is>
          <t>BaseO3CPU默认</t>
        </is>
      </c>
      <c r="E7" s="19" t="inlineStr">
        <is>
          <t>B0</t>
        </is>
      </c>
    </row>
    <row r="8" ht="48" customHeight="1" s="58">
      <c r="A8" s="18" t="inlineStr">
        <is>
          <t>SSITSize / LFSTSize</t>
        </is>
      </c>
      <c r="B8" s="19" t="inlineStr">
        <is>
          <t>1024 / 1024</t>
        </is>
      </c>
      <c r="C8" s="19" t="inlineStr">
        <is>
          <t>保留</t>
        </is>
      </c>
      <c r="D8" s="19" t="inlineStr">
        <is>
          <t>BaseO3CPU默认；SSIT 1-way LRU</t>
        </is>
      </c>
      <c r="E8" s="19" t="inlineStr">
        <is>
          <t>B0</t>
        </is>
      </c>
    </row>
    <row r="9" ht="48" customHeight="1" s="58">
      <c r="A9" s="18" t="inlineStr">
        <is>
          <t>store_set_clear_period</t>
        </is>
      </c>
      <c r="B9" s="19" t="n">
        <v>250000</v>
      </c>
      <c r="C9" s="19" t="inlineStr">
        <is>
          <t>保留</t>
        </is>
      </c>
      <c r="D9" s="19" t="inlineStr">
        <is>
          <t>按load/store指令计数</t>
        </is>
      </c>
      <c r="E9" s="19" t="inlineStr">
        <is>
          <t>B0</t>
        </is>
      </c>
    </row>
    <row r="10" ht="48" customHeight="1" s="58">
      <c r="A10" s="18" t="inlineStr">
        <is>
          <t>cacheLoadPorts / cacheStorePorts</t>
        </is>
      </c>
      <c r="B10" s="19" t="inlineStr">
        <is>
          <t>200 / 200</t>
        </is>
      </c>
      <c r="C10" s="19" t="inlineStr">
        <is>
          <t>澄清</t>
        </is>
      </c>
      <c r="D10" s="19" t="inlineStr">
        <is>
          <t>近似不由该参数限流，不是物理端口数</t>
        </is>
      </c>
      <c r="E10" s="19" t="inlineStr">
        <is>
          <t>B0</t>
        </is>
      </c>
    </row>
    <row r="11" ht="48" customHeight="1" s="58">
      <c r="A11" s="18" t="inlineStr">
        <is>
          <t>L1 DTLB</t>
        </is>
      </c>
      <c r="B11" s="19" t="inlineStr">
        <is>
          <t>32项全相联 LRU</t>
        </is>
      </c>
      <c r="C11" s="19" t="inlineStr">
        <is>
          <t>保留但降级为比较覆盖</t>
        </is>
      </c>
      <c r="D11" s="19" t="inlineStr">
        <is>
          <t>复现TC'23；gem5当前默认64项全相联</t>
        </is>
      </c>
      <c r="E11" s="19" t="inlineStr">
        <is>
          <t>B0；S1=64</t>
        </is>
      </c>
    </row>
    <row r="12" ht="48" customHeight="1" s="58">
      <c r="A12" s="18" t="inlineStr">
        <is>
          <t>L2 TLB</t>
        </is>
      </c>
      <c r="B12" s="19" t="inlineStr">
        <is>
          <t>1280项 5-way</t>
        </is>
      </c>
      <c r="C12" s="19" t="inlineStr">
        <is>
          <t>新增</t>
        </is>
      </c>
      <c r="D12" s="19" t="inlineStr">
        <is>
          <t>gem5 ArmMMU stable默认</t>
        </is>
      </c>
      <c r="E12" s="19" t="inlineStr">
        <is>
          <t>B0</t>
        </is>
      </c>
    </row>
    <row r="13" ht="48" customHeight="1" s="58">
      <c r="A13" s="18" t="inlineStr">
        <is>
          <t>L1D容量/相联度</t>
        </is>
      </c>
      <c r="B13" s="19" t="inlineStr">
        <is>
          <t>32KiB / 2-way</t>
        </is>
      </c>
      <c r="C13" s="19" t="inlineStr">
        <is>
          <t>修正</t>
        </is>
      </c>
      <c r="D13" s="19" t="inlineStr">
        <is>
          <t>与O3_ARM_v7a_DCache一致；原64/4是服务器Arm风格而非该示例</t>
        </is>
      </c>
      <c r="E13" s="19" t="inlineStr">
        <is>
          <t>B0；S2=64KiB/4-way</t>
        </is>
      </c>
    </row>
    <row r="14" ht="48" customHeight="1" s="58">
      <c r="A14" s="18" t="inlineStr">
        <is>
          <t>Cache line</t>
        </is>
      </c>
      <c r="B14" s="19" t="inlineStr">
        <is>
          <t>64B</t>
        </is>
      </c>
      <c r="C14" s="19" t="inlineStr">
        <is>
          <t>保留并补证据</t>
        </is>
      </c>
      <c r="D14" s="19" t="inlineStr">
        <is>
          <t>gem5 System默认</t>
        </is>
      </c>
      <c r="E14" s="19" t="inlineStr">
        <is>
          <t>B0</t>
        </is>
      </c>
    </row>
    <row r="15" ht="48" customHeight="1" s="58">
      <c r="A15" s="18" t="inlineStr">
        <is>
          <t>L1D tag/data/response latency</t>
        </is>
      </c>
      <c r="B15" s="19" t="inlineStr">
        <is>
          <t>2 / 2 / 2 cycles</t>
        </is>
      </c>
      <c r="C15" s="19" t="inlineStr">
        <is>
          <t>修正</t>
        </is>
      </c>
      <c r="D15" s="19" t="inlineStr">
        <is>
          <t>官方示例；不把它们简单相加成真实load-to-use</t>
        </is>
      </c>
      <c r="E15" s="19" t="inlineStr">
        <is>
          <t>B0</t>
        </is>
      </c>
    </row>
    <row r="16" ht="48" customHeight="1" s="58">
      <c r="A16" s="18" t="inlineStr">
        <is>
          <t>L1D MSHR / targets</t>
        </is>
      </c>
      <c r="B16" s="19" t="inlineStr">
        <is>
          <t>6 / 8</t>
        </is>
      </c>
      <c r="C16" s="19" t="inlineStr">
        <is>
          <t>保留并更正来源</t>
        </is>
      </c>
      <c r="D16" s="19" t="inlineStr">
        <is>
          <t>官方O3_ARM_v7a_DCache直接给出，不依赖错位表推断</t>
        </is>
      </c>
      <c r="E16" s="19" t="inlineStr">
        <is>
          <t>B0</t>
        </is>
      </c>
    </row>
    <row r="17" ht="48" customHeight="1" s="58">
      <c r="A17" s="18" t="inlineStr">
        <is>
          <t>L1D write buffers</t>
        </is>
      </c>
      <c r="B17" s="19" t="n">
        <v>16</v>
      </c>
      <c r="C17" s="19" t="inlineStr">
        <is>
          <t>新增</t>
        </is>
      </c>
      <c r="D17" s="19" t="inlineStr">
        <is>
          <t>官方O3_ARM_v7a_DCache</t>
        </is>
      </c>
      <c r="E17" s="19" t="inlineStr">
        <is>
          <t>B0</t>
        </is>
      </c>
    </row>
    <row r="18" ht="48" customHeight="1" s="58">
      <c r="A18" s="18" t="inlineStr">
        <is>
          <t>数据预取器</t>
        </is>
      </c>
      <c r="B18" s="19" t="inlineStr">
        <is>
          <t>L2 StridePrefetcher degree=8, latency=1, prefetch_on_access=True</t>
        </is>
      </c>
      <c r="C18" s="19" t="inlineStr">
        <is>
          <t>修正</t>
        </is>
      </c>
      <c r="D18" s="19" t="inlineStr">
        <is>
          <t>官方ARM O3示例挂L2；原L1D degree=4不准确</t>
        </is>
      </c>
      <c r="E18" s="19" t="inlineStr">
        <is>
          <t>B0；S4挂L1D</t>
        </is>
      </c>
    </row>
    <row r="19" ht="48" customHeight="1" s="58">
      <c r="A19" s="18" t="inlineStr">
        <is>
          <t>时钟</t>
        </is>
      </c>
      <c r="B19" s="19" t="inlineStr">
        <is>
          <t>2.6GHz仅用于换算</t>
        </is>
      </c>
      <c r="C19" s="19" t="inlineStr">
        <is>
          <t>澄清</t>
        </is>
      </c>
      <c r="D19" s="19" t="inlineStr">
        <is>
          <t>注入频率以eligible event为主，避免工作负载IPC偏差</t>
        </is>
      </c>
      <c r="E19" s="19" t="inlineStr">
        <is>
          <t>B0</t>
        </is>
      </c>
    </row>
    <row r="20" ht="48" customHeight="1" s="58">
      <c r="A20" s="0" t="n"/>
      <c r="B20" s="0" t="n"/>
      <c r="C20" s="0" t="n"/>
      <c r="D20" s="0" t="n"/>
      <c r="E20" s="0" t="n"/>
    </row>
    <row r="21" ht="28.15" customHeight="1" s="58">
      <c r="A21" s="59" t="inlineStr">
        <is>
          <t>逐单元保护机制核验（只列实际存在且纳入实现的机制）</t>
        </is>
      </c>
      <c r="B21" s="60" t="n"/>
      <c r="C21" s="60" t="n"/>
      <c r="D21" s="60" t="n"/>
      <c r="E21" s="61" t="n"/>
    </row>
    <row r="22" ht="44.1" customHeight="1" s="58">
      <c r="A22" s="46" t="inlineStr">
        <is>
          <t>结构/单元</t>
        </is>
      </c>
      <c r="B22" s="46" t="inlineStr">
        <is>
          <t>实际存在的机制</t>
        </is>
      </c>
      <c r="C22" s="46" t="inlineStr">
        <is>
          <t>在本方案中的处理</t>
        </is>
      </c>
      <c r="D22" s="46" t="inlineStr">
        <is>
          <t>实现/观测口径</t>
        </is>
      </c>
      <c r="E22" s="46" t="inlineStr">
        <is>
          <t>边界说明</t>
        </is>
      </c>
    </row>
    <row r="23" ht="44.1" customHeight="1" s="58">
      <c r="A23" s="48" t="inlineStr">
        <is>
          <t>AGU</t>
        </is>
      </c>
      <c r="B23" s="48" t="inlineStr">
        <is>
          <t>地址生成后进入翻译、对齐与访问权限检查</t>
        </is>
      </c>
      <c r="C23" s="48" t="inlineStr">
        <is>
          <t>归入架构异常或功能性阻断，不直接计Hardware RAS</t>
        </is>
      </c>
      <c r="D23" s="48" t="inlineStr">
        <is>
          <t>对照EA、PA、size、mask、异常原因与提交结果</t>
        </is>
      </c>
      <c r="E23" s="48" t="inlineStr">
        <is>
          <t>EA oracle只用于实验观测，不是硬件保护机制</t>
        </is>
      </c>
    </row>
    <row r="24" ht="44.1" customHeight="1" s="58">
      <c r="A24" s="48" t="inlineStr">
        <is>
          <t>L1d-TLB</t>
        </is>
      </c>
      <c r="B24" s="48" t="inlineStr">
        <is>
          <t>TLB命中、页表遍历、权限/属性与页故障路径</t>
        </is>
      </c>
      <c r="C24" s="48" t="inlineStr">
        <is>
          <t>命中错误或映射错误按传播结果分类</t>
        </is>
      </c>
      <c r="D24" s="48" t="inlineStr">
        <is>
          <t>记录VPN/ASID、PPN、权限、命中way、walk/fill与fault</t>
        </is>
      </c>
      <c r="E24" s="48" t="inlineStr">
        <is>
          <t>未核实B0配置ECC/parity，不把正常翻译检查写成RAS</t>
        </is>
      </c>
    </row>
    <row r="25" ht="44.1" customHeight="1" s="58">
      <c r="A25" s="48" t="inlineStr">
        <is>
          <t>Load Queue</t>
        </is>
      </c>
      <c r="B25" s="48" t="inlineStr">
        <is>
          <t>地址冲突检测、violation与replay、提交约束</t>
        </is>
      </c>
      <c r="C25" s="48" t="inlineStr">
        <is>
          <t>replay视为功能性恢复；断言失败单列Simulator failure</t>
        </is>
      </c>
      <c r="D25" s="48" t="inlineStr">
        <is>
          <t>记录LQ entry、依赖、violation、replay目标、返回ID与提交</t>
        </is>
      </c>
      <c r="E25" s="48" t="inlineStr">
        <is>
          <t>软件oracle和离线一致性检查不计硬件首检</t>
        </is>
      </c>
    </row>
    <row r="26" ht="44.1" customHeight="1" s="58">
      <c r="A26" s="48" t="inlineStr">
        <is>
          <t>Store Queue</t>
        </is>
      </c>
      <c r="B26" s="48" t="inlineStr">
        <is>
          <t>转发、顺序、提交、请求/应答生命周期约束</t>
        </is>
      </c>
      <c r="C26" s="48" t="inlineStr">
        <is>
          <t>成功重放/阻断可归Contained，但需有明确证据</t>
        </is>
      </c>
      <c r="D26" s="48" t="inlineStr">
        <is>
          <t>记录SQ entry、地址、数据、mask、forwarding、request/ack与commit</t>
        </is>
      </c>
      <c r="E26" s="48" t="inlineStr">
        <is>
          <t>未核实专用ECC/parity；普通状态机检查不自动等同RAS</t>
        </is>
      </c>
    </row>
    <row r="27" ht="44.1" customHeight="1" s="58">
      <c r="A27" s="48" t="inlineStr">
        <is>
          <t>L1d-Cache</t>
        </is>
      </c>
      <c r="B27" s="48" t="inlineStr">
        <is>
          <t>tag/data/state、一致性、fill、eviction与writeback流程</t>
        </is>
      </c>
      <c r="C27" s="48" t="inlineStr">
        <is>
          <t>以真实告警或异常证据决定Hardware RAS；否则按结局分类</t>
        </is>
      </c>
      <c r="D27" s="48" t="inlineStr">
        <is>
          <t>记录set/way、tag、data、MESI、dirty、MSHR、fill/writeback和snoop</t>
        </is>
      </c>
      <c r="E27" s="48" t="inlineStr">
        <is>
          <t>B0未配置ECC/parity；一致性协议属于功能机制</t>
        </is>
      </c>
    </row>
    <row r="28" ht="44.1" customHeight="1" s="58">
      <c r="A28" s="48" t="inlineStr">
        <is>
          <t>原子与同步</t>
        </is>
      </c>
      <c r="B28" s="48" t="inlineStr">
        <is>
          <t>exclusive monitor、CAS/LL-SC返回、barrier与内存顺序</t>
        </is>
      </c>
      <c r="C28" s="48" t="inlineStr">
        <is>
          <t>按原子结果、顺序和可见性是否被破坏分类</t>
        </is>
      </c>
      <c r="D28" s="48" t="inlineStr">
        <is>
          <t>记录monitor、比较值、old/new value、success状态、order tag与barrier完成</t>
        </is>
      </c>
      <c r="E28" s="48" t="inlineStr">
        <is>
          <t>litmus oracle用于判定，不是硬件RAS</t>
        </is>
      </c>
    </row>
    <row r="29" ht="44.1" customHeight="1" s="58">
      <c r="A29" s="48" t="inlineStr">
        <is>
          <t>数据预取器</t>
        </is>
      </c>
      <c r="B29" s="48" t="inlineStr">
        <is>
          <t>地址过滤、队列、取消/节流及与需求请求的区分</t>
        </is>
      </c>
      <c r="C29" s="48" t="inlineStr">
        <is>
          <t>普通预取失误通常应被屏蔽；污染所有权/dirty时重点追踪</t>
        </is>
      </c>
      <c r="D29" s="48" t="inlineStr">
        <is>
          <t>记录prefetch地址、来源PC、stride、队列、请求标签、allocate/ownership</t>
        </is>
      </c>
      <c r="E29" s="48" t="inlineStr">
        <is>
          <t>B0未配置ECC/parity；性能退化与架构错误分开统计</t>
        </is>
      </c>
    </row>
  </sheetData>
  <mergeCells count="1">
    <mergeCell ref="A21:E21"/>
  </mergeCells>
  <conditionalFormatting sqref="C2:C20">
    <cfRule type="containsText" priority="1" operator="containsText" dxfId="2" text="修正"/>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4472C4"/>
    <outlinePr summaryBelow="1" summaryRight="1"/>
    <pageSetUpPr/>
  </sheetPr>
  <dimension ref="A1:N65"/>
  <sheetViews>
    <sheetView tabSelected="1" workbookViewId="0">
      <pane xSplit="2" ySplit="1" topLeftCell="K62" activePane="bottomRight" state="frozen"/>
      <selection pane="topRight" activeCell="A1" sqref="A1"/>
      <selection pane="bottomLeft" activeCell="A1" sqref="A1"/>
      <selection pane="bottomRight" activeCell="N48" sqref="N48"/>
    </sheetView>
  </sheetViews>
  <sheetFormatPr baseColWidth="8" defaultRowHeight="14.25"/>
  <cols>
    <col width="10" customWidth="1" style="58" min="1" max="1"/>
    <col width="16" customWidth="1" style="58" min="2" max="2"/>
    <col width="34" customWidth="1" style="58" min="3" max="3"/>
    <col width="16" customWidth="1" style="58" min="4" max="4"/>
    <col width="52" customWidth="1" style="58" min="5" max="5"/>
    <col width="44" customWidth="1" style="58" min="6" max="6"/>
    <col width="14" customWidth="1" style="58" min="7" max="7"/>
    <col width="30" customWidth="1" style="58" min="8" max="9"/>
    <col width="48" customWidth="1" style="58" min="10" max="10"/>
    <col width="38" customWidth="1" style="58" min="11" max="11"/>
    <col width="36" customWidth="1" style="58" min="12" max="12"/>
    <col width="38" customWidth="1" style="58" min="13" max="14"/>
  </cols>
  <sheetData>
    <row r="1" ht="27" customHeight="1" s="58">
      <c r="A1" s="51" t="inlineStr">
        <is>
          <t>模型ID</t>
        </is>
      </c>
      <c r="B1" s="51" t="inlineStr">
        <is>
          <t>单元</t>
        </is>
      </c>
      <c r="C1" s="51" t="inlineStr">
        <is>
          <t>注入位置（结构与正常作用）</t>
        </is>
      </c>
      <c r="D1" s="51" t="inlineStr">
        <is>
          <t>故障类型</t>
        </is>
      </c>
      <c r="E1" s="51" t="inlineStr">
        <is>
          <t>故障模型（实施步骤与激活口径）</t>
        </is>
      </c>
      <c r="F1" s="51" t="inlineStr">
        <is>
          <t>故障表现形式/子模型</t>
        </is>
      </c>
      <c r="G1" s="51" t="inlineStr">
        <is>
          <t>适用频率</t>
        </is>
      </c>
      <c r="H1" s="51" t="inlineStr">
        <is>
          <t>适用负载（真实名称）</t>
        </is>
      </c>
      <c r="I1" s="51" t="inlineStr">
        <is>
          <t>事件触发条件</t>
        </is>
      </c>
      <c r="J1" s="51" t="inlineStr">
        <is>
          <t>传播链重点观测</t>
        </is>
      </c>
      <c r="K1" s="51" t="inlineStr">
        <is>
          <t>预期结果（待验证假设）</t>
        </is>
      </c>
      <c r="L1" s="51" t="inlineStr">
        <is>
          <t>设计理由</t>
        </is>
      </c>
      <c r="M1" s="51" t="inlineStr">
        <is>
          <t>文献依据/直接性</t>
        </is>
      </c>
      <c r="N1" s="51" t="inlineStr">
        <is>
          <t>保护机制归属</t>
        </is>
      </c>
    </row>
    <row r="2" ht="86.65000000000001" customHeight="1" s="58">
      <c r="A2" s="6" t="inlineStr">
        <is>
          <t>A01</t>
        </is>
      </c>
      <c r="B2" s="6" t="inlineStr">
        <is>
          <t>AGU</t>
        </is>
      </c>
      <c r="C2" s="7" t="inlineStr">
        <is>
          <t>AGU 计算完成后的有效地址（EA）流水寄存器。它位于 base/index/offset 运算之后、L1 d-TLB 地址翻译之前，保存本条 load/store 将要访问的虚拟地址；此处出错会沿 d-TLB、L1D 和最终 load/store 结果继续传播。</t>
        </is>
      </c>
      <c r="D2" s="7" t="inlineStr">
        <is>
          <t>单比特翻转</t>
        </is>
      </c>
      <c r="E2" s="7"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F2" s="7" t="inlineStr">
        <is>
          <t>A01-a EA低位单bit；A01-b EA中位单bit；A01-c EA高位单bit</t>
        </is>
      </c>
      <c r="G2" s="7" t="inlineStr">
        <is>
          <t>F0 / F1 / F2</t>
        </is>
      </c>
      <c r="H2" s="7" t="inlineStr">
        <is>
          <t>AGU-AddrModes AArch64 寻址模式探针（base+imm、base+index、扩展/移位、pre/post-index、LDP/STP）
GAP/Graph500 子集（BFS、SSSP、PageRank，固定图与结果哈希）</t>
        </is>
      </c>
      <c r="I2" s="7" t="inlineStr">
        <is>
          <t>任一已完成地址生成</t>
        </is>
      </c>
      <c r="J2" s="7" t="inlineStr">
        <is>
          <t>L0 eligible/activated；L1 正确EA与故障EA、base/index/extend/shift、size/byte-enable；L2 TLB输入VA与cache request；L3 load返回/store落点；L4 commit首分歧；L5输出/Crash/Timeout；记录bit区间、地址是否仍在同一对象/页、首次错误load/store</t>
        </is>
      </c>
      <c r="K2" s="7" t="inlineStr">
        <is>
          <t>高位翻转多为异常/Crash；低位在合法对象内时易形成错误元素访问并产生SDC</t>
        </is>
      </c>
      <c r="L2" s="7" t="inlineStr">
        <is>
          <t>覆盖最基本瞬态；分层采样避免高位地址异常掩盖低位静默路径</t>
        </is>
      </c>
      <c r="M2" s="7" t="inlineStr">
        <is>
          <t>无直接AGU注入；仅同机制类比DTLB地址错误</t>
        </is>
      </c>
      <c r="N2" s="7" t="inlineStr">
        <is>
          <t>架构异常与地址翻译路径（非ECC/parity）</t>
        </is>
      </c>
    </row>
    <row r="3" ht="86.65000000000001" customHeight="1" s="58">
      <c r="A3" s="6" t="inlineStr">
        <is>
          <t>A02</t>
        </is>
      </c>
      <c r="B3" s="6" t="inlineStr">
        <is>
          <t>AGU</t>
        </is>
      </c>
      <c r="C3" s="7" t="inlineStr">
        <is>
          <t>AGU 计算完成后的有效地址（EA）流水寄存器。它位于地址加法/移位逻辑的出口、L1 d-TLB 的入口；双比特模型仍只作用于这一条地址，不同时破坏访问大小或请求类型。</t>
        </is>
      </c>
      <c r="D3" s="7" t="inlineStr">
        <is>
          <t>双比特翻转</t>
        </is>
      </c>
      <c r="E3" s="7"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F3" s="7" t="inlineStr">
        <is>
          <t>A02-a 同一EA相邻双bit；A02-b 同一EA非相邻双bit</t>
        </is>
      </c>
      <c r="G3" s="7" t="inlineStr">
        <is>
          <t>F0 / F2</t>
        </is>
      </c>
      <c r="H3" s="7" t="inlineStr">
        <is>
          <t>AGU-AddrModes AArch64 寻址模式探针（base+imm、base+index、扩展/移位、pre/post-index、LDP/STP）
GAP/Graph500 子集（BFS、SSSP、PageRank，固定图与结果哈希）</t>
        </is>
      </c>
      <c r="I3" s="7" t="inlineStr">
        <is>
          <t>任一已完成地址生成</t>
        </is>
      </c>
      <c r="J3" s="7" t="inlineStr">
        <is>
          <t>L0 eligible/activated；L1 正确EA与故障EA、base/index/extend/shift、size/byte-enable；L2 TLB输入VA与cache request；L3 load返回/store落点；L4 commit首分歧；L5输出/Crash/Timeout；记录两bit距离、对齐状态、页/对象越界</t>
        </is>
      </c>
      <c r="K3" s="7" t="inlineStr">
        <is>
          <t>相邻低位可能形成稳定错位；含高位时Crash上升；与A01比较SDC/Crash极化</t>
        </is>
      </c>
      <c r="L3" s="7" t="inlineStr">
        <is>
          <t>显式覆盖MBU并区分物理邻近与逻辑分散</t>
        </is>
      </c>
      <c r="M3" s="7" t="inlineStr">
        <is>
          <t>CHAOS多比特结果作规律性类比</t>
        </is>
      </c>
      <c r="N3" s="7" t="inlineStr">
        <is>
          <t>架构异常与地址翻译路径（非ECC/parity）</t>
        </is>
      </c>
    </row>
    <row r="4" ht="86.65000000000001" customHeight="1" s="58">
      <c r="A4" s="6" t="inlineStr">
        <is>
          <t>A03</t>
        </is>
      </c>
      <c r="B4" s="6" t="inlineStr">
        <is>
          <t>AGU</t>
        </is>
      </c>
      <c r="C4" s="7" t="inlineStr">
        <is>
          <t>AGU 地址加法器的 EA 输出总线/输出位。每条 load/store 完成“基址+偏移或索引”后都会经过这里；某一位卡死会让多条后续访存地址形成重复的固定偏差，而不是只影响一个队列表项。</t>
        </is>
      </c>
      <c r="D4" s="7" t="inlineStr">
        <is>
          <t>卡死</t>
        </is>
      </c>
      <c r="E4" s="7"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F4" s="7" t="inlineStr">
        <is>
          <t>A03-a EA位stuck-at-0；A03-b EA位stuck-at-1</t>
        </is>
      </c>
      <c r="G4" s="7" t="inlineStr">
        <is>
          <t>F5</t>
        </is>
      </c>
      <c r="H4" s="7" t="inlineStr">
        <is>
          <t>AGU-AddrModes AArch64 寻址模式探针（base+imm、base+index、扩展/移位、pre/post-index、LDP/STP）
STREAM+PointerChase（Copy、Scale、Add、Triad 与随机指针链）</t>
        </is>
      </c>
      <c r="I4" s="7" t="inlineStr">
        <is>
          <t>首个AGU事件后持续</t>
        </is>
      </c>
      <c r="J4" s="7" t="inlineStr">
        <is>
          <t>L0 eligible/activated；L1 正确EA与故障EA、base/index/extend/shift、size/byte-enable；L2 TLB输入VA与cache request；L3 load返回/store落点；L4 commit首分歧；L5输出/Crash/Timeout；按bit统计地址碰撞率、唯一地址数、store覆盖热点</t>
        </is>
      </c>
      <c r="K4" s="7" t="inlineStr">
        <is>
          <t>低位卡死表现为周期性地址折叠；高位通常快速Crash；可能出现重复写同一元素的稳定SDC</t>
        </is>
      </c>
      <c r="L4" s="7" t="inlineStr">
        <is>
          <t>永久数据通路故障会跨多次访问形成有规律的地址别名</t>
        </is>
      </c>
      <c r="M4" s="7" t="inlineStr">
        <is>
          <t>无直接文献</t>
        </is>
      </c>
      <c r="N4" s="7" t="inlineStr">
        <is>
          <t>架构异常与地址翻译路径（非ECC/parity）</t>
        </is>
      </c>
    </row>
    <row r="5" ht="86.65000000000001" customHeight="1" s="58">
      <c r="A5" s="6" t="inlineStr">
        <is>
          <t>A04</t>
        </is>
      </c>
      <c r="B5" s="6" t="inlineStr">
        <is>
          <t>AGU</t>
        </is>
      </c>
      <c r="C5" s="7" t="inlineStr">
        <is>
          <t>AGU 输出的完整 EA 及其对应的软件对象范围。这里不是另一个硬件表，而是在 AGU→d-TLB 边界把正确地址替换为同一已分配对象或同一映射页中的另一合法地址，用于研究“地址合法但对象/元素错误”。</t>
        </is>
      </c>
      <c r="D5" s="7" t="inlineStr">
        <is>
          <t>换值</t>
        </is>
      </c>
      <c r="E5" s="7"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F5" s="7" t="inlineStr">
        <is>
          <t>A04-a 同对象内合法地址替换；A04-b 同页内合法地址替换</t>
        </is>
      </c>
      <c r="G5" s="7" t="inlineStr">
        <is>
          <t>F0 / F2 / F6</t>
        </is>
      </c>
      <c r="H5" s="7" t="inlineStr">
        <is>
          <t>AGU-AddrModes AArch64 寻址模式探针（base+imm、base+index、扩展/移位、pre/post-index、LDP/STP）
MiniCheck 最小正确性探针（数组校验和、guard page、指针链、load/store round-trip）</t>
        </is>
      </c>
      <c r="I5" s="7" t="inlineStr">
        <is>
          <t>地址属于带oracle对象时</t>
        </is>
      </c>
      <c r="J5" s="7" t="inlineStr">
        <is>
          <t>L0 eligible/activated；L1 正确EA与故障EA、base/index/extend/shift、size/byte-enable；L2 TLB输入VA与cache request；L3 load返回/store落点；L4 commit首分歧；L5输出/Crash/Timeout；记录替代距离、是否同cache line、错误值扇出</t>
        </is>
      </c>
      <c r="K5" s="7" t="inlineStr">
        <is>
          <t>预期SDC显著高于随机翻转，因为绕开地址异常与页故障</t>
        </is>
      </c>
      <c r="L5" s="7" t="inlineStr">
        <is>
          <t>专门检验“合法但错误地址”这一随机翻转难命中的路径</t>
        </is>
      </c>
      <c r="M5" s="7" t="inlineStr">
        <is>
          <t>本方案结构化模型</t>
        </is>
      </c>
      <c r="N5" s="7" t="inlineStr">
        <is>
          <t>架构异常与地址翻译路径（非ECC/parity）</t>
        </is>
      </c>
    </row>
    <row r="6" ht="86.65000000000001" customHeight="1" s="58">
      <c r="A6" s="6" t="inlineStr">
        <is>
          <t>A05</t>
        </is>
      </c>
      <c r="B6" s="6" t="inlineStr">
        <is>
          <t>AGU</t>
        </is>
      </c>
      <c r="C6" s="7" t="inlineStr">
        <is>
          <t>AGU 的寻址操作数选择与预处理控制，包括 base/index 选择、UXTW/SXTW 扩展、LSL 移位以及 pre-index/post-index 的基址更新方式。这些控制信号决定参与地址加法的值和基址何时写回。</t>
        </is>
      </c>
      <c r="D6" s="7" t="inlineStr">
        <is>
          <t>错位拼接</t>
        </is>
      </c>
      <c r="E6" s="7"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F6" s="7" t="inlineStr">
        <is>
          <t>A05-a base/index互换；A05-b SXTW/UXTW互换；A05-c shift错误；A05-d pre/post-index错误</t>
        </is>
      </c>
      <c r="G6" s="7" t="inlineStr">
        <is>
          <t>F0 / F2 / F6</t>
        </is>
      </c>
      <c r="H6" s="7" t="inlineStr">
        <is>
          <t>AGU-AddrModes AArch64 寻址模式探针（base+imm、base+index、扩展/移位、pre/post-index、LDP/STP）</t>
        </is>
      </c>
      <c r="I6" s="7" t="inlineStr">
        <is>
          <t>命中对应AArch64寻址模式</t>
        </is>
      </c>
      <c r="J6" s="7" t="inlineStr">
        <is>
          <t>L0 eligible/activated；L1 正确EA与故障EA、base/index/extend/shift、size/byte-enable；L2 TLB输入VA与cache request；L3 load返回/store落点；L4 commit首分歧；L5输出/Crash/Timeout；记录寻址模式、基址写回值、错误潜伏提交数</t>
        </is>
      </c>
      <c r="K6" s="7" t="inlineStr">
        <is>
          <t>地址仍合法时高SDC；符号扩展和更新时点错误可能在数十条指令后才显现</t>
        </is>
      </c>
      <c r="L6" s="7" t="inlineStr">
        <is>
          <t>对应AGU真正的操作数选择和扩展逻辑，而非泛化位翻转</t>
        </is>
      </c>
      <c r="M6" s="7" t="inlineStr">
        <is>
          <t>无直接文献</t>
        </is>
      </c>
      <c r="N6" s="7" t="inlineStr">
        <is>
          <t>架构异常与地址翻译路径（非ECC/parity）</t>
        </is>
      </c>
    </row>
    <row r="7" ht="74.25" customHeight="1" s="58">
      <c r="A7" s="6" t="inlineStr">
        <is>
          <t>A06</t>
        </is>
      </c>
      <c r="B7" s="6" t="inlineStr">
        <is>
          <t>AGU</t>
        </is>
      </c>
      <c r="C7" s="7" t="inlineStr">
        <is>
          <t>AGU/LSU 随访存请求生成的 access-size 与 byte-enable 字段。access-size 表示本次访问是 1/2/4/8/16B，byte-enable 指定 cache line 中哪些字节真正读写；地址正确但这些字段错误仍会造成截断、越界字节或部分写。</t>
        </is>
      </c>
      <c r="D7" s="7" t="inlineStr">
        <is>
          <t>状态</t>
        </is>
      </c>
      <c r="E7" s="7"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F7" s="7" t="inlineStr">
        <is>
          <t>A06-a access size改为另一合法值；A06-b byte-enable改为另一合法掩码</t>
        </is>
      </c>
      <c r="G7" s="7" t="inlineStr">
        <is>
          <t>F0 / F2 / F6</t>
        </is>
      </c>
      <c r="H7" s="7" t="inlineStr">
        <is>
          <t>AGU-AddrModes AArch64 寻址模式探针（base+imm、base+index、扩展/移位、pre/post-index、LDP/STP）
SQ-Forward 转发探针（同地址/部分重叠 store-to-load forwarding、字节掩码、alias、replay）</t>
        </is>
      </c>
      <c r="I7" s="7" t="inlineStr">
        <is>
          <t>子字节或向量访存</t>
        </is>
      </c>
      <c r="J7" s="7" t="inlineStr">
        <is>
          <t>L0 eligible/activated；L1 正确EA与故障EA、base/index/extend/shift、size/byte-enable；L2 TLB输入VA与cache request；L3 load返回/store落点；L4 commit首分歧；L5输出/Crash/Timeout；逐字节store日志、相邻字节canary、load扩展方式</t>
        </is>
      </c>
      <c r="K7" s="7" t="inlineStr">
        <is>
          <t>partial store最易静默污染相邻字节；load可能表现为截断/符号扩展错误</t>
        </is>
      </c>
      <c r="L7" s="7" t="inlineStr">
        <is>
          <t>地址正确并不保证写入范围正确；这是AGU/LSU控制路径的高价值结构化故障</t>
        </is>
      </c>
      <c r="M7" s="7" t="inlineStr">
        <is>
          <t>本方案结构化模型</t>
        </is>
      </c>
      <c r="N7" s="7" t="inlineStr">
        <is>
          <t>架构异常与地址翻译路径（非ECC/parity）</t>
        </is>
      </c>
    </row>
    <row r="8" ht="74.25" customHeight="1" s="58">
      <c r="A8" s="6" t="inlineStr">
        <is>
          <t>A07</t>
        </is>
      </c>
      <c r="B8" s="6" t="inlineStr">
        <is>
          <t>AGU</t>
        </is>
      </c>
      <c r="C8" s="7" t="inlineStr">
        <is>
          <t>AGU 结果的 address-ready 握手信号与 EA 流水锁存器。ready 告诉下游“本条地址已经可用”，锁存器保存跨周期的 EA；提前 ready 可能让下游读到上一拍旧地址，延后或丢失 ready 会造成停顿或请求丢失。</t>
        </is>
      </c>
      <c r="D8" s="7" t="inlineStr">
        <is>
          <t>时序</t>
        </is>
      </c>
      <c r="E8" s="7"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F8" s="7" t="inlineStr">
        <is>
          <t>A07-a ready过早并使用旧EA；A07-b ready延迟；A07-c ready丢失</t>
        </is>
      </c>
      <c r="G8" s="7" t="inlineStr">
        <is>
          <t>F0 / F4 / F6</t>
        </is>
      </c>
      <c r="H8" s="7" t="inlineStr">
        <is>
          <t>AGU-AddrModes AArch64 寻址模式探针（base+imm、base+index、扩展/移位、pre/post-index、LDP/STP）
SQ-Forward 转发探针（同地址/部分重叠 store-to-load forwarding、字节掩码、alias、replay）</t>
        </is>
      </c>
      <c r="I8" s="7" t="inlineStr">
        <is>
          <t>连续相关访存</t>
        </is>
      </c>
      <c r="J8" s="7" t="inlineStr">
        <is>
          <t>L0 eligible/activated；L1 正确EA与故障EA、base/index/extend/shift、size/byte-enable；L2 TLB输入VA与cache request；L3 load返回/store落点；L4 commit首分歧；L5输出/Crash/Timeout；旧EA命中率、stall/replay、请求重复/丢失</t>
        </is>
      </c>
      <c r="K8" s="7" t="inlineStr">
        <is>
          <t>提前最危险，可能复用上一条EA并SDC；延后多为性能下降或Timeout</t>
        </is>
      </c>
      <c r="L8" s="7" t="inlineStr">
        <is>
          <t>覆盖小延迟故障映射到状态事件的后果</t>
        </is>
      </c>
      <c r="M8" s="7" t="inlineStr">
        <is>
          <t>MICRO'24 DelayAVF提供时延故障方法论，非直接AGU结果</t>
        </is>
      </c>
      <c r="N8" s="7" t="inlineStr">
        <is>
          <t>架构异常与地址翻译路径（非ECC/parity）</t>
        </is>
      </c>
    </row>
    <row r="9" ht="86.65000000000001" customHeight="1" s="58">
      <c r="A9" s="6" t="inlineStr">
        <is>
          <t>A08</t>
        </is>
      </c>
      <c r="B9" s="6" t="inlineStr">
        <is>
          <t>AGU</t>
        </is>
      </c>
      <c r="C9" s="7" t="inlineStr">
        <is>
          <t>AGU 到 Load Queue、Store Queue 和 cache 端口之间的请求类型/端口路由。该逻辑把已生成的 EA 绑定到正确的动态指令，并区分 load 与 store；路由错会使合法地址附着到错误请求或错误端口。</t>
        </is>
      </c>
      <c r="D9" s="7" t="inlineStr">
        <is>
          <t>换值</t>
        </is>
      </c>
      <c r="E9" s="7"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F9" s="7" t="inlineStr">
        <is>
          <t>A08-a 发往错误load/store通道；A08-b 同周期两条请求的EA互换</t>
        </is>
      </c>
      <c r="G9" s="7" t="inlineStr">
        <is>
          <t>F0 / F2 / F6</t>
        </is>
      </c>
      <c r="H9" s="7" t="inlineStr">
        <is>
          <t>AGU-AddrModes AArch64 寻址模式探针（base+imm、base+index、扩展/移位、pre/post-index、LDP/STP）
SQ-Forward 转发探针（同地址/部分重叠 store-to-load forwarding、字节掩码、alias、replay）</t>
        </is>
      </c>
      <c r="I9" s="7" t="inlineStr">
        <is>
          <t>同周期存在load与store</t>
        </is>
      </c>
      <c r="J9" s="7" t="inlineStr">
        <is>
          <t>L0 eligible/activated；L1 正确EA与故障EA、base/index/extend/shift、size/byte-enable；L2 TLB输入VA与cache request；L3 load返回/store落点；L4 commit首分歧；L5输出/Crash/Timeout；记录请求ID、dynInst、端口、EA映射一致性</t>
        </is>
      </c>
      <c r="K9" s="7" t="inlineStr">
        <is>
          <t>交换两条合法EA可能通过检查并产生数据/内存SDC；非法路由多触发断言</t>
        </is>
      </c>
      <c r="L9" s="7" t="inlineStr">
        <is>
          <t>B0有独立Load FU和Store FU，需覆盖路由选择而非虚构双load端口</t>
        </is>
      </c>
      <c r="M9" s="7" t="inlineStr">
        <is>
          <t>无直接文献</t>
        </is>
      </c>
      <c r="N9" s="7" t="inlineStr">
        <is>
          <t>架构异常与地址翻译路径（非ECC/parity）</t>
        </is>
      </c>
    </row>
    <row r="10" ht="86.65000000000001" customHeight="1" s="58">
      <c r="A10" s="8" t="inlineStr">
        <is>
          <t>T01</t>
        </is>
      </c>
      <c r="B10" s="8" t="inlineStr">
        <is>
          <t>L1d-TLB</t>
        </is>
      </c>
      <c r="C10" s="9" t="inlineStr">
        <is>
          <t>L1 d-TLB 表项的 VPN tag（Virtual Page Number 标签）。查 TLB 时用当前虚拟页号和 ASID 与它比较；tag 错误会产生本应命中的 miss，或更危险的错误命中另一条翻译。</t>
        </is>
      </c>
      <c r="D10" s="9" t="inlineStr">
        <is>
          <t>单比特翻转</t>
        </is>
      </c>
      <c r="E10" s="9"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F10" s="9" t="inlineStr">
        <is>
          <t>T01-a VPN tag低位单bit；T01-b VPN tag中位单bit；T01-c VPN tag高位单bit</t>
        </is>
      </c>
      <c r="G10" s="9" t="inlineStr">
        <is>
          <t>F0 / F1 / F2</t>
        </is>
      </c>
      <c r="H10" s="9" t="inlineStr">
        <is>
          <t>MiBench-TC23 论文负载（blowfish、patricia、fft、gsm、dijkstra、rijndael、sha、bitcount、edge、smooth）
TLB-AliasPerm 地址翻译探针（4KiB/2MiB 页、ASID、同VA不同PA、权限、TLBI、跨页访问）</t>
        </is>
      </c>
      <c r="I10" s="9" t="inlineStr">
        <is>
          <t>DTLB中存在有效项</t>
        </is>
      </c>
      <c r="J10" s="9" t="inlineStr">
        <is>
          <t>L0 表项是否被命中；L1 VPN/ASID/PPN/权限/valid与多命中；L2 walk/refill/TLBI、送cache的PA；L3 cache行与异常；L4 commit首分歧/错误页访问；L5结局；错hit/miss、walk后是否自愈、错误PA</t>
        </is>
      </c>
      <c r="K10" s="9" t="inlineStr">
        <is>
          <t>多为miss/walk或错误命中；TC'23表明DTLB非benign中SDC可达22.2%</t>
        </is>
      </c>
      <c r="L10" s="9" t="inlineStr">
        <is>
          <t>直接复现文献型瞬态并加入生命周期分母</t>
        </is>
      </c>
      <c r="M10" s="9" t="inlineStr">
        <is>
          <t>TC'22、TC'23直接对照</t>
        </is>
      </c>
      <c r="N10" s="9" t="inlineStr">
        <is>
          <t>地址翻译、权限与页故障路径（非ECC/parity）</t>
        </is>
      </c>
    </row>
    <row r="11" ht="86.65000000000001" customHeight="1" s="58">
      <c r="A11" s="8" t="inlineStr">
        <is>
          <t>T10</t>
        </is>
      </c>
      <c r="B11" s="8" t="inlineStr">
        <is>
          <t>L1d-TLB</t>
        </is>
      </c>
      <c r="C11" s="9" t="inlineStr">
        <is>
          <t>L1 d-TLB 有效表项的 PPN（Physical Page Number）数据字段。VPN/ASID 命中后，PPN 与页内偏移组成送往 L1D 的物理地址；该字段是 TC'23 类实验中最需要保留的基础对照。</t>
        </is>
      </c>
      <c r="D11" s="9" t="inlineStr">
        <is>
          <t>单比特翻转</t>
        </is>
      </c>
      <c r="E11" s="9"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F11" s="9" t="inlineStr">
        <is>
          <t>T10-a PPN低位单bit；T10-b PPN中位单bit；T10-c PPN高位单bit</t>
        </is>
      </c>
      <c r="G11" s="9" t="inlineStr">
        <is>
          <t>F0 / F1 / F2</t>
        </is>
      </c>
      <c r="H11" s="9" t="inlineStr">
        <is>
          <t>MiBench-TC23 论文负载（blowfish、patricia、fft、gsm、dijkstra、rijndael、sha、bitcount、edge、smooth）
TLB-AliasPerm 地址翻译探针（4KiB/2MiB 页、ASID、同VA不同PA、权限、TLBI、跨页访问）
SPEC CPU2017 采样区间</t>
        </is>
      </c>
      <c r="I11" s="9" t="inlineStr">
        <is>
          <t>DTLB 中存在有效项且后续再次命中</t>
        </is>
      </c>
      <c r="J11" s="9" t="inlineStr">
        <is>
          <t>L0 attempted/activated；L1 PPN 原值/故障值与命中项；L2 翻译后PA、权限与页大小；L3 cache line/DRAM落点；L4首次错误load/store；L5结局；按bit区间统计</t>
        </is>
      </c>
      <c r="K11" s="9" t="inlineStr">
        <is>
          <t>高位翻转更可能触发地址异常或Crash；落入另一已映射物理页时可能产生SDC；与VPN-tag单比特结果不应混算</t>
        </is>
      </c>
      <c r="L11" s="9" t="inlineStr">
        <is>
          <t>补回旧版具备而新版缺失的字段级单比特基线，使PPN双比特、卡死和合法换值均有可比较的F0对照</t>
        </is>
      </c>
      <c r="M11" s="9" t="inlineStr">
        <is>
          <t>TC'22/TC'23 对 DTLB 瞬态注入提供直接机制与结果对照</t>
        </is>
      </c>
      <c r="N11" s="9" t="inlineStr">
        <is>
          <t>地址翻译、权限与页故障路径（非ECC/parity）</t>
        </is>
      </c>
    </row>
    <row r="12" ht="74.25" customHeight="1" s="58">
      <c r="A12" s="8" t="inlineStr">
        <is>
          <t>T02</t>
        </is>
      </c>
      <c r="B12" s="8" t="inlineStr">
        <is>
          <t>L1d-TLB</t>
        </is>
      </c>
      <c r="C12" s="9" t="inlineStr">
        <is>
          <t>L1 d-TLB 表项中的 PPN（Physical Page Number，物理页号）翻译数据。VPN/ASID 命中后，PPN 与页内偏移拼成送往 L1D 的物理地址；这里不包含权限位。</t>
        </is>
      </c>
      <c r="D12" s="9" t="inlineStr">
        <is>
          <t>双比特翻转</t>
        </is>
      </c>
      <c r="E12" s="9"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F12" s="9" t="inlineStr">
        <is>
          <t>T02-a 同一PPN相邻双bit；T02-b 同一PPN非相邻双bit</t>
        </is>
      </c>
      <c r="G12" s="9" t="inlineStr">
        <is>
          <t>F0 / F2</t>
        </is>
      </c>
      <c r="H12" s="9" t="inlineStr">
        <is>
          <t>MiBench-TC23 论文负载（blowfish、patricia、fft、gsm、dijkstra、rijndael、sha、bitcount、edge、smooth）
TLB-AliasPerm 地址翻译探针（4KiB/2MiB 页、ASID、同VA不同PA、权限、TLBI、跨页访问）</t>
        </is>
      </c>
      <c r="I12" s="9" t="inlineStr">
        <is>
          <t>有效表项且后续复用</t>
        </is>
      </c>
      <c r="J12" s="9" t="inlineStr">
        <is>
          <t>L0 表项是否被命中；L1 VPN/ASID/PPN/权限/valid与多命中；L2 walk/refill/TLBI、送cache的PA；L3 cache行与异常；L4 commit首分歧/错误页访问；L5结局；PA距离、是否命中有效DRAM/设备区、异常类型</t>
        </is>
      </c>
      <c r="K12" s="9" t="inlineStr">
        <is>
          <t>比单bit更易进入未映射PA而Crash；同物理对象别名时可能SDC</t>
        </is>
      </c>
      <c r="L12" s="9" t="inlineStr">
        <is>
          <t>补足文献主要未覆盖的MBU</t>
        </is>
      </c>
      <c r="M12" s="9" t="inlineStr">
        <is>
          <t>TC'23单bit基线；CHAOS多bit规律类比</t>
        </is>
      </c>
      <c r="N12" s="9" t="inlineStr">
        <is>
          <t>地址翻译、权限与页故障路径（非ECC/parity）</t>
        </is>
      </c>
    </row>
    <row r="13" ht="86.65000000000001" customHeight="1" s="58">
      <c r="A13" s="8" t="inlineStr">
        <is>
          <t>T03</t>
        </is>
      </c>
      <c r="B13" s="8" t="inlineStr">
        <is>
          <t>L1d-TLB</t>
        </is>
      </c>
      <c r="C13" s="9" t="inlineStr">
        <is>
          <t>L1 d-TLB 的 PPN 读出通路中的一个固定物理位。与 T02 的一次性双翻转不同，卡死模型在每次读出翻译时都强制该位为 0 或 1，因此 refill 后仍可能再次表现同样错误。</t>
        </is>
      </c>
      <c r="D13" s="9" t="inlineStr">
        <is>
          <t>卡死</t>
        </is>
      </c>
      <c r="E13" s="9"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F13" s="9" t="inlineStr">
        <is>
          <t>T03-a PPN位stuck-at-0；T03-b PPN位stuck-at-1</t>
        </is>
      </c>
      <c r="G13" s="9" t="inlineStr">
        <is>
          <t>F5</t>
        </is>
      </c>
      <c r="H13" s="9" t="inlineStr">
        <is>
          <t>TLB-AliasPerm 地址翻译探针（4KiB/2MiB 页、ASID、同VA不同PA、权限、TLBI、跨页访问）
GAP/Graph500 子集（BFS、SSSP、PageRank，固定图与结果哈希）</t>
        </is>
      </c>
      <c r="I13" s="9" t="inlineStr">
        <is>
          <t>首个DTLB hit后持续</t>
        </is>
      </c>
      <c r="J13" s="9" t="inlineStr">
        <is>
          <t>L0 表项是否被命中；L1 VPN/ASID/PPN/权限/valid与多命中；L2 walk/refill/TLBI、送cache的PA；L3 cache行与异常；L4 commit首分歧/错误页访问；L5结局；按VA聚合错误PA、别名矩阵、TLB refill后是否仍错</t>
        </is>
      </c>
      <c r="K13" s="9" t="inlineStr">
        <is>
          <t>重复访问会形成稳定物理别名；高位常Crash，低位可能跨页静默读写</t>
        </is>
      </c>
      <c r="L13" s="9" t="inlineStr">
        <is>
          <t>永久翻译故障与单次瞬态的传播不同</t>
        </is>
      </c>
      <c r="M13" s="9" t="inlineStr">
        <is>
          <t>无直接永久DTLB结果</t>
        </is>
      </c>
      <c r="N13" s="9" t="inlineStr">
        <is>
          <t>地址翻译、权限与页故障路径（非ECC/parity）</t>
        </is>
      </c>
    </row>
    <row r="14" ht="86.65000000000001" customHeight="1" s="58">
      <c r="A14" s="8" t="inlineStr">
        <is>
          <t>T04</t>
        </is>
      </c>
      <c r="B14" s="8" t="inlineStr">
        <is>
          <t>L1d-TLB</t>
        </is>
      </c>
      <c r="C14" s="9" t="inlineStr">
        <is>
          <t>L1 d-TLB 的整条 VA→PA 映射关系，重点是命中项的 PPN。模型保持 VPN、ASID、页大小和权限编码合法，只把目标物理页换成另一已映射数据页，以排除普通 page fault 的干扰。</t>
        </is>
      </c>
      <c r="D14" s="9" t="inlineStr">
        <is>
          <t>换值</t>
        </is>
      </c>
      <c r="E14" s="9"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F14" s="9" t="inlineStr">
        <is>
          <t>T04-a PPN替换为另一合法物理页号</t>
        </is>
      </c>
      <c r="G14" s="9" t="inlineStr">
        <is>
          <t>F0 / F2 / F6</t>
        </is>
      </c>
      <c r="H14" s="9" t="inlineStr">
        <is>
          <t>TLB-AliasPerm 地址翻译探针（4KiB/2MiB 页、ASID、同VA不同PA、权限、TLBI、跨页访问）</t>
        </is>
      </c>
      <c r="I14" s="9" t="inlineStr">
        <is>
          <t>同时存在两个已映射数据页</t>
        </is>
      </c>
      <c r="J14" s="9" t="inlineStr">
        <is>
          <t>L0 表项是否被命中；L1 VPN/ASID/PPN/权限/valid与多命中；L2 walk/refill/TLBI、送cache的PA；L3 cache行与异常；L4 commit首分歧/错误页访问；L5结局；记录源/目标页oracle、错误访问方向、TLBI恢复</t>
        </is>
      </c>
      <c r="K14" s="9" t="inlineStr">
        <is>
          <t>预期比随机PPN翻转更高SDC，且不触发页故障</t>
        </is>
      </c>
      <c r="L14" s="9" t="inlineStr">
        <is>
          <t>构造合法映射以测静默上限</t>
        </is>
      </c>
      <c r="M14" s="9" t="inlineStr">
        <is>
          <t>本方案结构化模型</t>
        </is>
      </c>
      <c r="N14" s="9" t="inlineStr">
        <is>
          <t>地址翻译、权限与页故障路径（非ECC/parity）</t>
        </is>
      </c>
    </row>
    <row r="15" ht="86.65000000000001" customHeight="1" s="58">
      <c r="A15" s="8" t="inlineStr">
        <is>
          <t>T05</t>
        </is>
      </c>
      <c r="B15" s="8" t="inlineStr">
        <is>
          <t>L1d-TLB</t>
        </is>
      </c>
      <c r="C15" s="9" t="inlineStr">
        <is>
          <t>L1 d-TLB 表项的身份与生命周期状态：valid 决定表项是否可命中，global 决定是否忽略 ASID，ASID 区分地址空间。它们错误时可能产生额外 page walk、陈旧翻译或跨地址空间命中。</t>
        </is>
      </c>
      <c r="D15" s="9" t="inlineStr">
        <is>
          <t>状态</t>
        </is>
      </c>
      <c r="E15" s="9"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F15" s="9" t="inlineStr">
        <is>
          <t>T05-a valid清零；T05-b valid伪置位；T05-c global位翻转；T05-d ASID替换</t>
        </is>
      </c>
      <c r="G15" s="9" t="inlineStr">
        <is>
          <t>F0 / F2 / F6</t>
        </is>
      </c>
      <c r="H15" s="9" t="inlineStr">
        <is>
          <t>TLB-AliasPerm 地址翻译探针（4KiB/2MiB 页、ASID、同VA不同PA、权限、TLBI、跨页访问）</t>
        </is>
      </c>
      <c r="I15" s="9" t="inlineStr">
        <is>
          <t>ASID切换或TLBI前后</t>
        </is>
      </c>
      <c r="J15" s="9" t="inlineStr">
        <is>
          <t>L0 表项是否被命中；L1 VPN/ASID/PPN/权限/valid与多命中；L2 walk/refill/TLBI、送cache的PA；L3 cache行与异常；L4 commit首分歧/错误页访问；L5结局；stale translation使用次数、TLBI后残留、跨ASID命中</t>
        </is>
      </c>
      <c r="K15" s="9" t="inlineStr">
        <is>
          <t>valid清零多为额外walk；伪造valid或错ASID可能跨地址空间SDC/安全违规</t>
        </is>
      </c>
      <c r="L15" s="9" t="inlineStr">
        <is>
          <t>覆盖表项身份与生命周期，而不只数据位</t>
        </is>
      </c>
      <c r="M15" s="9" t="inlineStr">
        <is>
          <t>TC'23未细分字段</t>
        </is>
      </c>
      <c r="N15" s="9" t="inlineStr">
        <is>
          <t>地址翻译、权限与页故障路径（非ECC/parity）</t>
        </is>
      </c>
    </row>
    <row r="16" ht="86.65000000000001" customHeight="1" s="58">
      <c r="A16" s="8" t="inlineStr">
        <is>
          <t>T06</t>
        </is>
      </c>
      <c r="B16" s="8" t="inlineStr">
        <is>
          <t>L1d-TLB</t>
        </is>
      </c>
      <c r="C16" s="9" t="inlineStr">
        <is>
          <t>L1 d-TLB 表项的访问属性控制字段：AP 是读写权限，XN 是禁止执行属性，AttrIndx 选择内存类型，页大小决定 VPN/PPN 与页内偏移如何拼接。它们不改变 PPN 本身，但改变访问是否合法以及地址如何解释。</t>
        </is>
      </c>
      <c r="D16" s="9" t="inlineStr">
        <is>
          <t>换值</t>
        </is>
      </c>
      <c r="E16" s="9"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F16" s="9" t="inlineStr">
        <is>
          <t>T06-a permission替换；T06-b memory type替换；T06-c page size替换</t>
        </is>
      </c>
      <c r="G16" s="9" t="inlineStr">
        <is>
          <t>F0 / F2 / F6</t>
        </is>
      </c>
      <c r="H16" s="9" t="inlineStr">
        <is>
          <t>TLB-AliasPerm 地址翻译探针（4KiB/2MiB 页、ASID、同VA不同PA、权限、TLBI、跨页访问）</t>
        </is>
      </c>
      <c r="I16" s="9" t="inlineStr">
        <is>
          <t>访问权限边界或不同memory attribute页</t>
        </is>
      </c>
      <c r="J16" s="9" t="inlineStr">
        <is>
          <t>L0 表项是否被命中；L1 VPN/ASID/PPN/权限/valid与多命中；L2 walk/refill/TLBI、送cache的PA；L3 cache行与异常；L4 commit首分歧/错误页访问；L5结局；权限检查、异常、memory type、地址拼接位</t>
        </is>
      </c>
      <c r="K16" s="9" t="inlineStr">
        <is>
          <t>权限放宽可能静默越权；收紧多Crash；页大小错可产生系统性别名</t>
        </is>
      </c>
      <c r="L16" s="9" t="inlineStr">
        <is>
          <t>结构化控制字段的风险不同于PPN随机翻转</t>
        </is>
      </c>
      <c r="M16" s="9" t="inlineStr">
        <is>
          <t>本方案结构化模型</t>
        </is>
      </c>
      <c r="N16" s="9" t="inlineStr">
        <is>
          <t>地址翻译、权限与页故障路径（非ECC/parity）</t>
        </is>
      </c>
    </row>
    <row r="17" ht="74.25" customHeight="1" s="58">
      <c r="A17" s="8" t="inlineStr">
        <is>
          <t>T07</t>
        </is>
      </c>
      <c r="B17" s="8" t="inlineStr">
        <is>
          <t>L1d-TLB</t>
        </is>
      </c>
      <c r="C17" s="9" t="inlineStr">
        <is>
          <t>L1 d-TLB 的 CAM 比较结果 match vector 与 way-select 选择器。match vector 表示哪些表项的 VPN/ASID 匹配，way-select 从匹配项中选出翻译；伪造零命中、双命中或错选 way 都属于比较/选择逻辑故障。</t>
        </is>
      </c>
      <c r="D17" s="9" t="inlineStr">
        <is>
          <t>状态</t>
        </is>
      </c>
      <c r="E17" s="9"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F17" s="9" t="inlineStr">
        <is>
          <t>T07-a false hit；T07-b double hit；T07-c wrong-way选择</t>
        </is>
      </c>
      <c r="G17" s="9" t="inlineStr">
        <is>
          <t>F0 / F4 / F6</t>
        </is>
      </c>
      <c r="H17" s="9" t="inlineStr">
        <is>
          <t>TLB-AliasPerm 地址翻译探针（4KiB/2MiB 页、ASID、同VA不同PA、权限、TLBI、跨页访问）</t>
        </is>
      </c>
      <c r="I17" s="9" t="inlineStr">
        <is>
          <t>DTLB lookup</t>
        </is>
      </c>
      <c r="J17" s="9" t="inlineStr">
        <is>
          <t>L0 表项是否被命中；L1 VPN/ASID/PPN/权限/valid与多命中；L2 walk/refill/TLBI、送cache的PA；L3 cache行与异常；L4 commit首分歧/错误页访问；L5结局；match vector popcount、选择way、walk数量、断言</t>
        </is>
      </c>
      <c r="K17" s="9" t="inlineStr">
        <is>
          <t>0命中多为性能；错误way且合法可能SDC；双命中应被监控/断言检出</t>
        </is>
      </c>
      <c r="L17" s="9" t="inlineStr">
        <is>
          <t>覆盖CAM比较和选择逻辑</t>
        </is>
      </c>
      <c r="M17" s="9" t="inlineStr">
        <is>
          <t>无直接文献</t>
        </is>
      </c>
      <c r="N17" s="9" t="inlineStr">
        <is>
          <t>地址翻译、权限与页故障路径（非ECC/parity）</t>
        </is>
      </c>
    </row>
    <row r="18" ht="74.25" customHeight="1" s="58">
      <c r="A18" s="8" t="inlineStr">
        <is>
          <t>T08</t>
        </is>
      </c>
      <c r="B18" s="8" t="inlineStr">
        <is>
          <t>L1d-TLB</t>
        </is>
      </c>
      <c r="C18" s="9" t="inlineStr">
        <is>
          <t>d-TLB miss 后的 page-table walk 返回与 refill 通路。walker 根据页表得到 PTE，refill 逻辑再把 VPN、PPN、权限和状态写入某个 TLB 槽；事务 ID 或完成时序错误会把上一条 walk 的结果填给当前请求。</t>
        </is>
      </c>
      <c r="D18" s="9" t="inlineStr">
        <is>
          <t>时序</t>
        </is>
      </c>
      <c r="E18" s="9"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F18" s="9" t="inlineStr">
        <is>
          <t>T08-a walk/fill丢失；T08-b walk/fill重复；T08-c done过早；T08-d 旧walk结果写入</t>
        </is>
      </c>
      <c r="G18" s="9" t="inlineStr">
        <is>
          <t>F0 / F4 / F6</t>
        </is>
      </c>
      <c r="H18" s="9" t="inlineStr">
        <is>
          <t>TLB-AliasPerm 地址翻译探针（4KiB/2MiB 页、ASID、同VA不同PA、权限、TLBI、跨页访问）
GAP/Graph500 子集（BFS、SSSP、PageRank，固定图与结果哈希）</t>
        </is>
      </c>
      <c r="I18" s="9" t="inlineStr">
        <is>
          <t>DTLB miss并启动walk</t>
        </is>
      </c>
      <c r="J18" s="9" t="inlineStr">
        <is>
          <t>L0 表项是否被命中；L1 VPN/ASID/PPN/权限/valid与多命中；L2 walk/refill/TLBI、送cache的PA；L3 cache行与异常；L4 commit首分歧/错误页访问；L5结局；walk ID、VA、返回PTE、refill槽、完成次序</t>
        </is>
      </c>
      <c r="K18" s="9" t="inlineStr">
        <is>
          <t>旧结果错配最可能静默；丢失多Timeout；重复可能污染替换状态</t>
        </is>
      </c>
      <c r="L18" s="9" t="inlineStr">
        <is>
          <t>TLB风险不仅在阵列，也在refill事务配对</t>
        </is>
      </c>
      <c r="M18" s="9" t="inlineStr">
        <is>
          <t>本方案结构化模型</t>
        </is>
      </c>
      <c r="N18" s="9" t="inlineStr">
        <is>
          <t>地址翻译、权限与页故障路径（非ECC/parity）</t>
        </is>
      </c>
    </row>
    <row r="19" ht="86.65000000000001" customHeight="1" s="58">
      <c r="A19" s="52" t="inlineStr">
        <is>
          <t>S01</t>
        </is>
      </c>
      <c r="B19" s="52" t="inlineStr">
        <is>
          <t>Store Queue</t>
        </is>
      </c>
      <c r="C19" s="53" t="inlineStr">
        <is>
          <t>Store Queue 有效表项中的 store data 数据域。store 在提交前把将写入内存的数据暂存在这里；后续可能直接转发给年轻 load，也可能在提交后写入 L1D。</t>
        </is>
      </c>
      <c r="D19" s="53" t="inlineStr">
        <is>
          <t>单比特翻转</t>
        </is>
      </c>
      <c r="E19" s="53"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F19" s="53" t="inlineStr">
        <is>
          <t>S01-a SQ data低位单bit；S01-b SQ data中位单bit；S01-c SQ data高位单bit</t>
        </is>
      </c>
      <c r="G19" s="53" t="inlineStr">
        <is>
          <t>F0 / F1 / F2</t>
        </is>
      </c>
      <c r="H19" s="53" t="inlineStr">
        <is>
          <t>MiBench-TC23 论文负载（blowfish、patricia、fft、gsm、dijkstra、rijndael、sha、bitcount、edge、smooth）
SQ-Forward 转发探针（同地址/部分重叠 store-to-load forwarding、字节掩码、alias、replay）</t>
        </is>
      </c>
      <c r="I19" s="53" t="inlineStr">
        <is>
          <t>SQ中存在未提交store</t>
        </is>
      </c>
      <c r="J19" s="53" t="inlineStr">
        <is>
          <t>L0 项是否被读/转发/提交；L1 addr/data/mask/valid/age与影子SQ；L2 forwarding/replay/violation/SSIT-LFST；L3 cache写请求与ack；L4 commit及内存写日志；L5结局；区分forward传播与cache写出传播、数据bit位置</t>
        </is>
      </c>
      <c r="K19" s="53" t="inlineStr">
        <is>
          <t>可能在写回或forward时SDC；IISWC'15总体非掩蔽多低于3%</t>
        </is>
      </c>
      <c r="L19" s="53" t="inlineStr">
        <is>
          <t>复现IISWC/Harpocrates数据域注入并修正分母</t>
        </is>
      </c>
      <c r="M19" s="53" t="inlineStr">
        <is>
          <t>IISWC'15、Harpocrates++直接对照</t>
        </is>
      </c>
      <c r="N19" s="53" t="inlineStr">
        <is>
          <t>顺序、转发、提交与事务生命周期约束（非ECC/parity）</t>
        </is>
      </c>
    </row>
    <row r="20" ht="74.25" customHeight="1" s="58">
      <c r="A20" s="52" t="inlineStr">
        <is>
          <t>S02</t>
        </is>
      </c>
      <c r="B20" s="52" t="inlineStr">
        <is>
          <t>Store Queue</t>
        </is>
      </c>
      <c r="C20" s="53" t="inlineStr">
        <is>
          <t>Store Queue 有效表项中的 store data 数据域，双比特同时位于同一条 store 的数据载荷内。该位置不包括地址、byte mask 或队列状态，因此能单独比较单比特和 MBU 的数据传播。</t>
        </is>
      </c>
      <c r="D20" s="53" t="inlineStr">
        <is>
          <t>双比特翻转</t>
        </is>
      </c>
      <c r="E20" s="53"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F20" s="53" t="inlineStr">
        <is>
          <t>S02-a 同一8B字相邻双bit；S02-b 同一8B字非相邻双bit</t>
        </is>
      </c>
      <c r="G20" s="53" t="inlineStr">
        <is>
          <t>F0 / F2</t>
        </is>
      </c>
      <c r="H20" s="53" t="inlineStr">
        <is>
          <t>SQ-Forward 转发探针（同地址/部分重叠 store-to-load forwarding、字节掩码、alias、replay）
MiBench-TC23 论文负载（blowfish、patricia、fft、gsm、dijkstra、rijndael、sha、bitcount、edge、smooth）</t>
        </is>
      </c>
      <c r="I20" s="53" t="inlineStr">
        <is>
          <t>有效SQ数据项</t>
        </is>
      </c>
      <c r="J20" s="53" t="inlineStr">
        <is>
          <t>L0 项是否被读/转发/提交；L1 addr/data/mask/valid/age与影子SQ；L2 forwarding/replay/violation/SSIT-LFST；L3 cache写请求与ack；L4 commit及内存写日志；L5结局；bit距离、forward/writeback路径</t>
        </is>
      </c>
      <c r="K20" s="53" t="inlineStr">
        <is>
          <t>双比特翻转后通常仍是合法数据，SDC不一定低于单比特；需按比特距离和字节位置分层统计</t>
        </is>
      </c>
      <c r="L20" s="53" t="inlineStr">
        <is>
          <t>数据字段没有非法编码门槛，需与地址/状态字段对照</t>
        </is>
      </c>
      <c r="M20" s="53" t="inlineStr">
        <is>
          <t>CHAOS多bit规律性对照</t>
        </is>
      </c>
      <c r="N20" s="53" t="inlineStr">
        <is>
          <t>顺序、转发、提交与事务生命周期约束（非ECC/parity）</t>
        </is>
      </c>
    </row>
    <row r="21" ht="86.65000000000001" customHeight="1" s="58">
      <c r="A21" s="52" t="inlineStr">
        <is>
          <t>S03</t>
        </is>
      </c>
      <c r="B21" s="52" t="inlineStr">
        <is>
          <t>Store Queue</t>
        </is>
      </c>
      <c r="C21" s="53" t="inlineStr">
        <is>
          <t>Store Queue 数据阵列的某个物理 bit/byte lane 或统一读写通路。byte lane 是并行承载一个字节的通路；卡死后，所有经过目标 lane 的 store 都会出现相同掩码损坏。</t>
        </is>
      </c>
      <c r="D21" s="53" t="inlineStr">
        <is>
          <t>卡死</t>
        </is>
      </c>
      <c r="E21" s="53"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F21" s="53" t="inlineStr">
        <is>
          <t>S03-a data bit stuck-at-0；S03-b data bit stuck-at-1；S03-c byte lane stuck</t>
        </is>
      </c>
      <c r="G21" s="53" t="inlineStr">
        <is>
          <t>F5</t>
        </is>
      </c>
      <c r="H21" s="53" t="inlineStr">
        <is>
          <t>SQ-Forward 转发探针（同地址/部分重叠 store-to-load forwarding、字节掩码、alias、replay）
STREAM+PointerChase（Copy、Scale、Add、Triad 与随机指针链）</t>
        </is>
      </c>
      <c r="I21" s="53" t="inlineStr">
        <is>
          <t>首个store后持续</t>
        </is>
      </c>
      <c r="J21" s="53" t="inlineStr">
        <is>
          <t>L0 项是否被读/转发/提交；L1 addr/data/mask/valid/age与影子SQ；L2 forwarding/replay/violation/SSIT-LFST；L3 cache写请求与ack；L4 commit及内存写日志；L5结局；按store宽度统计激活、错误模式是否恒定</t>
        </is>
      </c>
      <c r="K21" s="53" t="inlineStr">
        <is>
          <t>稳定数据偏置，数值/校验和负载高SDC；未使用lane可掩蔽</t>
        </is>
      </c>
      <c r="L21" s="53" t="inlineStr">
        <is>
          <t>永久门/写线故障模型</t>
        </is>
      </c>
      <c r="M21" s="53" t="inlineStr">
        <is>
          <t>HPCA'24永久缓存故障仅作类型参考</t>
        </is>
      </c>
      <c r="N21" s="53" t="inlineStr">
        <is>
          <t>顺序、转发、提交与事务生命周期约束（非ECC/parity）</t>
        </is>
      </c>
    </row>
    <row r="22" ht="86.65000000000001" customHeight="1" s="58">
      <c r="A22" s="52" t="inlineStr">
        <is>
          <t>S04</t>
        </is>
      </c>
      <c r="B22" s="52" t="inlineStr">
        <is>
          <t>Store Queue</t>
        </is>
      </c>
      <c r="C22" s="53" t="inlineStr">
        <is>
          <t>Store Queue 表项中的 store address 字段。它保存该 store 最终要写入的地址，同时参与与年轻 load 的地址比较；地址字段错误既会改变内存落点，也可能改变 store-to-load forwarding 判断。</t>
        </is>
      </c>
      <c r="D22" s="53" t="inlineStr">
        <is>
          <t>换值</t>
        </is>
      </c>
      <c r="E22" s="53"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F22" s="53" t="inlineStr">
        <is>
          <t>S04-a SQ地址替换为另一合法地址</t>
        </is>
      </c>
      <c r="G22" s="53" t="inlineStr">
        <is>
          <t>F0 / F2 / F6</t>
        </is>
      </c>
      <c r="H22" s="53" t="inlineStr">
        <is>
          <t>SQ-Forward 转发探针（同地址/部分重叠 store-to-load forwarding、字节掩码、alias、replay）
MiniCheck 最小正确性探针（数组校验和、guard page、指针链、load/store round-trip）</t>
        </is>
      </c>
      <c r="I22" s="53" t="inlineStr">
        <is>
          <t>store提交前地址已知</t>
        </is>
      </c>
      <c r="J22" s="53" t="inlineStr">
        <is>
          <t>L0 项是否被读/转发/提交；L1 addr/data/mask/valid/age与影子SQ；L2 forwarding/replay/violation/SSIT-LFST；L3 cache写请求与ack；L4 commit及内存写日志；L5结局；影子SQ地址、内存写日志、受害对象canary</t>
        </is>
      </c>
      <c r="K22" s="53" t="inlineStr">
        <is>
          <t>绕开地址异常后预期SDC高；还可能破坏后续load forwarding</t>
        </is>
      </c>
      <c r="L22" s="53" t="inlineStr">
        <is>
          <t>TC'23随机LQ/SQ翻转SDC=0可能受依赖检查影响，本模型测试合法状态边界</t>
        </is>
      </c>
      <c r="M22" s="53" t="inlineStr">
        <is>
          <t>TC'23为随机翻转基线</t>
        </is>
      </c>
      <c r="N22" s="53" t="inlineStr">
        <is>
          <t>顺序、转发、提交与事务生命周期约束（非ECC/parity）</t>
        </is>
      </c>
    </row>
    <row r="23" ht="86.65000000000001" customHeight="1" s="58">
      <c r="A23" s="52" t="inlineStr">
        <is>
          <t>S05</t>
        </is>
      </c>
      <c r="B23" s="52" t="inlineStr">
        <is>
          <t>Store Queue</t>
        </is>
      </c>
      <c r="C23" s="53" t="inlineStr">
        <is>
          <t>Store Queue 表项的 byte-enable 与访问 size。byte-enable 指出 data 中哪些字节有效，size 表示访问宽度；它们共同控制部分 store、非对齐 store 以及转发时的数据覆盖范围。</t>
        </is>
      </c>
      <c r="D23" s="53" t="inlineStr">
        <is>
          <t>错位拼接</t>
        </is>
      </c>
      <c r="E23" s="53"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F23" s="53" t="inlineStr">
        <is>
          <t>S05-a byte mask旋转；S05-b 高低byte mask互换；S05-c size错误</t>
        </is>
      </c>
      <c r="G23" s="53" t="inlineStr">
        <is>
          <t>F0 / F2 / F6</t>
        </is>
      </c>
      <c r="H23" s="53" t="inlineStr">
        <is>
          <t>SQ-Forward 转发探针（同地址/部分重叠 store-to-load forwarding、字节掩码、alias、replay）
AGU-AddrModes AArch64 寻址模式探针（base+imm、base+index、扩展/移位、pre/post-index、LDP/STP）</t>
        </is>
      </c>
      <c r="I23" s="53" t="inlineStr">
        <is>
          <t>partial/unaligned store</t>
        </is>
      </c>
      <c r="J23" s="53" t="inlineStr">
        <is>
          <t>L0 项是否被读/转发/提交；L1 addr/data/mask/valid/age与影子SQ；L2 forwarding/replay/violation/SSIT-LFST；L3 cache写请求与ack；L4 commit及内存写日志；L5结局；逐字节diff、邻接canary、forward mask与write mask一致性</t>
        </is>
      </c>
      <c r="K23" s="53" t="inlineStr">
        <is>
          <t>最可能出现局部字节SDC且程序继续运行</t>
        </is>
      </c>
      <c r="L23" s="53" t="inlineStr">
        <is>
          <t>SQ专属结构化风险，随机bit可能变成非法组合被拦截</t>
        </is>
      </c>
      <c r="M23" s="53" t="inlineStr">
        <is>
          <t>无直接文献</t>
        </is>
      </c>
      <c r="N23" s="53" t="inlineStr">
        <is>
          <t>顺序、转发、提交与事务生命周期约束（非ECC/parity）</t>
        </is>
      </c>
    </row>
    <row r="24" ht="74.25" customHeight="1" s="58">
      <c r="A24" s="52" t="inlineStr">
        <is>
          <t>S06</t>
        </is>
      </c>
      <c r="B24" s="52" t="inlineStr">
        <is>
          <t>Store Queue</t>
        </is>
      </c>
      <c r="C24" s="53" t="inlineStr">
        <is>
          <t>Store Queue 表项的 valid、committed、completed 生命周期状态。valid 表示槽中有有效 store，committed 表示已获准离开推测状态，completed 表示 cache 写请求已完成；状态过早或丢失可能漏写、重复释放或破坏精确异常。</t>
        </is>
      </c>
      <c r="D24" s="53" t="inlineStr">
        <is>
          <t>状态</t>
        </is>
      </c>
      <c r="E24" s="53"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F24" s="53" t="inlineStr">
        <is>
          <t>S06-a valid清零/伪置位；S06-b committed清零/伪置位；S06-c completed清零/伪置位</t>
        </is>
      </c>
      <c r="G24" s="53" t="inlineStr">
        <is>
          <t>F0 / F2 / F6</t>
        </is>
      </c>
      <c r="H24" s="53" t="inlineStr">
        <is>
          <t>SQ-Forward 转发探针（同地址/部分重叠 store-to-load forwarding、字节掩码、alias、replay）
Cache-DirtyEvict 缓存探针（0.5×/1×/2×L1D working set、conflict set、dirty eviction、writeback）</t>
        </is>
      </c>
      <c r="I24" s="53" t="inlineStr">
        <is>
          <t>状态转换边沿</t>
        </is>
      </c>
      <c r="J24" s="53" t="inlineStr">
        <is>
          <t>L0 项是否被读/转发/提交；L1 addr/data/mask/valid/age与影子SQ；L2 forwarding/replay/violation/SSIT-LFST；L3 cache写请求与ack；L4 commit及内存写日志；L5结局；状态机轨迹、ROB commit、cache request是否缺失/重复</t>
        </is>
      </c>
      <c r="K24" s="53" t="inlineStr">
        <is>
          <t>假completed可能丢store而SDC；提前committed可能破坏精确异常；valid丢失可能静默漏写</t>
        </is>
      </c>
      <c r="L24" s="53" t="inlineStr">
        <is>
          <t>覆盖store生命周期控制</t>
        </is>
      </c>
      <c r="M24" s="53" t="inlineStr">
        <is>
          <t>TC'23随机翻转基线</t>
        </is>
      </c>
      <c r="N24" s="53" t="inlineStr">
        <is>
          <t>顺序、转发、提交与事务生命周期约束（非ECC/parity）</t>
        </is>
      </c>
    </row>
    <row r="25" ht="74.25" customHeight="1" s="58">
      <c r="A25" s="52" t="inlineStr">
        <is>
          <t>S07</t>
        </is>
      </c>
      <c r="B25" s="52" t="inlineStr">
        <is>
          <t>Store Queue</t>
        </is>
      </c>
      <c r="C25" s="53" t="inlineStr">
        <is>
          <t>Store Queue 的 head/tail 指针、age/sequence 顺序号和选择逻辑。它们维护占用范围以及 store 的程序顺序，决定下一条可提交/排空的表项；错误可能错选另一条仍然有效的 store。</t>
        </is>
      </c>
      <c r="D25" s="53" t="inlineStr">
        <is>
          <t>换值</t>
        </is>
      </c>
      <c r="E25" s="53"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F25" s="53" t="inlineStr">
        <is>
          <t>S07-a pointer±1；S07-b age顺序互换；S07-c 选择错误valid entry</t>
        </is>
      </c>
      <c r="G25" s="53" t="inlineStr">
        <is>
          <t>F0 / F4 / F6</t>
        </is>
      </c>
      <c r="H25" s="53" t="inlineStr">
        <is>
          <t>SQ-Forward 转发探针（同地址/部分重叠 store-to-load forwarding、字节掩码、alias、replay）</t>
        </is>
      </c>
      <c r="I25" s="53" t="inlineStr">
        <is>
          <t>SQ占用≥2</t>
        </is>
      </c>
      <c r="J25" s="53" t="inlineStr">
        <is>
          <t>L0 项是否被读/转发/提交；L1 addr/data/mask/valid/age与影子SQ；L2 forwarding/replay/violation/SSIT-LFST；L3 cache写请求与ack；L4 commit及内存写日志；L5结局；占用计数守恒、head/tail距离、dynInst唯一性、提交序</t>
        </is>
      </c>
      <c r="K25" s="53" t="inlineStr">
        <is>
          <t>可导致乱序写、漏写或重复写；结构不变量可能先于SDC出现</t>
        </is>
      </c>
      <c r="L25" s="53" t="inlineStr">
        <is>
          <t>研究指针故障的前期特征</t>
        </is>
      </c>
      <c r="M25" s="53" t="inlineStr">
        <is>
          <t>无直接文献</t>
        </is>
      </c>
      <c r="N25" s="53" t="inlineStr">
        <is>
          <t>顺序、转发、提交与事务生命周期约束（非ECC/parity）</t>
        </is>
      </c>
    </row>
    <row r="26" ht="86.65000000000001" customHeight="1" s="58">
      <c r="A26" s="52" t="inlineStr">
        <is>
          <t>S08</t>
        </is>
      </c>
      <c r="B26" s="52" t="inlineStr">
        <is>
          <t>Store Queue</t>
        </is>
      </c>
      <c r="C26" s="53"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D26" s="53" t="inlineStr">
        <is>
          <t>换值</t>
        </is>
      </c>
      <c r="E26" s="53"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F26" s="53" t="inlineStr">
        <is>
          <t>S08-a false match；S08-b false miss；S08-c 选择较旧store</t>
        </is>
      </c>
      <c r="G26" s="53" t="inlineStr">
        <is>
          <t>F0 / F2 / F6</t>
        </is>
      </c>
      <c r="H26" s="53" t="inlineStr">
        <is>
          <t>SQ-Forward 转发探针（同地址/部分重叠 store-to-load forwarding、字节掩码、alias、replay）</t>
        </is>
      </c>
      <c r="I26" s="53" t="inlineStr">
        <is>
          <t>发生地址重叠load</t>
        </is>
      </c>
      <c r="J26" s="53" t="inlineStr">
        <is>
          <t>L0 项是否被读/转发/提交；L1 addr/data/mask/valid/age与影子SQ；L2 forwarding/replay/violation/SSIT-LFST；L3 cache写请求与ack；L4 commit及内存写日志；L5结局；候选store集合、youngest选择、forward值、replay</t>
        </is>
      </c>
      <c r="K26" s="53" t="inlineStr">
        <is>
          <t>选择旧值是典型静默错误；false miss可能由cache旧值暴露或replay恢复</t>
        </is>
      </c>
      <c r="L26" s="53" t="inlineStr">
        <is>
          <t>Store Queue核心功能，随机数据翻转覆盖不到</t>
        </is>
      </c>
      <c r="M26" s="53" t="inlineStr">
        <is>
          <t>无直接文献</t>
        </is>
      </c>
      <c r="N26" s="53" t="inlineStr">
        <is>
          <t>顺序、转发、提交与事务生命周期约束（非ECC/parity）</t>
        </is>
      </c>
    </row>
    <row r="27" ht="86.65000000000001" customHeight="1" s="58">
      <c r="A27" s="52" t="inlineStr">
        <is>
          <t>S09</t>
        </is>
      </c>
      <c r="B27" s="52" t="inlineStr">
        <is>
          <t>Store Queue</t>
        </is>
      </c>
      <c r="C27" s="53" t="inlineStr">
        <is>
          <t>部分重叠 forwarding 的数据拼接 MUX。一个 load 的不同字节可能来自多条旧 store 和 L1D，MUX 按 byte mask 合成为完整 load 值；来源顺序或字节位置错误会生成看似合法但内容混合的新值。</t>
        </is>
      </c>
      <c r="D27" s="53" t="inlineStr">
        <is>
          <t>错位拼接</t>
        </is>
      </c>
      <c r="E27" s="53"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F27" s="53" t="inlineStr">
        <is>
          <t>S09-a 重叠store片段互换；S09-b 重叠字节清零；S09-c 使用旧cache字节</t>
        </is>
      </c>
      <c r="G27" s="53" t="inlineStr">
        <is>
          <t>F0 / F2 / F6</t>
        </is>
      </c>
      <c r="H27" s="53" t="inlineStr">
        <is>
          <t>SQ-Forward 转发探针（同地址/部分重叠 store-to-load forwarding、字节掩码、alias、replay）</t>
        </is>
      </c>
      <c r="I27" s="53" t="inlineStr">
        <is>
          <t>partial overlap forwarding</t>
        </is>
      </c>
      <c r="J27" s="53" t="inlineStr">
        <is>
          <t>L0 项是否被读/转发/提交；L1 addr/data/mask/valid/age与影子SQ；L2 forwarding/replay/violation/SSIT-LFST；L3 cache写请求与ack；L4 commit及内存写日志；L5结局；每字节来源追踪、正确合成值与实际值</t>
        </is>
      </c>
      <c r="K27" s="53" t="inlineStr">
        <is>
          <t>生成合法但混合的新值，预期高SDC且难由控制检查发现</t>
        </is>
      </c>
      <c r="L27" s="53" t="inlineStr">
        <is>
          <t>针对partial forwarding真实拼接逻辑</t>
        </is>
      </c>
      <c r="M27" s="53" t="inlineStr">
        <is>
          <t>本方案结构化模型</t>
        </is>
      </c>
      <c r="N27" s="53" t="inlineStr">
        <is>
          <t>顺序、转发、提交与事务生命周期约束（非ECC/parity）</t>
        </is>
      </c>
    </row>
    <row r="28" ht="86.65000000000001" customHeight="1" s="58">
      <c r="A28" s="52" t="inlineStr">
        <is>
          <t>S10</t>
        </is>
      </c>
      <c r="B28" s="52" t="inlineStr">
        <is>
          <t>Store Queue</t>
        </is>
      </c>
      <c r="C28" s="53" t="inlineStr">
        <is>
          <t>内存依赖预测器的 SSIT/LFST。SSIT 把 load/store PC 映射到 store-set ID，LFST 记录该集合最近的在飞 store；预测结果决定年轻 load 是否等待某条 store，但最终正确性仍依赖 violation 检查与 replay。</t>
        </is>
      </c>
      <c r="D28" s="53" t="inlineStr">
        <is>
          <t>换值</t>
        </is>
      </c>
      <c r="E28" s="53"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F28" s="53" t="inlineStr">
        <is>
          <t>S10-a SSIT ID错误；S10-b LFST目标错误；S10-c store-set valid丢失</t>
        </is>
      </c>
      <c r="G28" s="53" t="inlineStr">
        <is>
          <t>F0 / F2 / F5</t>
        </is>
      </c>
      <c r="H28" s="53" t="inlineStr">
        <is>
          <t>SQ-Forward 转发探针（同地址/部分重叠 store-to-load forwarding、字节掩码、alias、replay）
GAP/Graph500 子集（BFS、SSSP、PageRank，固定图与结果哈希）</t>
        </is>
      </c>
      <c r="I28" s="53" t="inlineStr">
        <is>
          <t>load/store alias训练后</t>
        </is>
      </c>
      <c r="J28" s="53" t="inlineStr">
        <is>
          <t>L0 项是否被读/转发/提交；L1 addr/data/mask/valid/age与影子SQ；L2 forwarding/replay/violation/SSIT-LFST；L3 cache写请求与ack；L4 commit及内存写日志；L5结局；预测ID、依赖边、issue次序、violation/replay、commit结果</t>
        </is>
      </c>
      <c r="K28" s="53" t="inlineStr">
        <is>
          <t>多数表现为额外stall或replay；错误放行且检查漏掉时才可能SDC</t>
        </is>
      </c>
      <c r="L28" s="53" t="inlineStr">
        <is>
          <t>区分预测性能错误与真正内存次序错误</t>
        </is>
      </c>
      <c r="M28" s="53" t="inlineStr">
        <is>
          <t>无直接SSIT/LFST注入</t>
        </is>
      </c>
      <c r="N28" s="53" t="inlineStr">
        <is>
          <t>顺序、转发、提交与事务生命周期约束（非ECC/parity）</t>
        </is>
      </c>
    </row>
    <row r="29" ht="74.25" customHeight="1" s="58">
      <c r="A29" s="52" t="inlineStr">
        <is>
          <t>S11</t>
        </is>
      </c>
      <c r="B29" s="52" t="inlineStr">
        <is>
          <t>Store Queue</t>
        </is>
      </c>
      <c r="C29" s="53" t="inlineStr">
        <is>
          <t>Store Queue 向 L1D 发送写请求并接收 ack/done 的事务握手通路。request 表示真正发出写，ack/done 表示下游已接受或完成；SQ 只有在正确事务完成后才能释放对应表项。</t>
        </is>
      </c>
      <c r="D29" s="53" t="inlineStr">
        <is>
          <t>时序</t>
        </is>
      </c>
      <c r="E29" s="53"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F29" s="53" t="inlineStr">
        <is>
          <t>S11-a request丢失；S11-b acknowledgement丢失；S11-c request重复；S11-d done过早</t>
        </is>
      </c>
      <c r="G29" s="53" t="inlineStr">
        <is>
          <t>F0 / F4 / F6</t>
        </is>
      </c>
      <c r="H29" s="53" t="inlineStr">
        <is>
          <t>SQ-Forward 转发探针（同地址/部分重叠 store-to-load forwarding、字节掩码、alias、replay）
Cache-DirtyEvict 缓存探针（0.5×/1×/2×L1D working set、conflict set、dirty eviction、writeback）</t>
        </is>
      </c>
      <c r="I29" s="53" t="inlineStr">
        <is>
          <t>store drain或writeback</t>
        </is>
      </c>
      <c r="J29" s="53" t="inlineStr">
        <is>
          <t>L0 项是否被读/转发/提交；L1 addr/data/mask/valid/age与影子SQ；L2 forwarding/replay/violation/SSIT-LFST；L3 cache写请求与ack；L4 commit及内存写日志；L5结局；request ID、发送/接收次数、释放周期、最终内存</t>
        </is>
      </c>
      <c r="K29" s="53" t="inlineStr">
        <is>
          <t>提前done/丢request可静默漏写；重复request通常幂等但MMIO/原子场景危险</t>
        </is>
      </c>
      <c r="L29" s="53" t="inlineStr">
        <is>
          <t>覆盖事务时序而非存储位</t>
        </is>
      </c>
      <c r="M29" s="53" t="inlineStr">
        <is>
          <t>MICRO'24时延故障方法论类比</t>
        </is>
      </c>
      <c r="N29" s="53" t="inlineStr">
        <is>
          <t>顺序、转发、提交与事务生命周期约束（非ECC/parity）</t>
        </is>
      </c>
    </row>
    <row r="30" ht="111.4" customHeight="1" s="58">
      <c r="A30" s="52" t="inlineStr">
        <is>
          <t>S13</t>
        </is>
      </c>
      <c r="B30" s="52" t="inlineStr">
        <is>
          <t>Store Queue</t>
        </is>
      </c>
      <c r="C30" s="53" t="inlineStr">
        <is>
          <t>Store Queue 有效未提交表项的 store address/tag 字段。该字段决定最终写入地址，同时参与 store-to-load forwarding 和内存依赖冲突检查。</t>
        </is>
      </c>
      <c r="D30" s="53" t="inlineStr">
        <is>
          <t>单比特翻转</t>
        </is>
      </c>
      <c r="E30" s="53"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F30" s="53" t="inlineStr">
        <is>
          <t>S13-a SQ address/tag低位单bit；S13-b 中位单bit；S13-c 高位单bit</t>
        </is>
      </c>
      <c r="G30" s="53" t="inlineStr">
        <is>
          <t>F0 / F1 / F2</t>
        </is>
      </c>
      <c r="H30" s="53" t="inlineStr">
        <is>
          <t>MiBench-TC23 论文负载（blowfish、patricia、fft、gsm、dijkstra、rijndael、sha、bitcount、edge、smooth）
SQ-Forward 转发探针（同地址/部分重叠 store-to-load forwarding、字节掩码、alias、replay）
SPEC CPU2017 采样区间
SQLite-Speedtest1 真实应用（B树、事务与完整性检查）</t>
        </is>
      </c>
      <c r="I30" s="53" t="inlineStr">
        <is>
          <t>SQ 中存在地址已知、尚未提交且之后会被消费的 store</t>
        </is>
      </c>
      <c r="J30" s="53" t="inlineStr">
        <is>
          <t>L0目标寿命与activated；L1 SQ地址、age和状态；L2 forwarding/violation/replay、请求地址；L3实际写入line；L4 commit与内存副作用；L5结局</t>
        </is>
      </c>
      <c r="K30" s="53" t="inlineStr">
        <is>
          <t>大多数随机地址错误应被依赖检查、异常或回放捕获；少数形成合法错址时可能SDC，预期低于合法地址换值模型</t>
        </is>
      </c>
      <c r="L30" s="53" t="inlineStr">
        <is>
          <t>补充随机地址/tag单比特基线，用于与S04合法地址替换比较</t>
        </is>
      </c>
      <c r="M30" s="53" t="inlineStr">
        <is>
          <t>TC'23 对 LQ/SQ 地址类字段的低SDC结果可作直接对照；IISWC'15/HPCA'24提供LSQ背景</t>
        </is>
      </c>
      <c r="N30" s="53" t="inlineStr">
        <is>
          <t>顺序、转发、提交与事务生命周期约束（非ECC/parity）</t>
        </is>
      </c>
    </row>
    <row r="31" ht="99" customHeight="1" s="58">
      <c r="A31" s="8" t="inlineStr">
        <is>
          <t>L01</t>
        </is>
      </c>
      <c r="B31" s="8" t="inlineStr">
        <is>
          <t>Load Queue</t>
        </is>
      </c>
      <c r="C31" s="9" t="inlineStr">
        <is>
          <t>Load Queue 有效表项的 load address/tag 字段。该字段保存已发射或等待完成的 load 地址，并用于与更老 store 做冲突检测和内存序违规检查。</t>
        </is>
      </c>
      <c r="D31" s="9" t="inlineStr">
        <is>
          <t>单比特翻转</t>
        </is>
      </c>
      <c r="E31" s="9" t="inlineStr">
        <is>
          <t>在有效 LQ 表项的地址/tag 中翻转 1 bit，目标 load 的目的寄存器、访问大小和其他状态不变。仅当故障字段之后参与 store 冲突比较、cache 请求或 violation 检查时计为 activated。</t>
        </is>
      </c>
      <c r="F31" s="9" t="inlineStr">
        <is>
          <t>L01-a LQ address/tag低位单bit；L01-b 中位单bit；L01-c 高位单bit</t>
        </is>
      </c>
      <c r="G31" s="9" t="inlineStr">
        <is>
          <t>F0 / F1 / F2</t>
        </is>
      </c>
      <c r="H31" s="9" t="inlineStr">
        <is>
          <t>MiBench-TC23 论文负载（blowfish、patricia、fft、gsm、dijkstra、rijndael、sha、bitcount、edge、smooth）
SQ-Forward 转发探针（同地址/部分重叠 store-to-load forwarding、字节掩码、alias、replay）
SQLite-Speedtest1 真实应用（B树、事务与完整性检查）</t>
        </is>
      </c>
      <c r="I31" s="9" t="inlineStr">
        <is>
          <t>LQ 中存在尚未退休且地址已知的有效 load</t>
        </is>
      </c>
      <c r="J31" s="9" t="inlineStr">
        <is>
          <t>L0目标寿命；L1 LQ地址/age/issued状态；L2 cache请求、store冲突、violation/replay；L3返回line；L4目的寄存器与commit；L5结局</t>
        </is>
      </c>
      <c r="K31" s="9" t="inlineStr">
        <is>
          <t>多数故障导致miss、replay或异常；若错误地址仍合法且违规检测未触发，可能把错误load值提交为SDC</t>
        </is>
      </c>
      <c r="L31" s="9" t="inlineStr">
        <is>
          <t>补齐旧版已有而新版完全删除的Load Queue基本存储字段覆盖</t>
        </is>
      </c>
      <c r="M31" s="9" t="inlineStr">
        <is>
          <t>TC'23、HPCA'24 对 LQ 直接注入；指标口径需与SQ分开</t>
        </is>
      </c>
      <c r="N31" s="9" t="inlineStr">
        <is>
          <t>冲突检测、violation/replay与提交约束（非ECC/parity）</t>
        </is>
      </c>
    </row>
    <row r="32" ht="61.9" customHeight="1" s="58">
      <c r="A32" s="8" t="inlineStr">
        <is>
          <t>L02</t>
        </is>
      </c>
      <c r="B32" s="8" t="inlineStr">
        <is>
          <t>Load Queue</t>
        </is>
      </c>
      <c r="C32" s="9" t="inlineStr">
        <is>
          <t>Load Queue 表项的 valid、issued、completed、squashed 等生命周期状态。它们决定请求能否发出、返回值能否写回以及错误路径表项是否被清除。</t>
        </is>
      </c>
      <c r="D32" s="9" t="inlineStr">
        <is>
          <t>状态</t>
        </is>
      </c>
      <c r="E32" s="9"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F32" s="9" t="inlineStr">
        <is>
          <t>L02-a valid异常；L02-b issued异常；L02-c completed异常；L02-d squashed异常</t>
        </is>
      </c>
      <c r="G32" s="9" t="inlineStr">
        <is>
          <t>F0 / F2 / F6</t>
        </is>
      </c>
      <c r="H32" s="9" t="inlineStr">
        <is>
          <t>SQ-Forward 转发探针（同地址/部分重叠 store-to-load forwarding、字节掩码、alias、replay）
SQLite-Speedtest1 真实应用（B树、事务与完整性检查）</t>
        </is>
      </c>
      <c r="I32" s="9" t="inlineStr">
        <is>
          <t>LQ 表项发生分配、发射、完成或清除状态转换</t>
        </is>
      </c>
      <c r="J32" s="9" t="inlineStr">
        <is>
          <t>L1状态轨迹与占用守恒；L2 issued/dropped/duplicate request；L3返回事务；L4写回、提交和错误路径副作用；L5结局</t>
        </is>
      </c>
      <c r="K32" s="9" t="inlineStr">
        <is>
          <t>completed提前或squashed未清除可能提交陈旧值；valid/issued丢失更常表现为重放、停顿或Timeout</t>
        </is>
      </c>
      <c r="L32" s="9" t="inlineStr">
        <is>
          <t>地址字段不足以代表LQ风险，生命周期错误可绕开单纯的数据完整性检查</t>
        </is>
      </c>
      <c r="M32" s="9" t="inlineStr">
        <is>
          <t>现有LQ文献多集中存储字段，本行为机制扩展</t>
        </is>
      </c>
      <c r="N32" s="9" t="inlineStr">
        <is>
          <t>冲突检测、violation/replay与提交约束（非ECC/parity）</t>
        </is>
      </c>
    </row>
    <row r="33" ht="61.9" customHeight="1" s="58">
      <c r="A33" s="8" t="inlineStr">
        <is>
          <t>L03</t>
        </is>
      </c>
      <c r="B33" s="8" t="inlineStr">
        <is>
          <t>Load Queue</t>
        </is>
      </c>
      <c r="C33" s="9" t="inlineStr">
        <is>
          <t>Load Queue 的内存序违规检测与 replay 元数据，包括更老 store 的地址比较结果、violation 标记、replay 原因和重放选择。</t>
        </is>
      </c>
      <c r="D33" s="9" t="inlineStr">
        <is>
          <t>换值/时序</t>
        </is>
      </c>
      <c r="E33" s="9"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F33" s="9" t="inlineStr">
        <is>
          <t>L03-a violation漏报；L03-b replay丢失；L03-c replay目标错误</t>
        </is>
      </c>
      <c r="G33" s="9" t="inlineStr">
        <is>
          <t>F0 / F4 / F6</t>
        </is>
      </c>
      <c r="H33" s="9" t="inlineStr">
        <is>
          <t>SQ-Forward 转发探针（同地址/部分重叠 store-to-load forwarding、字节掩码、alias、replay）
SQLite-Speedtest1 真实应用（B树、事务与完整性检查）</t>
        </is>
      </c>
      <c r="I33" s="9" t="inlineStr">
        <is>
          <t>年轻load先执行且更老store地址在后续周期解析</t>
        </is>
      </c>
      <c r="J33" s="9" t="inlineStr">
        <is>
          <t>L1比较向量与replay队列；L2 violation、replay、load数据来源；L3最终内存可见序；L4提交值；L5结局</t>
        </is>
      </c>
      <c r="K33" s="9" t="inlineStr">
        <is>
          <t>false negative或replay丢失可能让陈旧load值静默提交；false positive主要造成性能下降</t>
        </is>
      </c>
      <c r="L33" s="9" t="inlineStr">
        <is>
          <t>把内存依赖预测错误与最终正确性兜底机制分开，覆盖真正可能把预测错误升级为SDC的路径</t>
        </is>
      </c>
      <c r="M33" s="9" t="inlineStr">
        <is>
          <t>与TC'23所述提交前依赖检查直接相关；具体逻辑故障缺少现有实测</t>
        </is>
      </c>
      <c r="N33" s="9" t="inlineStr">
        <is>
          <t>冲突检测、violation/replay与提交约束（非ECC/parity）</t>
        </is>
      </c>
    </row>
    <row r="34" ht="74.25" customHeight="1" s="58">
      <c r="A34" s="8" t="inlineStr">
        <is>
          <t>L04</t>
        </is>
      </c>
      <c r="B34" s="8" t="inlineStr">
        <is>
          <t>Load Queue</t>
        </is>
      </c>
      <c r="C34" s="9" t="inlineStr">
        <is>
          <t>cache 返回到 LSU/LQ 的 load response transaction ID、目标动态指令和目的寄存器路由。多个在途 load 返回时必须与原请求一一配对。</t>
        </is>
      </c>
      <c r="D34" s="9" t="inlineStr">
        <is>
          <t>换值</t>
        </is>
      </c>
      <c r="E34" s="9"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F34" s="9" t="inlineStr">
        <is>
          <t>L04-a response transaction ID替换；L04-b 同周期load返回目标互换</t>
        </is>
      </c>
      <c r="G34" s="9" t="inlineStr">
        <is>
          <t>F0 / F2 / F6</t>
        </is>
      </c>
      <c r="H34" s="9" t="inlineStr">
        <is>
          <t>SQ-Forward 转发探针（同地址/部分重叠 store-to-load forwarding、字节掩码、alias、replay）
SPEC CPU2017 采样区间
SQLite-Speedtest1 真实应用（B树、事务与完整性检查）</t>
        </is>
      </c>
      <c r="I34" s="9" t="inlineStr">
        <is>
          <t>同时存在至少两个在途load且发生cache response</t>
        </is>
      </c>
      <c r="J34" s="9" t="inlineStr">
        <is>
          <t>L1 LQ目标与response ID；L2请求-响应配对；L3返回line；L4目的寄存器、首个错误commit及扇出；L5结局</t>
        </is>
      </c>
      <c r="K34" s="9" t="inlineStr">
        <is>
          <t>两个响应数据各自合法但送错消费者，异常检测较弱，可能形成高SDC路径</t>
        </is>
      </c>
      <c r="L34" s="9" t="inlineStr">
        <is>
          <t>补足LQ除地址/状态之外的返回配对风险，与MSHR target错配形成端到端对照</t>
        </is>
      </c>
      <c r="M34" s="9" t="inlineStr">
        <is>
          <t>无直接字段级文献；与MSHR/ROB目标错配机制类比</t>
        </is>
      </c>
      <c r="N34" s="9" t="inlineStr">
        <is>
          <t>冲突检测、violation/replay与提交约束（非ECC/parity）</t>
        </is>
      </c>
    </row>
    <row r="35" ht="86.65000000000001" customHeight="1" s="58">
      <c r="A35" s="54" t="inlineStr">
        <is>
          <t>C01</t>
        </is>
      </c>
      <c r="B35" s="54" t="inlineStr">
        <is>
          <t>L1d-Cache</t>
        </is>
      </c>
      <c r="C35" s="55" t="inlineStr">
        <is>
          <t>L1D data array 的有效 cache line 数据位。data array 保存程序最近使用的真实数据；只有该行以后被需求 load 读取、被 store 修改或被 writeback 才可能向架构状态传播。</t>
        </is>
      </c>
      <c r="D35" s="55" t="inlineStr">
        <is>
          <t>单比特翻转</t>
        </is>
      </c>
      <c r="E35" s="55"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F35" s="55" t="inlineStr">
        <is>
          <t>C01-a cache data低位单bit；C01-b 中位单bit；C01-c 高位单bit</t>
        </is>
      </c>
      <c r="G35" s="55" t="inlineStr">
        <is>
          <t>F0 / F1 / F2</t>
        </is>
      </c>
      <c r="H35" s="55" t="inlineStr">
        <is>
          <t>MiBench-TC23 论文负载（blowfish、patricia、fft、gsm、dijkstra、rijndael、sha、bitcount、edge、smooth）
Cache-DirtyEvict 缓存探针（0.5×/1×/2×L1D working set、conflict set、dirty eviction、writeback）</t>
        </is>
      </c>
      <c r="I35" s="55" t="inlineStr">
        <is>
          <t>L1D存在valid line</t>
        </is>
      </c>
      <c r="J35" s="55" t="inlineStr">
        <is>
          <t>L0 行/way是否被需求读或驱逐；L1 tag/data/valid/dirty/coherence/PLRU；L2 hit/miss/MSHR/merge/fill；L3 writeback与一致性消息；L4 load值/store可见性；L5结局；byte位置、被读/写回/覆盖、内核/用户来源</t>
        </is>
      </c>
      <c r="K35" s="55" t="inlineStr">
        <is>
          <t>文献中L1D data是高SDC结构；TC'23 Armv8非benign中SDC占53.4%</t>
        </is>
      </c>
      <c r="L35" s="55" t="inlineStr">
        <is>
          <t>直接复现最成熟的文献基线</t>
        </is>
      </c>
      <c r="M35" s="55" t="inlineStr">
        <is>
          <t>IISWC'15、TC'22、TC'23、HPCA'24直接对照</t>
        </is>
      </c>
      <c r="N35" s="55" t="inlineStr">
        <is>
          <t>一致性、状态与写回功能约束；B0未配置ECC/parity</t>
        </is>
      </c>
    </row>
    <row r="36" ht="74.25" customHeight="1" s="58">
      <c r="A36" s="54" t="inlineStr">
        <is>
          <t>C02</t>
        </is>
      </c>
      <c r="B36" s="54" t="inlineStr">
        <is>
          <t>L1d-Cache</t>
        </is>
      </c>
      <c r="C36" s="55" t="inlineStr">
        <is>
          <t>L1D data array 同一有效 cache line 内的两个数据位。可把两个位限制在同一 32-bit 数据字、同一 byte 或分散位置，从而区分局部 MBU 与逻辑分散双错。</t>
        </is>
      </c>
      <c r="D36" s="55" t="inlineStr">
        <is>
          <t>双比特翻转</t>
        </is>
      </c>
      <c r="E36" s="55"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F36" s="55" t="inlineStr">
        <is>
          <t>C02-a 同一word相邻双bit；C02-b 同一cache line非相邻双bit</t>
        </is>
      </c>
      <c r="G36" s="55" t="inlineStr">
        <is>
          <t>F0 / F2</t>
        </is>
      </c>
      <c r="H36" s="55" t="inlineStr">
        <is>
          <t>Cache-DirtyEvict 缓存探针（0.5×/1×/2×L1D working set、conflict set、dirty eviction、writeback）
MiBench-TC23 论文负载（blowfish、patricia、fft、gsm、dijkstra、rijndael、sha、bitcount、edge、smooth）</t>
        </is>
      </c>
      <c r="I36" s="55" t="inlineStr">
        <is>
          <t>valid line</t>
        </is>
      </c>
      <c r="J36" s="55" t="inlineStr">
        <is>
          <t>L0 行/way是否被需求读或驱逐；L1 tag/data/valid/dirty/coherence/PLRU；L2 hit/miss/MSHR/merge/fill；L3 writeback与一致性消息；L4 load值/store可见性；L5结局；两个bit距离、相同word/byte</t>
        </is>
      </c>
      <c r="K36" s="55" t="inlineStr">
        <is>
          <t>双比特错误仍可能形成合法但错误的数据；需比较相邻与分散翻转的SDC、Crash和Masked分布</t>
        </is>
      </c>
      <c r="L36" s="55" t="inlineStr">
        <is>
          <t>覆盖MBU，并比较相邻与分散双比特错误</t>
        </is>
      </c>
      <c r="M36" s="55" t="inlineStr">
        <is>
          <t>CHAOS多bit结果作规律性类比</t>
        </is>
      </c>
      <c r="N36" s="55" t="inlineStr">
        <is>
          <t>一致性、状态与写回功能约束；B0未配置ECC/parity</t>
        </is>
      </c>
    </row>
    <row r="37" ht="86.65000000000001" customHeight="1" s="58">
      <c r="A37" s="54" t="inlineStr">
        <is>
          <t>C03</t>
        </is>
      </c>
      <c r="B37" s="54" t="inlineStr">
        <is>
          <t>L1d-Cache</t>
        </is>
      </c>
      <c r="C37" s="55" t="inlineStr">
        <is>
          <t>L1D data array 的固定 set/way/bit，或共用的读口/写口数据线。set/way 定位一条物理 cache line，端口故障则影响所有经该通路读写的行；两种子位置必须分开统计。</t>
        </is>
      </c>
      <c r="D37" s="55" t="inlineStr">
        <is>
          <t>卡死</t>
        </is>
      </c>
      <c r="E37" s="55"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F37" s="55" t="inlineStr">
        <is>
          <t>C03-a set位stuck-at-0/1；C03-b way位stuck-at-0/1；C03-c data bit stuck-at-0/1</t>
        </is>
      </c>
      <c r="G37" s="55" t="inlineStr">
        <is>
          <t>F5</t>
        </is>
      </c>
      <c r="H37" s="55" t="inlineStr">
        <is>
          <t>Cache-DirtyEvict 缓存探针（0.5×/1×/2×L1D working set、conflict set、dirty eviction、writeback）
STREAM+PointerChase（Copy、Scale、Add、Triad 与随机指针链）</t>
        </is>
      </c>
      <c r="I37" s="55" t="inlineStr">
        <is>
          <t>首个目标set访问后持续</t>
        </is>
      </c>
      <c r="J37" s="55" t="inlineStr">
        <is>
          <t>L0 行/way是否被需求读或驱逐；L1 tag/data/valid/dirty/coherence/PLRU；L2 hit/miss/MSHR/merge/fill；L3 writeback与一致性消息；L4 load值/store可见性；L5结局；同一bit激活次数、覆盖/驱逐后是否复现</t>
        </is>
      </c>
      <c r="K37" s="55" t="inlineStr">
        <is>
          <t>HPCA'24报告永久L1D SDC概率范围高，具体随ISA/负载变化；预期重复污染</t>
        </is>
      </c>
      <c r="L37" s="55" t="inlineStr">
        <is>
          <t>复现永久故障类别并定位读口/写口差异</t>
        </is>
      </c>
      <c r="M37" s="55" t="inlineStr">
        <is>
          <t>HPCA'24永久故障直接类别对照</t>
        </is>
      </c>
      <c r="N37" s="55" t="inlineStr">
        <is>
          <t>一致性、状态与写回功能约束；B0未配置ECC/parity</t>
        </is>
      </c>
    </row>
    <row r="38" ht="74.25" customHeight="1" s="58">
      <c r="A38" s="54" t="inlineStr">
        <is>
          <t>C04</t>
        </is>
      </c>
      <c r="B38" s="54" t="inlineStr">
        <is>
          <t>L1d-Cache</t>
        </is>
      </c>
      <c r="C38" s="55" t="inlineStr">
        <is>
          <t>L1D tag array 的物理地址标签。访问某个 set 后，tag 与请求地址比较以判断各 way 是否命中；tag 错误可能造成 false miss、false hit，或把 dirty 数据写回到错误地址。</t>
        </is>
      </c>
      <c r="D38" s="55" t="inlineStr">
        <is>
          <t>单比特翻转</t>
        </is>
      </c>
      <c r="E38" s="55"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F38" s="55" t="inlineStr">
        <is>
          <t>C04-a cache tag低位单bit；C04-b 中位单bit；C04-c 高位单bit</t>
        </is>
      </c>
      <c r="G38" s="55" t="inlineStr">
        <is>
          <t>F0 / F1 / F2</t>
        </is>
      </c>
      <c r="H38" s="55" t="inlineStr">
        <is>
          <t>MiBench-TC23 论文负载（blowfish、patricia、fft、gsm、dijkstra、rijndael、sha、bitcount、edge、smooth）
Cache-DirtyEvict 缓存探针（0.5×/1×/2×L1D working set、conflict set、dirty eviction、writeback）</t>
        </is>
      </c>
      <c r="I38" s="55" t="inlineStr">
        <is>
          <t>valid line</t>
        </is>
      </c>
      <c r="J38" s="55" t="inlineStr">
        <is>
          <t>L0 行/way是否被需求读或驱逐；L1 tag/data/valid/dirty/coherence/PLRU；L2 hit/miss/MSHR/merge/fill；L3 writeback与一致性消息；L4 load值/store可见性；L5结局；false hit/miss、受害line、写回地址</t>
        </is>
      </c>
      <c r="K38" s="55" t="inlineStr">
        <is>
          <t>TC'23 Armv8非benign中SDC占38.0%；也常因错miss/错hit导致Crash</t>
        </is>
      </c>
      <c r="L38" s="55" t="inlineStr">
        <is>
          <t>直接文献基线，需与data分开</t>
        </is>
      </c>
      <c r="M38" s="55" t="inlineStr">
        <is>
          <t>TC'22、TC'23直接对照</t>
        </is>
      </c>
      <c r="N38" s="55" t="inlineStr">
        <is>
          <t>一致性、状态与写回功能约束；B0未配置ECC/parity</t>
        </is>
      </c>
    </row>
    <row r="39" ht="86.65000000000001" customHeight="1" s="58">
      <c r="A39" s="54" t="inlineStr">
        <is>
          <t>C05</t>
        </is>
      </c>
      <c r="B39" s="54" t="inlineStr">
        <is>
          <t>L1d-Cache</t>
        </is>
      </c>
      <c r="C39" s="55" t="inlineStr">
        <is>
          <t>L1D 的 tag 比较结果与 way-select 数据选择器。tag 比较器产生命中向量，way-select 决定返回哪一路 data；模型保持候选 tag 合法，专门研究错选另一条有效 line 的后果。</t>
        </is>
      </c>
      <c r="D39" s="55" t="inlineStr">
        <is>
          <t>换值</t>
        </is>
      </c>
      <c r="E39" s="55"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F39" s="55" t="inlineStr">
        <is>
          <t>C05-a tag替换为另一合法tag；C05-b 选择错误valid way</t>
        </is>
      </c>
      <c r="G39" s="55" t="inlineStr">
        <is>
          <t>F0 / F2 / F6</t>
        </is>
      </c>
      <c r="H39" s="55" t="inlineStr">
        <is>
          <t>Cache-DirtyEvict 缓存探针（0.5×/1×/2×L1D working set、conflict set、dirty eviction、writeback）</t>
        </is>
      </c>
      <c r="I39" s="55" t="inlineStr">
        <is>
          <t>同set至少2条valid line</t>
        </is>
      </c>
      <c r="J39" s="55" t="inlineStr">
        <is>
          <t>L0 行/way是否被需求读或驱逐；L1 tag/data/valid/dirty/coherence/PLRU；L2 hit/miss/MSHR/merge/fill；L3 writeback与一致性消息；L4 load值/store可见性；L5结局；match vector、选中way、需求PA与line来源</t>
        </is>
      </c>
      <c r="K39" s="55" t="inlineStr">
        <is>
          <t>合法false hit把错误line数据送给load，预期SDC高于随机tag翻转</t>
        </is>
      </c>
      <c r="L39" s="55" t="inlineStr">
        <is>
          <t>绕开无效地址与自然miss防线</t>
        </is>
      </c>
      <c r="M39" s="55" t="inlineStr">
        <is>
          <t>本方案结构化模型</t>
        </is>
      </c>
      <c r="N39" s="55" t="inlineStr">
        <is>
          <t>一致性、状态与写回功能约束；B0未配置ECC/parity</t>
        </is>
      </c>
    </row>
    <row r="40" ht="74.25" customHeight="1" s="58">
      <c r="A40" s="54" t="inlineStr">
        <is>
          <t>C06</t>
        </is>
      </c>
      <c r="B40" s="54" t="inlineStr">
        <is>
          <t>L1d-Cache</t>
        </is>
      </c>
      <c r="C40" s="55" t="inlineStr">
        <is>
          <t>L1D 每个 way 的 valid bit。valid=1 表示 tag/data 可参与命中，valid=0 表示该槽无效；清零通常只制造 miss，伪造有效则可能让残留 tag/data 形成 stale hit。</t>
        </is>
      </c>
      <c r="D40" s="55" t="inlineStr">
        <is>
          <t>状态</t>
        </is>
      </c>
      <c r="E40" s="55"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F40" s="55" t="inlineStr">
        <is>
          <t>C06-a valid清零；C06-b valid伪置位</t>
        </is>
      </c>
      <c r="G40" s="55" t="inlineStr">
        <is>
          <t>F0 / F2 / F5</t>
        </is>
      </c>
      <c r="H40" s="55" t="inlineStr">
        <is>
          <t>Cache-DirtyEvict 缓存探针（0.5×/1×/2×L1D working set、conflict set、dirty eviction、writeback）</t>
        </is>
      </c>
      <c r="I40" s="55" t="inlineStr">
        <is>
          <t>目标set访问</t>
        </is>
      </c>
      <c r="J40" s="55" t="inlineStr">
        <is>
          <t>L0 行/way是否被需求读或驱逐；L1 tag/data/valid/dirty/coherence/PLRU；L2 hit/miss/MSHR/merge/fill；L3 writeback与一致性消息；L4 load值/store可见性；L5结局；stale age、false hit、refill、自愈时间</t>
        </is>
      </c>
      <c r="K40" s="55" t="inlineStr">
        <is>
          <t>清零多为性能/重填；伪造valid可能读旧数据而SDC</t>
        </is>
      </c>
      <c r="L40" s="55" t="inlineStr">
        <is>
          <t>区分无害的额外miss与危险的stale hit</t>
        </is>
      </c>
      <c r="M40" s="55" t="inlineStr">
        <is>
          <t>IISWC'15覆盖valid类结构但未给独立结果</t>
        </is>
      </c>
      <c r="N40" s="55" t="inlineStr">
        <is>
          <t>一致性、状态与写回功能约束；B0未配置ECC/parity</t>
        </is>
      </c>
    </row>
    <row r="41" ht="74.25" customHeight="1" s="58">
      <c r="A41" s="54" t="inlineStr">
        <is>
          <t>C07</t>
        </is>
      </c>
      <c r="B41" s="54" t="inlineStr">
        <is>
          <t>L1d-Cache</t>
        </is>
      </c>
      <c r="C41" s="55" t="inlineStr">
        <is>
          <t>L1D cache line 的 dirty bit。dirty=1 表示该行已被处理器修改、驱逐时必须写回下级；dirty 丢失会让最新数据被静默丢弃，伪造 dirty 会产生不必要写回。</t>
        </is>
      </c>
      <c r="D41" s="55" t="inlineStr">
        <is>
          <t>状态</t>
        </is>
      </c>
      <c r="E41" s="55"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F41" s="55" t="inlineStr">
        <is>
          <t>C07-a dirty丢失；C07-b dirty伪置位</t>
        </is>
      </c>
      <c r="G41" s="55" t="inlineStr">
        <is>
          <t>F0 / F2 / F5 / F6</t>
        </is>
      </c>
      <c r="H41" s="55" t="inlineStr">
        <is>
          <t>Cache-DirtyEvict 缓存探针（0.5×/1×/2×L1D working set、conflict set、dirty eviction、writeback）</t>
        </is>
      </c>
      <c r="I41" s="55" t="inlineStr">
        <is>
          <t>dirty eviction</t>
        </is>
      </c>
      <c r="J41" s="55" t="inlineStr">
        <is>
          <t>L0 行/way是否被需求读或驱逐；L1 tag/data/valid/dirty/coherence/PLRU；L2 hit/miss/MSHR/merge/fill；L3 writeback与一致性消息；L4 load值/store可见性；L5结局；驱逐前后dirty、writeback地址/data、最终DRAM</t>
        </is>
      </c>
      <c r="K41" s="55" t="inlineStr">
        <is>
          <t>dirty丢失会在驱逐时静默丢写；伪造dirty通常多余写回/性能，写回地址错时才危险</t>
        </is>
      </c>
      <c r="L41" s="55" t="inlineStr">
        <is>
          <t>dirty位错误常有长潜伏期，必须观察到内存</t>
        </is>
      </c>
      <c r="M41" s="55" t="inlineStr">
        <is>
          <t>本方案结构化模型</t>
        </is>
      </c>
      <c r="N41" s="55" t="inlineStr">
        <is>
          <t>一致性、状态与写回功能约束；B0未配置ECC/parity</t>
        </is>
      </c>
    </row>
    <row r="42" ht="86.65000000000001" customHeight="1" s="58">
      <c r="A42" s="54" t="inlineStr">
        <is>
          <t>C08</t>
        </is>
      </c>
      <c r="B42" s="54" t="inlineStr">
        <is>
          <t>L1d-Cache</t>
        </is>
      </c>
      <c r="C42" s="55" t="inlineStr">
        <is>
          <t>L1D cache line 的 coherence state（如 M/E/S/I）及所有权信息。它描述本核是否拥有可写副本、其他核是否可能共享；错误状态可能漏掉 invalidation、保留陈旧副本或形成多个写者。</t>
        </is>
      </c>
      <c r="D42" s="55" t="inlineStr">
        <is>
          <t>换值</t>
        </is>
      </c>
      <c r="E42" s="55"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F42" s="55" t="inlineStr">
        <is>
          <t>C08-a MESI状态替换为另一合法状态</t>
        </is>
      </c>
      <c r="G42" s="55" t="inlineStr">
        <is>
          <t>F0 / F2 / F5 / F6</t>
        </is>
      </c>
      <c r="H42" s="55" t="inlineStr">
        <is>
          <t>Cache-DirtyEvict 缓存探针（0.5×/1×/2×L1D working set、conflict set、dirty eviction、writeback）
Atomic-Litmus 并发探针（MP、SB、LB、IRIW、Dekker、ticket lock、CAS counter、LDXR/STXR）</t>
        </is>
      </c>
      <c r="I42" s="55" t="inlineStr">
        <is>
          <t>共享行或snoop</t>
        </is>
      </c>
      <c r="J42" s="55" t="inlineStr">
        <is>
          <t>L0 行/way是否被需求读或驱逐；L1 tag/data/valid/dirty/coherence/PLRU；L2 hit/miss/MSHR/merge/fill；L3 writeback与一致性消息；L4 load值/store可见性；L5结局；snoop、owner/sharer、失效ack、跨核读值</t>
        </is>
      </c>
      <c r="K42" s="55" t="inlineStr">
        <is>
          <t>单核多为额外miss；多核可能读旧值、漏失效或双写者，SDC/一致性违规风险高</t>
        </is>
      </c>
      <c r="L42" s="55" t="inlineStr">
        <is>
          <t>缓存正确性不仅是tag/data，还依赖一致性状态</t>
        </is>
      </c>
      <c r="M42" s="55" t="inlineStr">
        <is>
          <t>无直接本地论文结果</t>
        </is>
      </c>
      <c r="N42" s="55" t="inlineStr">
        <is>
          <t>一致性、状态与写回功能约束；B0未配置ECC/parity</t>
        </is>
      </c>
    </row>
    <row r="43" ht="86.65000000000001" customHeight="1" s="58">
      <c r="A43" s="54" t="inlineStr">
        <is>
          <t>C09</t>
        </is>
      </c>
      <c r="B43" s="54" t="inlineStr">
        <is>
          <t>L1d-Cache</t>
        </is>
      </c>
      <c r="C43" s="55" t="inlineStr">
        <is>
          <t>L1D 命中后的 way-select、字节/字 MUX 与对齐网络。它从选中 line 中截取 1/2/4/8/16B，按地址低位排列并送给 load；错位、跨 line 拼接或上一拍残留会直接改变返回值。</t>
        </is>
      </c>
      <c r="D43" s="55" t="inlineStr">
        <is>
          <t>错位拼接</t>
        </is>
      </c>
      <c r="E43" s="55"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F43" s="55" t="inlineStr">
        <is>
          <t>C09-a byte旋转；C09-b word互换；C09-c line片段拼接；C09-d 使用上一版本数据</t>
        </is>
      </c>
      <c r="G43" s="55" t="inlineStr">
        <is>
          <t>F0 / F2 / F6</t>
        </is>
      </c>
      <c r="H43" s="55" t="inlineStr">
        <is>
          <t>Cache-DirtyEvict 缓存探针（0.5×/1×/2×L1D working set、conflict set、dirty eviction、writeback）
STREAM+PointerChase（Copy、Scale、Add、Triad 与随机指针链）</t>
        </is>
      </c>
      <c r="I43" s="55" t="inlineStr">
        <is>
          <t>cache hit</t>
        </is>
      </c>
      <c r="J43" s="55" t="inlineStr">
        <is>
          <t>L0 行/way是否被需求读或驱逐；L1 tag/data/valid/dirty/coherence/PLRU；L2 hit/miss/MSHR/merge/fill；L3 writeback与一致性消息；L4 load值/store可见性；L5结局；每字节line/way来源、stale周期、load宽度</t>
        </is>
      </c>
      <c r="K43" s="55" t="inlineStr">
        <is>
          <t>输出保持合法位模式，预期高SDC且tag检查无法发现</t>
        </is>
      </c>
      <c r="L43" s="55" t="inlineStr">
        <is>
          <t>针对读数据选择网络的结构化风险</t>
        </is>
      </c>
      <c r="M43" s="55" t="inlineStr">
        <is>
          <t>本方案结构化模型</t>
        </is>
      </c>
      <c r="N43" s="55" t="inlineStr">
        <is>
          <t>一致性、状态与写回功能约束；B0未配置ECC/parity</t>
        </is>
      </c>
    </row>
    <row r="44" ht="74.25" customHeight="1" s="58">
      <c r="A44" s="54" t="inlineStr">
        <is>
          <t>C10</t>
        </is>
      </c>
      <c r="B44" s="54" t="inlineStr">
        <is>
          <t>L1d-Cache</t>
        </is>
      </c>
      <c r="C44" s="55" t="inlineStr">
        <is>
          <t>L1D 的 replacement/PLRU 元数据和 victim-way 选择器。它只决定 miss 时驱逐哪个 way，正常情况下不应改变程序结果；因此本位置主要作为“只影响性能”的负对照。</t>
        </is>
      </c>
      <c r="D44" s="55" t="inlineStr">
        <is>
          <t>状态</t>
        </is>
      </c>
      <c r="E44" s="55"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F44" s="55" t="inlineStr">
        <is>
          <t>C10-a PLRU位翻转；C10-b 选择错误victim way</t>
        </is>
      </c>
      <c r="G44" s="55" t="inlineStr">
        <is>
          <t>F0 / F3 / F5</t>
        </is>
      </c>
      <c r="H44" s="55" t="inlineStr">
        <is>
          <t>Cache-DirtyEvict 缓存探针（0.5×/1×/2×L1D working set、conflict set、dirty eviction、writeback）
STREAM+PointerChase（Copy、Scale、Add、Triad 与随机指针链）</t>
        </is>
      </c>
      <c r="I44" s="55" t="inlineStr">
        <is>
          <t>set满且发生miss</t>
        </is>
      </c>
      <c r="J44" s="55" t="inlineStr">
        <is>
          <t>L0 行/way是否被需求读或驱逐；L1 tag/data/valid/dirty/coherence/PLRU；L2 hit/miss/MSHR/merge/fill；L3 writeback与一致性消息；L4 load值/store可见性；L5结局；victim序列、miss/MPKI、dirty victim、输出</t>
        </is>
      </c>
      <c r="K44" s="55" t="inlineStr">
        <is>
          <t>通常仅性能；若与dirty/writeback控制缺陷耦合才影响正确性，预期SDC接近0</t>
        </is>
      </c>
      <c r="L44" s="55" t="inlineStr">
        <is>
          <t>作为负对照验证“只影响性能”的假设</t>
        </is>
      </c>
      <c r="M44" s="55" t="inlineStr">
        <is>
          <t>无直接文献；负对照</t>
        </is>
      </c>
      <c r="N44" s="55" t="inlineStr">
        <is>
          <t>一致性、状态与写回功能约束；B0未配置ECC/parity</t>
        </is>
      </c>
    </row>
    <row r="45" ht="86.65000000000001" customHeight="1" s="58">
      <c r="A45" s="54" t="inlineStr">
        <is>
          <t>C11</t>
        </is>
      </c>
      <c r="B45" s="54" t="inlineStr">
        <is>
          <t>L1d-Cache</t>
        </is>
      </c>
      <c r="C45" s="55" t="inlineStr">
        <is>
          <t>L1D 的 MSHR（Miss Status Holding Register）及 target 列表。MSHR 保存尚未返回的 cache-line miss，target 列表记录等待同一 line 的多个 load/store；地址、合并关系或唤醒对象错配会把 fill 交给错误消费者。</t>
        </is>
      </c>
      <c r="D45" s="55" t="inlineStr">
        <is>
          <t>换值</t>
        </is>
      </c>
      <c r="E45" s="55"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F45" s="55" t="inlineStr">
        <is>
          <t>C11-a MSHR地址替换；C11-b 错误merge；C11-c target丢失；C11-d target重复</t>
        </is>
      </c>
      <c r="G45" s="55" t="inlineStr">
        <is>
          <t>F0 / F2 / F4 / F6</t>
        </is>
      </c>
      <c r="H45" s="55" t="inlineStr">
        <is>
          <t>Cache-DirtyEvict 缓存探针（0.5×/1×/2×L1D working set、conflict set、dirty eviction、writeback）
STREAM+PointerChase（Copy、Scale、Add、Triad 与随机指针链）</t>
        </is>
      </c>
      <c r="I45" s="55" t="inlineStr">
        <is>
          <t>至少1个outstanding miss；merge需同line请求</t>
        </is>
      </c>
      <c r="J45" s="55" t="inlineStr">
        <is>
          <t>L0 行/way是否被需求读或驱逐；L1 tag/data/valid/dirty/coherence/PLRU；L2 hit/miss/MSHR/merge/fill；L3 writeback与一致性消息；L4 load值/store可见性；L5结局；MSHR占用、request-target双向映射、fill ID、wakeup消费者</t>
        </is>
      </c>
      <c r="K45" s="55" t="inlineStr">
        <is>
          <t>错fill/错唤醒可产生读旧值或跨请求数据，结构检查可能先触发</t>
        </is>
      </c>
      <c r="L45" s="55" t="inlineStr">
        <is>
          <t>B0有6 MSHR，是L1D缺失处理核心</t>
        </is>
      </c>
      <c r="M45" s="55" t="inlineStr">
        <is>
          <t>无直接MSHR注入</t>
        </is>
      </c>
      <c r="N45" s="55" t="inlineStr">
        <is>
          <t>一致性、状态与写回功能约束；B0未配置ECC/parity</t>
        </is>
      </c>
    </row>
    <row r="46" ht="86.65000000000001" customHeight="1" s="58">
      <c r="A46" s="54" t="inlineStr">
        <is>
          <t>C12</t>
        </is>
      </c>
      <c r="B46" s="54" t="inlineStr">
        <is>
          <t>L1d-Cache</t>
        </is>
      </c>
      <c r="C46" s="55" t="inlineStr">
        <is>
          <t>L1D 的 fill buffer、writeback buffer 及事务配对控制。fill 把下级返回的 tag/data 写入 L1D，writeback 把 dirty victim 送往下级；tag、data、way 和 transaction ID 必须属于同一事务。</t>
        </is>
      </c>
      <c r="D46" s="55" t="inlineStr">
        <is>
          <t>时序</t>
        </is>
      </c>
      <c r="E46" s="55"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F46" s="55" t="inlineStr">
        <is>
          <t>C12-a fill/writeback丢失；C12-b 重复；C12-c valid过早；C12-d 旧数据与新tag组合</t>
        </is>
      </c>
      <c r="G46" s="55" t="inlineStr">
        <is>
          <t>F0 / F4 / F6</t>
        </is>
      </c>
      <c r="H46" s="55" t="inlineStr">
        <is>
          <t>Cache-DirtyEvict 缓存探针（0.5×/1×/2×L1D working set、conflict set、dirty eviction、writeback）
STREAM+PointerChase（Copy、Scale、Add、Triad 与随机指针链）</t>
        </is>
      </c>
      <c r="I46" s="55" t="inlineStr">
        <is>
          <t>miss fill或dirty writeback</t>
        </is>
      </c>
      <c r="J46" s="55" t="inlineStr">
        <is>
          <t>L0 行/way是否被需求读或驱逐；L1 tag/data/valid/dirty/coherence/PLRU；L2 hit/miss/MSHR/merge/fill；L3 writeback与一致性消息；L4 load值/store可见性；L5结局；tag/data写入周期、transaction ID、writeback完成、line版本</t>
        </is>
      </c>
      <c r="K46" s="55" t="inlineStr">
        <is>
          <t>tag-data错配是高风险SDC；丢fill多Timeout；重复通常被协议吸收</t>
        </is>
      </c>
      <c r="L46" s="55" t="inlineStr">
        <is>
          <t>覆盖事务配对和先后次序</t>
        </is>
      </c>
      <c r="M46" s="55" t="inlineStr">
        <is>
          <t>本方案结构化模型</t>
        </is>
      </c>
      <c r="N46" s="55" t="inlineStr">
        <is>
          <t>一致性、状态与写回功能约束；B0未配置ECC/parity</t>
        </is>
      </c>
    </row>
    <row r="47" ht="61.9" customHeight="1" s="58">
      <c r="A47" s="54" t="inlineStr">
        <is>
          <t>C14</t>
        </is>
      </c>
      <c r="B47" s="54" t="inlineStr">
        <is>
          <t>L1d-Cache</t>
        </is>
      </c>
      <c r="C47" s="55" t="inlineStr">
        <is>
          <t>L1D MSHR 表项的 busy/occupied 状态和释放路径。请求完成后表项应准确释放；状态卡死会逐步耗尽可用 MSHR。</t>
        </is>
      </c>
      <c r="D47" s="55" t="inlineStr">
        <is>
          <t>卡死</t>
        </is>
      </c>
      <c r="E47" s="55" t="inlineStr">
        <is>
          <t>warm-up 后选择一个 MSHR 表项，使 busy/occupied stuck-at-1；对应 miss 正常完成，但表项不回到 free list。每次运行只固定一个表项，并记录实际可用容量、排队长度和是否形成死锁。</t>
        </is>
      </c>
      <c r="F47" s="55" t="inlineStr">
        <is>
          <t>C14-a MSHR busy stuck-at-1</t>
        </is>
      </c>
      <c r="G47" s="55" t="inlineStr">
        <is>
          <t>F5</t>
        </is>
      </c>
      <c r="H47" s="55" t="inlineStr">
        <is>
          <t>Cache-DirtyEvict 缓存探针（0.5×/1×/2×L1D working set、conflict set、dirty eviction、writeback）
STREAM+PointerChase（Copy、Scale、Add、Triad 与随机指针链）</t>
        </is>
      </c>
      <c r="I47" s="55" t="inlineStr">
        <is>
          <t>目标MSHR首次完成并应释放后持续</t>
        </is>
      </c>
      <c r="J47" s="55" t="inlineStr">
        <is>
          <t>L1 MSHR占用与free list；L2 miss发射/阻塞；L3fill完成；L4提交进度；L5性能、Timeout和结局</t>
        </is>
      </c>
      <c r="K47" s="55" t="inlineStr">
        <is>
          <t>主要表现为容量退化和Timeout；若实现错误复用被占用表项，则可能升级为数据错配</t>
        </is>
      </c>
      <c r="L47" s="55" t="inlineStr">
        <is>
          <t>恢复旧版已有的MSHR资源泄漏模型，与C11的数据/target错配分开归因</t>
        </is>
      </c>
      <c r="M47" s="55" t="inlineStr">
        <is>
          <t>无直接文献；资源状态机制推理</t>
        </is>
      </c>
      <c r="N47" s="55" t="inlineStr">
        <is>
          <t>一致性、状态与写回功能约束；B0未配置ECC/parity</t>
        </is>
      </c>
    </row>
    <row r="48" ht="74.25" customHeight="1" s="58">
      <c r="A48" s="54" t="inlineStr">
        <is>
          <t>C15</t>
        </is>
      </c>
      <c r="B48" s="54" t="inlineStr">
        <is>
          <t>L1d-Cache</t>
        </is>
      </c>
      <c r="C48" s="55" t="inlineStr">
        <is>
          <t>L1D MSHR occupancy counter、free-list 和容量仲裁逻辑。它决定是否允许新 miss 分配以及选择哪个空闲表项。</t>
        </is>
      </c>
      <c r="D48" s="55" t="inlineStr">
        <is>
          <t>状态/换值</t>
        </is>
      </c>
      <c r="E48" s="55" t="inlineStr">
        <is>
          <t>独立执行三种子模型：占用计数±1、在容量已满时伪造空位、free-list选择另一在用表项。仅在仲裁结果真正允许/阻止一次miss分配时计为 activated；不得与C11 target错配同时注入。</t>
        </is>
      </c>
      <c r="F48" s="55" t="inlineStr">
        <is>
          <t>C15-a occupancy计数±1；C15-b 伪free/full；C15-c 选择错误used entry</t>
        </is>
      </c>
      <c r="G48" s="55" t="inlineStr">
        <is>
          <t>F0 / F4 / F6</t>
        </is>
      </c>
      <c r="H48" s="55" t="inlineStr">
        <is>
          <t>Cache-DirtyEvict 缓存探针（0.5×/1×/2×L1D working set、conflict set、dirty eviction、writeback）
STREAM+PointerChase（Copy、Scale、Add、Triad 与随机指针链）
SPEC CPU2017 采样区间</t>
        </is>
      </c>
      <c r="I48" s="55" t="inlineStr">
        <is>
          <t>MSHR接近或达到容量上限时发生新miss分配</t>
        </is>
      </c>
      <c r="J48" s="55" t="inlineStr">
        <is>
          <t>L1 occupancy/free-list守恒；L2分配、阻塞和覆盖对象；L3fill transaction ID；L4错误load值/停顿；L5结局</t>
        </is>
      </c>
      <c r="K48" s="55" t="inlineStr">
        <is>
          <t>少计可能覆盖在用表项并造成响应错配或SDC；多计主要降低并发度并增加Timeout风险</t>
        </is>
      </c>
      <c r="L48" s="55" t="inlineStr">
        <is>
          <t>补回旧版容量计数逻辑，并显式区分资源记账错误与MSHR内容错误</t>
        </is>
      </c>
      <c r="M48" s="55" t="inlineStr">
        <is>
          <t>无直接文献；MSHR容量和并发miss机制推理</t>
        </is>
      </c>
      <c r="N48" s="55" t="inlineStr">
        <is>
          <t>一致性、状态与写回功能约束；B0未配置ECC/parity</t>
        </is>
      </c>
    </row>
    <row r="49" ht="74.25" customHeight="1" s="58">
      <c r="A49" s="14" t="inlineStr">
        <is>
          <t>O01</t>
        </is>
      </c>
      <c r="B49" s="14" t="inlineStr">
        <is>
          <t>原子与同步</t>
        </is>
      </c>
      <c r="C49" s="15" t="inlineStr">
        <is>
          <t>每核 exclusive monitor 中记录的 reservation address。LDXR 建立对某个 exclusive granule 的预留，STXR 只有在预留仍匹配且未被冲突写破坏时才能成功；地址错误通常表现为错误失败，也可能形成错误成功。</t>
        </is>
      </c>
      <c r="D49" s="15" t="inlineStr">
        <is>
          <t>单比特翻转</t>
        </is>
      </c>
      <c r="E49" s="15"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F49" s="15" t="inlineStr">
        <is>
          <t>O01-a exclusive monitor address低位单bit；O01-b 中位单bit；O01-c 高位单bit</t>
        </is>
      </c>
      <c r="G49" s="15" t="inlineStr">
        <is>
          <t>F0 / F2 / F6</t>
        </is>
      </c>
      <c r="H49" s="15" t="inlineStr">
        <is>
          <t>Atomic-Litmus 并发探针（MP、SB、LB、IRIW、Dekker、ticket lock、CAS counter、LDXR/STXR）</t>
        </is>
      </c>
      <c r="I49" s="15" t="inlineStr">
        <is>
          <t>LDXR后、STXR前</t>
        </is>
      </c>
      <c r="J49" s="15" t="inlineStr">
        <is>
          <t>L0 原子/屏障事件激活；L1 exclusive monitor、RMW旧值/新值、done/成功码；L2顺序队列与一致性事务；L3跨核可见顺序；L4禁出现结果/提交序；L5结局；reservation地址、granule、STXR结果、重试次数</t>
        </is>
      </c>
      <c r="K49" s="15" t="inlineStr">
        <is>
          <t>多为STXR失败和重试；若错误地址仍匹配可能错误成功并SDC</t>
        </is>
      </c>
      <c r="L49" s="15" t="inlineStr">
        <is>
          <t>覆盖独占监视器核心状态</t>
        </is>
      </c>
      <c r="M49" s="15" t="inlineStr">
        <is>
          <t>无直接文献</t>
        </is>
      </c>
      <c r="N49" s="15" t="inlineStr">
        <is>
          <t>exclusive monitor、原子返回与屏障顺序约束（非ECC/parity）</t>
        </is>
      </c>
    </row>
    <row r="50" ht="86.65000000000001" customHeight="1" s="58">
      <c r="A50" s="14" t="inlineStr">
        <is>
          <t>O02</t>
        </is>
      </c>
      <c r="B50" s="14" t="inlineStr">
        <is>
          <t>原子与同步</t>
        </is>
      </c>
      <c r="C50" s="15" t="inlineStr">
        <is>
          <t>Exclusive monitor 的 valid、version 与 granule 范围状态。valid 表示预留存在，version/失效状态反映竞争写，granule 规定监视的地址范围；这些状态共同决定 STXR 是否可以提交。</t>
        </is>
      </c>
      <c r="D50" s="15" t="inlineStr">
        <is>
          <t>状态</t>
        </is>
      </c>
      <c r="E50" s="15"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F50" s="15" t="inlineStr">
        <is>
          <t>O02-a monitor valid异常；O02-b version异常；O02-c granule异常</t>
        </is>
      </c>
      <c r="G50" s="15" t="inlineStr">
        <is>
          <t>F0 / F2 / F5 / F6</t>
        </is>
      </c>
      <c r="H50" s="15" t="inlineStr">
        <is>
          <t>Atomic-Litmus 并发探针（MP、SB、LB、IRIW、Dekker、ticket lock、CAS counter、LDXR/STXR）</t>
        </is>
      </c>
      <c r="I50" s="15" t="inlineStr">
        <is>
          <t>存在竞争写或reservation</t>
        </is>
      </c>
      <c r="J50" s="15" t="inlineStr">
        <is>
          <t>L0 原子/屏障事件激活；L1 exclusive monitor、RMW旧值/新值、done/成功码；L2顺序队列与一致性事务；L3跨核可见顺序；L4禁出现结果/提交序；L5结局；冲突写时间、monitor失效原因、禁出现结果</t>
        </is>
      </c>
      <c r="K50" s="15" t="inlineStr">
        <is>
          <t>伪成功最危险，可产生lost update；清零多为性能/活锁</t>
        </is>
      </c>
      <c r="L50" s="15" t="inlineStr">
        <is>
          <t>区分安全失败与错误成功</t>
        </is>
      </c>
      <c r="M50" s="15" t="inlineStr">
        <is>
          <t>无直接文献</t>
        </is>
      </c>
      <c r="N50" s="15" t="inlineStr">
        <is>
          <t>exclusive monitor、原子返回与屏障顺序约束（非ECC/parity）</t>
        </is>
      </c>
    </row>
    <row r="51" ht="74.25" customHeight="1" s="58">
      <c r="A51" s="14" t="inlineStr">
        <is>
          <t>O03</t>
        </is>
      </c>
      <c r="B51" s="14" t="inlineStr">
        <is>
          <t>原子与同步</t>
        </is>
      </c>
      <c r="C51" s="15" t="inlineStr">
        <is>
          <t>STXR/CAS 等原子操作返回给软件的成功/失败状态码。它必须与内存是否真正更新保持一致；状态码与事实不一致会让软件错误重试或错误停止重试。</t>
        </is>
      </c>
      <c r="D51" s="15" t="inlineStr">
        <is>
          <t>翻转</t>
        </is>
      </c>
      <c r="E51" s="15"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F51" s="15" t="inlineStr">
        <is>
          <t>O03-a 软件可见success→failure；O03-b failure→success</t>
        </is>
      </c>
      <c r="G51" s="15" t="inlineStr">
        <is>
          <t>F0 / F2 / F6</t>
        </is>
      </c>
      <c r="H51" s="15" t="inlineStr">
        <is>
          <t>Atomic-Litmus 并发探针（MP、SB、LB、IRIW、Dekker、ticket lock、CAS counter、LDXR/STXR）</t>
        </is>
      </c>
      <c r="I51" s="15" t="inlineStr">
        <is>
          <t>原子操作完成</t>
        </is>
      </c>
      <c r="J51" s="15" t="inlineStr">
        <is>
          <t>L0 原子/屏障事件激活；L1 exclusive monitor、RMW旧值/新值、done/成功码；L2顺序队列与一致性事务；L3跨核可见顺序；L4禁出现结果/提交序；L5结局；真实更新、返回码、重试路径、counter期望值</t>
        </is>
      </c>
      <c r="K51" s="15" t="inlineStr">
        <is>
          <t>内存已写却报失败会重复更新；未写却报成功会丢更新，均可能稳定SDC</t>
        </is>
      </c>
      <c r="L51" s="15" t="inlineStr">
        <is>
          <t>状态码是软件控制流与内存事实的契约</t>
        </is>
      </c>
      <c r="M51" s="15" t="inlineStr">
        <is>
          <t>无直接文献</t>
        </is>
      </c>
      <c r="N51" s="15" t="inlineStr">
        <is>
          <t>exclusive monitor、原子返回与屏障顺序约束（非ECC/parity）</t>
        </is>
      </c>
    </row>
    <row r="52" ht="86.65000000000001" customHeight="1" s="58">
      <c r="A52" s="14" t="inlineStr">
        <is>
          <t>O04</t>
        </is>
      </c>
      <c r="B52" s="14" t="inlineStr">
        <is>
          <t>原子与同步</t>
        </is>
      </c>
      <c r="C52" s="15" t="inlineStr">
        <is>
          <t>LSE 原子读改写的数据选择与返回 MUX。它在 CAS/SWP/LDADD 中选择比较值、替换值、旧内存值和新内存值，并把正确 old value 返回寄存器；交换这些输入不会产生非法编码但会改变原子语义。</t>
        </is>
      </c>
      <c r="D52" s="15" t="inlineStr">
        <is>
          <t>错位拼接</t>
        </is>
      </c>
      <c r="E52" s="15"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F52" s="15" t="inlineStr">
        <is>
          <t>O04-a old value替换；O04-b new value替换；O04-c CAS compare替换；O04-d 使用上一版本old value</t>
        </is>
      </c>
      <c r="G52" s="15" t="inlineStr">
        <is>
          <t>F0 / F2 / F6</t>
        </is>
      </c>
      <c r="H52" s="15" t="inlineStr">
        <is>
          <t>Atomic-Litmus 并发探针（MP、SB、LB、IRIW、Dekker、ticket lock、CAS counter、LDXR/STXR）</t>
        </is>
      </c>
      <c r="I52" s="15" t="inlineStr">
        <is>
          <t>CAS/SWP/LDADD</t>
        </is>
      </c>
      <c r="J52" s="15" t="inlineStr">
        <is>
          <t>L0 原子/屏障事件激活；L1 exclusive monitor、RMW旧值/新值、done/成功码；L2顺序队列与一致性事务；L3跨核可见顺序；L4禁出现结果/提交序；L5结局；请求操作数、内存old/new、返回寄存器、线性化点</t>
        </is>
      </c>
      <c r="K52" s="15" t="inlineStr">
        <is>
          <t>位模式合法且可能不崩溃，预期高SDC；竞争下放大</t>
        </is>
      </c>
      <c r="L52" s="15" t="inlineStr">
        <is>
          <t>针对读改写的数据选择链</t>
        </is>
      </c>
      <c r="M52" s="15" t="inlineStr">
        <is>
          <t>无直接文献</t>
        </is>
      </c>
      <c r="N52" s="15" t="inlineStr">
        <is>
          <t>exclusive monitor、原子返回与屏障顺序约束（非ECC/parity）</t>
        </is>
      </c>
    </row>
    <row r="53" ht="74.25" customHeight="1" s="58">
      <c r="A53" s="14" t="inlineStr">
        <is>
          <t>O05</t>
        </is>
      </c>
      <c r="B53" s="14" t="inlineStr">
        <is>
          <t>原子与同步</t>
        </is>
      </c>
      <c r="C53" s="15" t="inlineStr">
        <is>
          <t>原子 RMW 事务从 LSU 发出到一致性系统完成的 request/done 通路及线性化事件。一次 RMW 必须恰好执行一次，并在全局顺序中的一个明确点生效。</t>
        </is>
      </c>
      <c r="D53" s="15" t="inlineStr">
        <is>
          <t>时序</t>
        </is>
      </c>
      <c r="E53" s="15"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F53" s="15" t="inlineStr">
        <is>
          <t>O05-a RMW请求丢失；O05-b RMW请求重复；O05-c done过早</t>
        </is>
      </c>
      <c r="G53" s="15" t="inlineStr">
        <is>
          <t>F0 / F4 / F6</t>
        </is>
      </c>
      <c r="H53" s="15" t="inlineStr">
        <is>
          <t>Atomic-Litmus 并发探针（MP、SB、LB、IRIW、Dekker、ticket lock、CAS counter、LDXR/STXR）</t>
        </is>
      </c>
      <c r="I53" s="15" t="inlineStr">
        <is>
          <t>原子事务</t>
        </is>
      </c>
      <c r="J53" s="15" t="inlineStr">
        <is>
          <t>L0 原子/屏障事件激活；L1 exclusive monitor、RMW旧值/新值、done/成功码；L2顺序队列与一致性事务；L3跨核可见顺序；L4禁出现结果/提交序；L5结局；transaction ID、coherence序、线性化历史、重复检测</t>
        </is>
      </c>
      <c r="K53" s="15" t="inlineStr">
        <is>
          <t>重复/丢失直接改变计数；提前done可能违反顺序并只在并发下显现</t>
        </is>
      </c>
      <c r="L53" s="15" t="inlineStr">
        <is>
          <t>单线程负载无法覆盖的并发结构化故障</t>
        </is>
      </c>
      <c r="M53" s="15" t="inlineStr">
        <is>
          <t>MICRO'24时延方法论类比</t>
        </is>
      </c>
      <c r="N53" s="15" t="inlineStr">
        <is>
          <t>exclusive monitor、原子返回与屏障顺序约束（非ECC/parity）</t>
        </is>
      </c>
    </row>
    <row r="54" ht="86.65000000000001" customHeight="1" s="58">
      <c r="A54" s="14" t="inlineStr">
        <is>
          <t>O06</t>
        </is>
      </c>
      <c r="B54" s="14" t="inlineStr">
        <is>
          <t>原子与同步</t>
        </is>
      </c>
      <c r="C54" s="15" t="inlineStr">
        <is>
          <t>DMB/DSB 屏障的完成状态与前后内存事务排空条件。DMB 约束可见顺序，DSB 还要求相关操作完成；提前 done 会让后续访问越过屏障，延后/丢失 done 则会停顿。</t>
        </is>
      </c>
      <c r="D54" s="15" t="inlineStr">
        <is>
          <t>时序</t>
        </is>
      </c>
      <c r="E54" s="15"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F54" s="15" t="inlineStr">
        <is>
          <t>O06-a barrier done过早；O06-b done延迟；O06-c done丢失</t>
        </is>
      </c>
      <c r="G54" s="15" t="inlineStr">
        <is>
          <t>F0 / F4 / F6</t>
        </is>
      </c>
      <c r="H54" s="15" t="inlineStr">
        <is>
          <t>Atomic-Litmus 并发探针（MP、SB、LB、IRIW、Dekker、ticket lock、CAS counter、LDXR/STXR）</t>
        </is>
      </c>
      <c r="I54" s="15" t="inlineStr">
        <is>
          <t>barrier有前后内存事务</t>
        </is>
      </c>
      <c r="J54" s="15" t="inlineStr">
        <is>
          <t>L0 原子/屏障事件激活；L1 exclusive monitor、RMW旧值/新值、done/成功码；L2顺序队列与一致性事务；L3跨核可见顺序；L4禁出现结果/提交序；L5结局；屏障前后请求、全局可见序、禁出现结果</t>
        </is>
      </c>
      <c r="K54" s="15" t="inlineStr">
        <is>
          <t>提前done可能出现Arm内存模型禁出现结果；延后多为性能/Timeout</t>
        </is>
      </c>
      <c r="L54" s="15" t="inlineStr">
        <is>
          <t>屏障正确性必须用litmus结果而非单线程输出判断</t>
        </is>
      </c>
      <c r="M54" s="15" t="inlineStr">
        <is>
          <t>无直接文献</t>
        </is>
      </c>
      <c r="N54" s="15" t="inlineStr">
        <is>
          <t>exclusive monitor、原子返回与屏障顺序约束（非ECC/parity）</t>
        </is>
      </c>
    </row>
    <row r="55" ht="74.25" customHeight="1" s="58">
      <c r="A55" s="14" t="inlineStr">
        <is>
          <t>O07</t>
        </is>
      </c>
      <c r="B55" s="14" t="inlineStr">
        <is>
          <t>原子与同步</t>
        </is>
      </c>
      <c r="C55" s="15" t="inlineStr">
        <is>
          <t>LSU 内部 ordering queue 的 order tag、valid/ready 和选择逻辑。它维护 acquire/release、屏障和普通访存的先后关系；交换两个合法序号可能只改变时序，也可能产生 Arm 内存模型禁止的结果。</t>
        </is>
      </c>
      <c r="D55" s="15" t="inlineStr">
        <is>
          <t>换值</t>
        </is>
      </c>
      <c r="E55" s="15"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F55" s="15" t="inlineStr">
        <is>
          <t>O07-a order tag互换；O07-b valid伪置位；O07-c ready伪置位</t>
        </is>
      </c>
      <c r="G55" s="15" t="inlineStr">
        <is>
          <t>F0 / F2 / F6</t>
        </is>
      </c>
      <c r="H55" s="15" t="inlineStr">
        <is>
          <t>Atomic-Litmus 并发探针（MP、SB、LB、IRIW、Dekker、ticket lock、CAS counter、LDXR/STXR）</t>
        </is>
      </c>
      <c r="I55" s="15" t="inlineStr">
        <is>
          <t>至少2个相关事务</t>
        </is>
      </c>
      <c r="J55" s="15" t="inlineStr">
        <is>
          <t>L0 原子/屏障事件激活；L1 exclusive monitor、RMW旧值/新值、done/成功码；L2顺序队列与一致性事务；L3跨核可见顺序；L4禁出现结果/提交序；L5结局；per-core issue/commit/global order、replay、snoop</t>
        </is>
      </c>
      <c r="K55" s="15" t="inlineStr">
        <is>
          <t>可能只改变时序，也可能违反release/acquire；依赖并发负载</t>
        </is>
      </c>
      <c r="L55" s="15" t="inlineStr">
        <is>
          <t>覆盖排序状态而非数据阵列</t>
        </is>
      </c>
      <c r="M55" s="15" t="inlineStr">
        <is>
          <t>无直接文献</t>
        </is>
      </c>
      <c r="N55" s="15" t="inlineStr">
        <is>
          <t>exclusive monitor、原子返回与屏障顺序约束（非ECC/parity）</t>
        </is>
      </c>
    </row>
    <row r="56" ht="61.9" customHeight="1" s="58">
      <c r="A56" s="14" t="inlineStr">
        <is>
          <t>O09</t>
        </is>
      </c>
      <c r="B56" s="14" t="inlineStr">
        <is>
          <t>原子与同步</t>
        </is>
      </c>
      <c r="C56" s="15" t="inlineStr">
        <is>
          <t>LSE 原子 RMW 指令的 compare、replacement、addend、old-value 或 result 数据锁存器。该位置保存原子操作真实参与计算或返回软件的数据。</t>
        </is>
      </c>
      <c r="D56" s="15" t="inlineStr">
        <is>
          <t>单比特翻转</t>
        </is>
      </c>
      <c r="E56" s="15"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F56" s="15" t="inlineStr">
        <is>
          <t>O09-a compare操作数单bit；O09-b replacement/addend单bit；O09-c old value单bit</t>
        </is>
      </c>
      <c r="G56" s="15" t="inlineStr">
        <is>
          <t>F0 / F1 / F2</t>
        </is>
      </c>
      <c r="H56" s="15" t="inlineStr">
        <is>
          <t>Atomic-Litmus 并发探针（MP、SB、LB、IRIW、Dekker、ticket lock、CAS counter、LDXR/STXR）
PARSEC-Selected 多线程应用（共享队列、锁与任务并行）</t>
        </is>
      </c>
      <c r="I56" s="15" t="inlineStr">
        <is>
          <t>CAS/SWP/LDADD 等原子操作进入执行或返回阶段</t>
        </is>
      </c>
      <c r="J56" s="15" t="inlineStr">
        <is>
          <t>L1正确/故障操作数；L2原子请求和成功判定；L3内存更新与全局可见序；L4返回寄存器、共享变量和锁状态；L5结局</t>
        </is>
      </c>
      <c r="K56" s="15" t="inlineStr">
        <is>
          <t>可能造成错误比较、错误更新或错误返回，通常不触发地址异常；在复杂同步负载中可表现为lost update、死锁或SDC</t>
        </is>
      </c>
      <c r="L56" s="15" t="inlineStr">
        <is>
          <t>恢复旧版最基本的原子数据瞬态基线，使O04结构化MUX错选有可比较对象</t>
        </is>
      </c>
      <c r="M56" s="15" t="inlineStr">
        <is>
          <t>本地论文缺少原子单元直接结果；属于必要基础故障模型</t>
        </is>
      </c>
      <c r="N56" s="15" t="inlineStr">
        <is>
          <t>exclusive monitor、原子返回与屏障顺序约束（非ECC/parity）</t>
        </is>
      </c>
    </row>
    <row r="57" ht="86.65000000000001" customHeight="1" s="58">
      <c r="A57" s="56" t="inlineStr">
        <is>
          <t>P01</t>
        </is>
      </c>
      <c r="B57" s="56" t="inlineStr">
        <is>
          <t>数据预取器</t>
        </is>
      </c>
      <c r="C57" s="57" t="inlineStr">
        <is>
          <t>Stride prefetcher 的 PC/PHT tag 与 stride 历史字段。PC/tag 用于识别哪条 load 的历史，stride 记录相邻访问地址差；错误通常生成错误预取地址，但原则上不应直接改变需求 load 的架构结果。</t>
        </is>
      </c>
      <c r="D57" s="57" t="inlineStr">
        <is>
          <t>单比特翻转</t>
        </is>
      </c>
      <c r="E57" s="57"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F57" s="57" t="inlineStr">
        <is>
          <t>P01-a prefetch PC tag单bit；P01-b stride单bit</t>
        </is>
      </c>
      <c r="G57" s="57" t="inlineStr">
        <is>
          <t>F0 / F1 / F2</t>
        </is>
      </c>
      <c r="H57" s="57" t="inlineStr">
        <is>
          <t>BEEBS-DelayAVF 论文负载（md5、libbubblesort、libstrstr、matmult、libfibcall）
Prefetch-Stride 预取探针（正/负/交错 stride、pointer chase、跨页 stride、训练后变步长）</t>
        </is>
      </c>
      <c r="I57" s="57" t="inlineStr">
        <is>
          <t>预取器已有训练项</t>
        </is>
      </c>
      <c r="J57" s="57" t="inlineStr">
        <is>
          <t>L0 训练项/请求是否消费；L1 PC/stride/confidence/queue；L2预取地址、issued/useful/late/useless；L3填充way、驱逐对象、需求合并；L4架构结果；L5结局与性能偏差；issued/useful/late/useless、覆盖率、MPKI、输出</t>
        </is>
      </c>
      <c r="K57" s="57" t="inlineStr">
        <is>
          <t>通常只改命中率/带宽；若错误请求仍合法，不应改变架构结果，是负对照</t>
        </is>
      </c>
      <c r="L57" s="57" t="inlineStr">
        <is>
          <t>检验TC'23“预取错误不改架构状态”的边界</t>
        </is>
      </c>
      <c r="M57" s="57" t="inlineStr">
        <is>
          <t>TC'23排除理由；MICRO'24预取buffer结果作不同模型对照</t>
        </is>
      </c>
      <c r="N57" s="57" t="inlineStr">
        <is>
          <t>需求请求隔离与缓存一致性约束；B0未配置ECC/parity</t>
        </is>
      </c>
    </row>
    <row r="58" ht="86.65000000000001" customHeight="1" s="58">
      <c r="A58" s="56" t="inlineStr">
        <is>
          <t>P02</t>
        </is>
      </c>
      <c r="B58" s="56" t="inlineStr">
        <is>
          <t>数据预取器</t>
        </is>
      </c>
      <c r="C58" s="57" t="inlineStr">
        <is>
          <t>预取器的 confidence、degree、distance 与 throttle 控制。confidence 决定模式是否可信，degree 是一次发出多少条预取，distance 是提前多远，throttle 限制带宽；这些字段通常只改变性能和污染。</t>
        </is>
      </c>
      <c r="D58" s="57" t="inlineStr">
        <is>
          <t>状态</t>
        </is>
      </c>
      <c r="E58" s="57"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F58" s="57" t="inlineStr">
        <is>
          <t>P02-a confidence错误；P02-b degree错误；P02-c distance错误；P02-d throttle状态错误</t>
        </is>
      </c>
      <c r="G58" s="57" t="inlineStr">
        <is>
          <t>F0 / F3 / F5</t>
        </is>
      </c>
      <c r="H58" s="57" t="inlineStr">
        <is>
          <t>Prefetch-Stride 预取探针（正/负/交错 stride、pointer chase、跨页 stride、训练后变步长）
STREAM+PointerChase（Copy、Scale、Add、Triad 与随机指针链）</t>
        </is>
      </c>
      <c r="I58" s="57" t="inlineStr">
        <is>
          <t>稳定stride训练后</t>
        </is>
      </c>
      <c r="J58" s="57" t="inlineStr">
        <is>
          <t>L0 训练项/请求是否消费；L1 PC/stride/confidence/queue；L2预取地址、issued/useful/late/useless；L3填充way、驱逐对象、需求合并；L4架构结果；L5结局与性能偏差；预取数量、带宽、污染率、IPC、最终输出</t>
        </is>
      </c>
      <c r="K58" s="57" t="inlineStr">
        <is>
          <t>预期仅性能/能耗/带宽变化，SDC应为0；作为方法学负对照</t>
        </is>
      </c>
      <c r="L58" s="57" t="inlineStr">
        <is>
          <t>若此行出现SDC，优先检查注入器是否污染fill数据/元数据</t>
        </is>
      </c>
      <c r="M58" s="57" t="inlineStr">
        <is>
          <t>负对照</t>
        </is>
      </c>
      <c r="N58" s="57" t="inlineStr">
        <is>
          <t>需求请求隔离与缓存一致性约束；B0未配置ECC/parity</t>
        </is>
      </c>
    </row>
    <row r="59" ht="74.25" customHeight="1" s="58">
      <c r="A59" s="56" t="inlineStr">
        <is>
          <t>P03</t>
        </is>
      </c>
      <c r="B59" s="56" t="inlineStr">
        <is>
          <t>数据预取器</t>
        </is>
      </c>
      <c r="C59" s="57" t="inlineStr">
        <is>
          <t>预取器计算出的 target address，即将提交给 cache 层的预取目标。它不是需求 load 的 EA；取错合法地址应只带来无用预取或错误驱逐，因此是检验“预取错误不改结果”的重要负对照。</t>
        </is>
      </c>
      <c r="D59" s="57" t="inlineStr">
        <is>
          <t>换值</t>
        </is>
      </c>
      <c r="E59" s="57"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F59" s="57" t="inlineStr">
        <is>
          <t>P03-a 同页prefetch地址替换；P03-b 跨页prefetch地址替换</t>
        </is>
      </c>
      <c r="G59" s="57" t="inlineStr">
        <is>
          <t>F0 / F2 / F6</t>
        </is>
      </c>
      <c r="H59" s="57" t="inlineStr">
        <is>
          <t>Prefetch-Stride 预取探针（正/负/交错 stride、pointer chase、跨页 stride、训练后变步长）
GAP/Graph500 子集（BFS、SSSP、PageRank，固定图与结果哈希）</t>
        </is>
      </c>
      <c r="I59" s="57" t="inlineStr">
        <is>
          <t>产生预取请求</t>
        </is>
      </c>
      <c r="J59" s="57" t="inlineStr">
        <is>
          <t>L0 训练项/请求是否消费；L1 PC/stride/confidence/queue；L2预取地址、issued/useful/late/useless；L3填充way、驱逐对象、需求合并；L4架构结果；L5结局与性能偏差；请求地址、页边界、是否被用、受害驱逐line</t>
        </is>
      </c>
      <c r="K59" s="57" t="inlineStr">
        <is>
          <t>仅取错地址本应不改架构结果，但会改变驱逐；若最终SDC说明fill/一致性路径有缺陷</t>
        </is>
      </c>
      <c r="L59" s="57" t="inlineStr">
        <is>
          <t>把“预测错误”与“填充控制错误”明确分开</t>
        </is>
      </c>
      <c r="M59" s="57" t="inlineStr">
        <is>
          <t>TC'23排除理由的直接检验</t>
        </is>
      </c>
      <c r="N59" s="57" t="inlineStr">
        <is>
          <t>需求请求隔离与缓存一致性约束；B0未配置ECC/parity</t>
        </is>
      </c>
    </row>
    <row r="60" ht="74.25" customHeight="1" s="58">
      <c r="A60" s="56" t="inlineStr">
        <is>
          <t>P04</t>
        </is>
      </c>
      <c r="B60" s="56" t="inlineStr">
        <is>
          <t>数据预取器</t>
        </is>
      </c>
      <c r="C60" s="57" t="inlineStr">
        <is>
          <t>Prefetch request queue 的 entry、valid 与 head/tail 指针。队列保存尚未发出的预取地址和来源 PC；状态错可能重复、丢失或发出陈旧请求，并影响其 transaction ID。</t>
        </is>
      </c>
      <c r="D60" s="57" t="inlineStr">
        <is>
          <t>状态</t>
        </is>
      </c>
      <c r="E60" s="57"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F60" s="57" t="inlineStr">
        <is>
          <t>P04-a queue valid异常；P04-b pointer错误；P04-c 选择错误queue entry</t>
        </is>
      </c>
      <c r="G60" s="57" t="inlineStr">
        <is>
          <t>F0 / F4 / F5</t>
        </is>
      </c>
      <c r="H60" s="57" t="inlineStr">
        <is>
          <t>BEEBS-DelayAVF 论文负载（md5、libbubblesort、libstrstr、matmult、libfibcall）
Prefetch-Stride 预取探针（正/负/交错 stride、pointer chase、跨页 stride、训练后变步长）</t>
        </is>
      </c>
      <c r="I60" s="57" t="inlineStr">
        <is>
          <t>queue非空</t>
        </is>
      </c>
      <c r="J60" s="57" t="inlineStr">
        <is>
          <t>L0 训练项/请求是否消费；L1 PC/stride/confidence/queue；L2预取地址、issued/useful/late/useless；L3填充way、驱逐对象、需求合并；L4架构结果；L5结局与性能偏差；队列守恒、request ID、重复/丢失、stale age</t>
        </is>
      </c>
      <c r="K60" s="57" t="inlineStr">
        <is>
          <t>通常丢预取或重复预取；错误项若带陈旧transaction可能污染fill配对</t>
        </is>
      </c>
      <c r="L60" s="57" t="inlineStr">
        <is>
          <t>MICRO'24指出prefetcher内部buffer对粒子/时延均脆弱</t>
        </is>
      </c>
      <c r="M60" s="57" t="inlineStr">
        <is>
          <t>MICRO'24直接研究Ibex prefetch buffer，但非gem5 OoO</t>
        </is>
      </c>
      <c r="N60" s="57" t="inlineStr">
        <is>
          <t>需求请求隔离与缓存一致性约束；B0未配置ECC/parity</t>
        </is>
      </c>
    </row>
    <row r="61" ht="74.25" customHeight="1" s="58">
      <c r="A61" s="56" t="inlineStr">
        <is>
          <t>P05</t>
        </is>
      </c>
      <c r="B61" s="56" t="inlineStr">
        <is>
          <t>数据预取器</t>
        </is>
      </c>
      <c r="C61" s="57" t="inlineStr">
        <is>
          <t>预取请求的 issue/cancel/complete 事件以及与需求 miss 合并的握手。需求访问到来时，已有预取可能被提升、合并或取消；事件错配可能让需求消费者等待错误事务。</t>
        </is>
      </c>
      <c r="D61" s="57" t="inlineStr">
        <is>
          <t>时序</t>
        </is>
      </c>
      <c r="E61" s="57"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F61" s="57" t="inlineStr">
        <is>
          <t>P05-a prefetch丢失；P05-b 重复；P05-c 延迟；P05-d cancel丢失</t>
        </is>
      </c>
      <c r="G61" s="57" t="inlineStr">
        <is>
          <t>F0 / F4 / F6</t>
        </is>
      </c>
      <c r="H61" s="57" t="inlineStr">
        <is>
          <t>Prefetch-Stride 预取探针（正/负/交错 stride、pointer chase、跨页 stride、训练后变步长）
STREAM+PointerChase（Copy、Scale、Add、Triad 与随机指针链）</t>
        </is>
      </c>
      <c r="I61" s="57" t="inlineStr">
        <is>
          <t>预取与需求竞争</t>
        </is>
      </c>
      <c r="J61" s="57" t="inlineStr">
        <is>
          <t>L0 训练项/请求是否消费；L1 PC/stride/confidence/queue；L2预取地址、issued/useful/late/useless；L3填充way、驱逐对象、需求合并；L4架构结果；L5结局与性能偏差；demand/prefetch MSHR merge、transaction ID、返回消费者</t>
        </is>
      </c>
      <c r="K61" s="57" t="inlineStr">
        <is>
          <t>通常性能；错取消/错合并可能造成需求拿到错误事务的数据，是重点异常路径</t>
        </is>
      </c>
      <c r="L61" s="57" t="inlineStr">
        <is>
          <t>覆盖需求-预取竞争的事件配对</t>
        </is>
      </c>
      <c r="M61" s="57" t="inlineStr">
        <is>
          <t>本方案结构化模型</t>
        </is>
      </c>
      <c r="N61" s="57" t="inlineStr">
        <is>
          <t>需求请求隔离与缓存一致性约束；B0未配置ECC/parity</t>
        </is>
      </c>
    </row>
    <row r="62" ht="86.65000000000001" customHeight="1" s="58">
      <c r="A62" s="56" t="inlineStr">
        <is>
          <t>P06</t>
        </is>
      </c>
      <c r="B62" s="56" t="inlineStr">
        <is>
          <t>数据预取器</t>
        </is>
      </c>
      <c r="C62" s="57" t="inlineStr">
        <is>
          <t>Cache 请求中的 demand/prefetch 分类位和 fill 权限属性。分类影响优先级、替换与统计，ownership/dirty/allocate 决定填充后 line 的一致性权限；后者错误才可能从性能问题升级为正确性问题。</t>
        </is>
      </c>
      <c r="D62" s="57" t="inlineStr">
        <is>
          <t>换值</t>
        </is>
      </c>
      <c r="E62" s="57"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F62" s="57" t="inlineStr">
        <is>
          <t>P06-a prefetch/demand误标；P06-b dirty属性错误；P06-c ownership错误；P06-d allocate属性错误</t>
        </is>
      </c>
      <c r="G62" s="57" t="inlineStr">
        <is>
          <t>F0 / F2 / F6</t>
        </is>
      </c>
      <c r="H62" s="57" t="inlineStr">
        <is>
          <t>Cache-DirtyEvict 缓存探针（0.5×/1×/2×L1D working set、conflict set、dirty eviction、writeback）
Prefetch-Stride 预取探针（正/负/交错 stride、pointer chase、跨页 stride、训练后变步长）</t>
        </is>
      </c>
      <c r="I62" s="57" t="inlineStr">
        <is>
          <t>prefetch fill</t>
        </is>
      </c>
      <c r="J62" s="57" t="inlineStr">
        <is>
          <t>L0 训练项/请求是否消费；L1 PC/stride/confidence/queue；L2预取地址、issued/useful/late/useless；L3填充way、驱逐对象、需求合并；L4架构结果；L5结局与性能偏差；请求属性、coherence权限、dirty来源、writeback</t>
        </is>
      </c>
      <c r="K62" s="57" t="inlineStr">
        <is>
          <t>分类错可能改变替换优先级；若伪造dirty/ownership则可能错误写回或一致性SDC</t>
        </is>
      </c>
      <c r="L62" s="57" t="inlineStr">
        <is>
          <t>这是预取器区别于分支预测器的架构风险路径</t>
        </is>
      </c>
      <c r="M62" s="57" t="inlineStr">
        <is>
          <t>本方案检验现有研究空白</t>
        </is>
      </c>
      <c r="N62" s="57" t="inlineStr">
        <is>
          <t>需求请求隔离与缓存一致性约束；B0未配置ECC/parity</t>
        </is>
      </c>
    </row>
    <row r="63" ht="86.65000000000001" customHeight="1" s="58">
      <c r="A63" s="56" t="inlineStr">
        <is>
          <t>P07</t>
        </is>
      </c>
      <c r="B63" s="56" t="inlineStr">
        <is>
          <t>数据预取器</t>
        </is>
      </c>
      <c r="C63" s="57" t="inlineStr">
        <is>
          <t>预取响应进入 cache 时的 fill tag、目标 way、valid 与 data 写入配对。正确实现必须把同一 transaction 的 tag/data 写入同一 way；错位会形成 tag-data 不一致并被后续需求访问命中。</t>
        </is>
      </c>
      <c r="D63" s="57" t="inlineStr">
        <is>
          <t>错位拼接</t>
        </is>
      </c>
      <c r="E63" s="57"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F63" s="57" t="inlineStr">
        <is>
          <t>P07-a data写入错误way；P07-b tag写入错误way；P07-c 旧tag/valid组合</t>
        </is>
      </c>
      <c r="G63" s="57" t="inlineStr">
        <is>
          <t>F0 / F2 / F6</t>
        </is>
      </c>
      <c r="H63" s="57" t="inlineStr">
        <is>
          <t>Cache-DirtyEvict 缓存探针（0.5×/1×/2×L1D working set、conflict set、dirty eviction、writeback）
Prefetch-Stride 预取探针（正/负/交错 stride、pointer chase、跨页 stride、训练后变步长）</t>
        </is>
      </c>
      <c r="I63" s="57" t="inlineStr">
        <is>
          <t>prefetch response fill</t>
        </is>
      </c>
      <c r="J63" s="57" t="inlineStr">
        <is>
          <t>L0 训练项/请求是否消费；L1 PC/stride/confidence/queue；L2预取地址、issued/useful/late/useless；L3填充way、驱逐对象、需求合并；L4架构结果；L5结局与性能偏差；tag/data写入way、fill ID、后续false hit、受害line</t>
        </is>
      </c>
      <c r="K63" s="57" t="inlineStr">
        <is>
          <t>直接造成tag-data错配，预期可高SDC；这不是普通“取错地址”</t>
        </is>
      </c>
      <c r="L63" s="57" t="inlineStr">
        <is>
          <t>验证预取填充控制是否形成独立正确性风险</t>
        </is>
      </c>
      <c r="M63" s="57" t="inlineStr">
        <is>
          <t>无直接文献</t>
        </is>
      </c>
      <c r="N63" s="57" t="inlineStr">
        <is>
          <t>需求请求隔离与缓存一致性约束；B0未配置ECC/parity</t>
        </is>
      </c>
    </row>
    <row r="64" ht="74.25" customHeight="1" s="58">
      <c r="A64" s="56" t="inlineStr">
        <is>
          <t>P08</t>
        </is>
      </c>
      <c r="B64" s="56" t="inlineStr">
        <is>
          <t>数据预取器</t>
        </is>
      </c>
      <c r="C64" s="57" t="inlineStr">
        <is>
          <t>预取训练表的 stride 状态和失效/老化状态。表项长期不失效或 stride bit 卡死会反复生成同类错误预取。</t>
        </is>
      </c>
      <c r="D64" s="57" t="inlineStr">
        <is>
          <t>卡死</t>
        </is>
      </c>
      <c r="E64" s="57"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F64" s="57" t="inlineStr">
        <is>
          <t>P08-a stride位stuck-at-0/1；P08-b 状态长期不失效</t>
        </is>
      </c>
      <c r="G64" s="57" t="inlineStr">
        <is>
          <t>F5</t>
        </is>
      </c>
      <c r="H64" s="57" t="inlineStr">
        <is>
          <t>Prefetch-Stride 预取探针（正/负/交错 stride、pointer chase、跨页 stride、训练后变步长）
STREAM+PointerChase（Copy、Scale、Add、Triad 与随机指针链）</t>
        </is>
      </c>
      <c r="I64" s="57" t="inlineStr">
        <is>
          <t>首个训练项后持续</t>
        </is>
      </c>
      <c r="J64" s="57" t="inlineStr">
        <is>
          <t>L0 训练项/请求是否消费；L1 PC/stride/confidence/queue；L2预取地址、issued/useful/late/useless；L3填充way、驱逐对象、需求合并；L4架构结果；L5结局与性能偏差；表项寿命、错误请求率、fill元数据完整性、输出</t>
        </is>
      </c>
      <c r="K64" s="57" t="inlineStr">
        <is>
          <t>纯训练状态卡死预期主要影响性能；若出现SDC，应检查错误是否传播到共享fill元数据</t>
        </is>
      </c>
      <c r="L64" s="57" t="inlineStr">
        <is>
          <t>永久预测错误用于验证预取状态故障通常只影响性能</t>
        </is>
      </c>
      <c r="M64" s="57" t="inlineStr">
        <is>
          <t>MICRO'24说明prefetch结构可脆弱，但未给SDC/Crash分类</t>
        </is>
      </c>
      <c r="N64" s="57" t="inlineStr">
        <is>
          <t>需求请求隔离与缓存一致性约束；B0未配置ECC/parity</t>
        </is>
      </c>
    </row>
    <row r="65" ht="99" customHeight="1" s="58">
      <c r="A65" s="56" t="inlineStr">
        <is>
          <t>P09</t>
        </is>
      </c>
      <c r="B65" s="56" t="inlineStr">
        <is>
          <t>数据预取器</t>
        </is>
      </c>
      <c r="C65" s="57" t="inlineStr">
        <is>
          <t>由预取请求触发的 cache victim 选择、dirty victim writeback 请求及完成握手。该路径与需求miss共享底层写回资源，但触发来源明确标记为prefetch。</t>
        </is>
      </c>
      <c r="D65" s="57" t="inlineStr">
        <is>
          <t>时序/状态</t>
        </is>
      </c>
      <c r="E65" s="57" t="inlineStr">
        <is>
          <t>仅在预取分配导致 dirty line 驱逐时，独立执行：丢失writeback request、提前报告writeback done、或把dirty状态错误清除。victim tag/data 保持不变；记录prefetch transaction和victim line。</t>
        </is>
      </c>
      <c r="F65" s="57" t="inlineStr">
        <is>
          <t>P09-a dirty eviction writeback请求丢失；P09-b done过早；P09-c dirty过早清除</t>
        </is>
      </c>
      <c r="G65" s="57" t="inlineStr">
        <is>
          <t>F0 / F4 / F6</t>
        </is>
      </c>
      <c r="H65" s="57" t="inlineStr">
        <is>
          <t>Cache-DirtyEvict 缓存探针（0.5×/1×/2×L1D working set、conflict set、dirty eviction、writeback）
Prefetch-Stride 预取探针（正/负/交错 stride、pointer chase、跨页 stride、训练后变步长）
PARSEC-Selected 多线程应用（共享队列、锁与任务并行）</t>
        </is>
      </c>
      <c r="I65" s="57" t="inlineStr">
        <is>
          <t>prefetch分配cache line并驱逐dirty victim</t>
        </is>
      </c>
      <c r="J65" s="57" t="inlineStr">
        <is>
          <t>L1预取来源与victim选择；L2prefetch/demand分类和request ID；L3dirty、writeback地址/数据及后续重读；L4共享变量/输出；L5结局</t>
        </is>
      </c>
      <c r="K65" s="57" t="inlineStr">
        <is>
          <t>跳过脏行写回会静默丢失最新数据；与普通预取地址错误不同，预期可产生非零SDC</t>
        </is>
      </c>
      <c r="L65" s="57" t="inlineStr">
        <is>
          <t>恢复旧版对预取触发脏驱逐的独立问题定义，用事件标签检验预取激进度是否放大正确性风险</t>
        </is>
      </c>
      <c r="M65" s="57" t="inlineStr">
        <is>
          <t>无直接预取器文献；与L1D dirty/writeback故障共享机制但触发来源不同</t>
        </is>
      </c>
      <c r="N65" s="57" t="inlineStr">
        <is>
          <t>需求请求隔离与缓存一致性约束；B0未配置ECC/parity</t>
        </is>
      </c>
    </row>
  </sheetData>
  <pageMargins left="0.7" right="0.7" top="0.75" bottom="0.75" header="0.3" footer="0.3"/>
</worksheet>
</file>

<file path=xl/worksheets/sheet5.xml><?xml version="1.0" encoding="utf-8"?>
<worksheet xmlns="http://schemas.openxmlformats.org/spreadsheetml/2006/main">
  <sheetPr>
    <tabColor rgb="FF4472C4"/>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ColWidth="9" defaultRowHeight="14.25"/>
  <cols>
    <col width="16" customWidth="1" style="2" min="1" max="1"/>
    <col width="32" customWidth="1" style="2" min="2" max="2"/>
    <col width="58" customWidth="1" style="2" min="3" max="3"/>
    <col width="38" customWidth="1" style="2" min="4" max="4"/>
    <col width="34" customWidth="1" style="2" min="5" max="5"/>
    <col width="36" customWidth="1" style="2" min="6" max="6"/>
    <col width="9" customWidth="1" style="2" min="7" max="7"/>
    <col width="9" customWidth="1" style="2" min="8" max="16384"/>
  </cols>
  <sheetData>
    <row r="1" ht="32.1" customHeight="1" s="58">
      <c r="A1" s="46" t="inlineStr">
        <is>
          <t>层级</t>
        </is>
      </c>
      <c r="B1" s="46" t="inlineStr">
        <is>
          <t>含义</t>
        </is>
      </c>
      <c r="C1" s="46" t="inlineStr">
        <is>
          <t>LSU必须记录的字段/状态</t>
        </is>
      </c>
      <c r="D1" s="46" t="inlineStr">
        <is>
          <t>建议实现点</t>
        </is>
      </c>
      <c r="E1" s="46" t="inlineStr">
        <is>
          <t>判定用途</t>
        </is>
      </c>
      <c r="F1" s="46" t="inlineStr">
        <is>
          <t>注意事项</t>
        </is>
      </c>
    </row>
    <row r="2" ht="58.15" customHeight="1" s="58">
      <c r="A2" s="49" t="inlineStr">
        <is>
          <t>L0 注入/激活</t>
        </is>
      </c>
      <c r="B2" s="50" t="inlineStr">
        <is>
          <t>确认是否尝试注入、是否满足资格、是否真正命中并被消费</t>
        </is>
      </c>
      <c r="C2" s="50" t="inlineStr">
        <is>
          <t>attempted、eligible、activated、结构entry/way、bit/字段、原值/故障值、注入时刻、寿命区间、指令/事务ID、commit序号</t>
        </is>
      </c>
      <c r="D2" s="50" t="inlineStr">
        <is>
          <t>故障注入器入口与目标字段读取点</t>
        </is>
      </c>
      <c r="E2" s="50" t="inlineStr">
        <is>
          <t>未activated的运行不得进入错误率分母</t>
        </is>
      </c>
      <c r="F2" s="50" t="inlineStr">
        <is>
          <t>单次瞬态只在一个随机合法事件生效；重复注入逐次重新抽取目标</t>
        </is>
      </c>
    </row>
    <row r="3" ht="58.15" customHeight="1" s="58">
      <c r="A3" s="49" t="inlineStr">
        <is>
          <t>L1 单元内部</t>
        </is>
      </c>
      <c r="B3" s="50" t="inlineStr">
        <is>
          <t>检查局部状态守恒与结构不变量</t>
        </is>
      </c>
      <c r="C3" s="50" t="inlineStr">
        <is>
          <t>AGU的EA/size/mask；TLB映射；LQ/SQ有效项与转发；cache tag-data-state；MSHR/free计数；monitor；prefetch queue</t>
        </is>
      </c>
      <c r="D3" s="50" t="inlineStr">
        <is>
          <t>各结构更新、仲裁、读写与状态迁移处</t>
        </is>
      </c>
      <c r="E3" s="50" t="inlineStr">
        <is>
          <t>区分局部屏蔽、内部异常和向下游传播</t>
        </is>
      </c>
      <c r="F3" s="50" t="inlineStr">
        <is>
          <t>断言/仿真器异常单列Simulator failure，不直接并入架构检测</t>
        </is>
      </c>
    </row>
    <row r="4" ht="58.15" customHeight="1" s="58">
      <c r="A4" s="49" t="inlineStr">
        <is>
          <t>L2 请求形成/顺序</t>
        </is>
      </c>
      <c r="B4" s="50" t="inlineStr">
        <is>
          <t>观察LSU生成的访存请求及乱序恢复是否正确</t>
        </is>
      </c>
      <c r="C4" s="50" t="inlineStr">
        <is>
          <t>PA、size、byte mask、request/response ID、issued/dropped/duplicate、violation、replay、依赖和顺序标签</t>
        </is>
      </c>
      <c r="D4" s="50" t="inlineStr">
        <is>
          <t>请求发射、响应匹配、replay与commit前检查处</t>
        </is>
      </c>
      <c r="E4" s="50" t="inlineStr">
        <is>
          <t>识别错地址、错大小、重复/丢失及错误replay</t>
        </is>
      </c>
      <c r="F4" s="50" t="inlineStr">
        <is>
          <t>同一事务链用统一ID贯穿，避免只按周期关联</t>
        </is>
      </c>
    </row>
    <row r="5" ht="58.15" customHeight="1" s="58">
      <c r="A5" s="49" t="inlineStr">
        <is>
          <t>L3 Cache/一致性/内存</t>
        </is>
      </c>
      <c r="B5" s="50" t="inlineStr">
        <is>
          <t>追踪错误是否进入缓存层次或内存</t>
        </is>
      </c>
      <c r="C5" s="50" t="inlineStr">
        <is>
          <t>hit/miss、set/way、fill、eviction、writeback、snoop、ownership、dirty、DRAM写入</t>
        </is>
      </c>
      <c r="D5" s="50" t="inlineStr">
        <is>
          <t>L1d接口、一致性消息与内存写入点</t>
        </is>
      </c>
      <c r="E5" s="50" t="inlineStr">
        <is>
          <t>判定是否被cache命中/替换屏蔽或形成持久污染</t>
        </is>
      </c>
      <c r="F5" s="50" t="inlineStr">
        <is>
          <t>预取错误要区分纯性能影响与需求数据/所有权污染</t>
        </is>
      </c>
    </row>
    <row r="6" ht="58.15" customHeight="1" s="58">
      <c r="A6" s="49" t="inlineStr">
        <is>
          <t>L4 架构可见/软件</t>
        </is>
      </c>
      <c r="B6" s="50" t="inlineStr">
        <is>
          <t>定位首次架构状态分歧及其软件后果</t>
        </is>
      </c>
      <c r="C6" s="50" t="inlineStr">
        <is>
          <t>commit PC/opcode、寄存器与内存副作用、首次错误load/store、异常/信号、应用校验</t>
        </is>
      </c>
      <c r="D6" s="50" t="inlineStr">
        <is>
          <t>提交端、异常入口和应用oracle</t>
        </is>
      </c>
      <c r="E6" s="50" t="inlineStr">
        <is>
          <t>区分Data Corruption、Crash、Timeout与正确完成</t>
        </is>
      </c>
      <c r="F6" s="50" t="inlineStr">
        <is>
          <t>首次错误提交与最终应用结局都要记录</t>
        </is>
      </c>
    </row>
    <row r="7" ht="58.15" customHeight="1" s="58">
      <c r="A7" s="49" t="inlineStr">
        <is>
          <t>L5 检测与最终结局</t>
        </is>
      </c>
      <c r="B7" s="50" t="inlineStr">
        <is>
          <t>把首检来源和最终结局分开记录</t>
        </is>
      </c>
      <c r="C7" s="50" t="inlineStr">
        <is>
          <t>Hardware RAS/OS/Application/None首检；Hardware RAS任意时点；Masked、Detected-contained、Detected-uncontained、Data Corruption、RAS-silent Crash/Timeout、Simulator failure</t>
        </is>
      </c>
      <c r="D7" s="50" t="inlineStr">
        <is>
          <t>统一后处理脚本和运行日志汇总</t>
        </is>
      </c>
      <c r="E7" s="50" t="inlineStr">
        <is>
          <t>支持互斥首检、任意时点硬件检测率和结局守恒校验</t>
        </is>
      </c>
      <c r="F7" s="50" t="inlineStr">
        <is>
          <t>首检来源互斥；Simulator failure与体系结构结局分栏</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4472C4"/>
    <outlinePr summaryBelow="1" summaryRight="1"/>
    <pageSetUpPr/>
  </sheetPr>
  <dimension ref="A1:F22"/>
  <sheetViews>
    <sheetView showGridLines="0" workbookViewId="0">
      <pane ySplit="1" topLeftCell="A2" activePane="bottomLeft" state="frozen"/>
      <selection pane="bottomLeft" activeCell="A1" sqref="A1"/>
    </sheetView>
  </sheetViews>
  <sheetFormatPr baseColWidth="8" defaultColWidth="9" defaultRowHeight="14.25"/>
  <cols>
    <col width="10" customWidth="1" style="2" min="1" max="1"/>
    <col width="28" customWidth="1" style="2" min="2" max="2"/>
    <col width="46" customWidth="1" style="2" min="3" max="3"/>
    <col width="38" customWidth="1" style="2" min="4" max="4"/>
    <col width="42" customWidth="1" style="2" min="5" max="5"/>
    <col width="34" customWidth="1" style="2" min="6" max="6"/>
    <col width="9" customWidth="1" style="2" min="7" max="7"/>
    <col width="9" customWidth="1" style="2" min="8" max="16384"/>
  </cols>
  <sheetData>
    <row r="1" ht="42" customHeight="1" s="58">
      <c r="A1" s="46" t="inlineStr">
        <is>
          <t>档位</t>
        </is>
      </c>
      <c r="B1" s="46" t="inlineStr">
        <is>
          <t>名称</t>
        </is>
      </c>
      <c r="C1" s="46" t="inlineStr">
        <is>
          <t>定义</t>
        </is>
      </c>
      <c r="D1" s="46" t="inlineStr">
        <is>
          <t>适用故障</t>
        </is>
      </c>
      <c r="E1" s="46" t="inlineStr">
        <is>
          <t>设计意图</t>
        </is>
      </c>
      <c r="F1" s="46" t="inlineStr">
        <is>
          <t>统计单位</t>
        </is>
      </c>
    </row>
    <row r="2" ht="42" customHeight="1" s="58">
      <c r="A2" s="50" t="inlineStr">
        <is>
          <t>F0</t>
        </is>
      </c>
      <c r="B2" s="50" t="inlineStr">
        <is>
          <t>单次瞬态</t>
        </is>
      </c>
      <c r="C2" s="50" t="inlineStr">
        <is>
          <t>每次运行只注入 1 次；在 warm-up 后的 eligible event 中均匀抽样</t>
        </is>
      </c>
      <c r="D2" s="50" t="inlineStr">
        <is>
          <t>瞬态/结构化</t>
        </is>
      </c>
      <c r="E2" s="50" t="inlineStr">
        <is>
          <t>论文对照与注入器校验；主报告必须给 activated/attempted</t>
        </is>
      </c>
      <c r="F2" s="48" t="inlineStr">
        <is>
          <t>run-level独立样本</t>
        </is>
      </c>
    </row>
    <row r="3" ht="42" customHeight="1" s="58">
      <c r="A3" s="50" t="inlineStr">
        <is>
          <t>F1</t>
        </is>
      </c>
      <c r="B3" s="50" t="inlineStr">
        <is>
          <t>低频事件归一化</t>
        </is>
      </c>
      <c r="C3" s="50" t="inlineStr">
        <is>
          <t>平均每 1,000,000 个 eligible events 注入 1 次，间隔加入 ±50% 抖动</t>
        </is>
      </c>
      <c r="D3" s="50" t="inlineStr">
        <is>
          <t>瞬态</t>
        </is>
      </c>
      <c r="E3" s="50" t="inlineStr">
        <is>
          <t>跨负载可比，减少循环相位共振；主力低频档</t>
        </is>
      </c>
      <c r="F3" s="48" t="inlineStr">
        <is>
          <t>run-level cluster；事件级仅作传播记录</t>
        </is>
      </c>
    </row>
    <row r="4" ht="42" customHeight="1" s="58">
      <c r="A4" s="50" t="inlineStr">
        <is>
          <t>F2</t>
        </is>
      </c>
      <c r="B4" s="50" t="inlineStr">
        <is>
          <t>中频事件归一化</t>
        </is>
      </c>
      <c r="C4" s="50" t="inlineStr">
        <is>
          <t>平均每 100,000 个 eligible events 注入 1 次，间隔加入 ±50% 抖动</t>
        </is>
      </c>
      <c r="D4" s="50" t="inlineStr">
        <is>
          <t>瞬态/结构化</t>
        </is>
      </c>
      <c r="E4" s="50" t="inlineStr">
        <is>
          <t>定位 SDC/Crash 转折</t>
        </is>
      </c>
      <c r="F4" s="48" t="inlineStr">
        <is>
          <t>run-level cluster；事件级仅作传播记录</t>
        </is>
      </c>
    </row>
    <row r="5" ht="42" customHeight="1" s="58">
      <c r="A5" s="50" t="inlineStr">
        <is>
          <t>F3</t>
        </is>
      </c>
      <c r="B5" s="50" t="inlineStr">
        <is>
          <t>高频压力</t>
        </is>
      </c>
      <c r="C5" s="50" t="inlineStr">
        <is>
          <t>平均每 10,000 个 eligible events 注入 1 次，间隔加入 ±50% 抖动</t>
        </is>
      </c>
      <c r="D5" s="50" t="inlineStr">
        <is>
          <t>瞬态</t>
        </is>
      </c>
      <c r="E5" s="50" t="inlineStr">
        <is>
          <t>只用于压力边界，不与 F0 的单故障 AVF 混合</t>
        </is>
      </c>
      <c r="F5" s="48" t="inlineStr">
        <is>
          <t>run-level cluster；事件级仅作传播记录</t>
        </is>
      </c>
    </row>
    <row r="6" ht="42" customHeight="1" s="58">
      <c r="A6" s="50" t="inlineStr">
        <is>
          <t>F4</t>
        </is>
      </c>
      <c r="B6" s="50" t="inlineStr">
        <is>
          <t>短突发</t>
        </is>
      </c>
      <c r="C6" s="50" t="inlineStr">
        <is>
          <t>每 100,000 个 eligible events 触发一次，连续污染 2-4 个 eligible events</t>
        </is>
      </c>
      <c r="D6" s="50" t="inlineStr">
        <is>
          <t>多事件/时序</t>
        </is>
      </c>
      <c r="E6" s="50" t="inlineStr">
        <is>
          <t>模拟共享控制线或瞬态持续多个周期</t>
        </is>
      </c>
      <c r="F6" s="48" t="inlineStr">
        <is>
          <t>run-level cluster；事件级仅作传播记录</t>
        </is>
      </c>
    </row>
    <row r="7" ht="42" customHeight="1" s="58">
      <c r="A7" s="50" t="inlineStr">
        <is>
          <t>F5</t>
        </is>
      </c>
      <c r="B7" s="50" t="inlineStr">
        <is>
          <t>永久卡死</t>
        </is>
      </c>
      <c r="C7" s="50" t="inlineStr">
        <is>
          <t>warm-up 后第一个 eligible event 起持续到运行结束；每次运行仅选一个 bit/字段</t>
        </is>
      </c>
      <c r="D7" s="50" t="inlineStr">
        <is>
          <t>永久</t>
        </is>
      </c>
      <c r="E7" s="50" t="inlineStr">
        <is>
          <t>stuck-at 或固定掩码；结果按运行计数，不当作单次 AVF</t>
        </is>
      </c>
      <c r="F7" s="48" t="inlineStr">
        <is>
          <t>run-level独立样本</t>
        </is>
      </c>
    </row>
    <row r="8" ht="42" customHeight="1" s="58">
      <c r="A8" s="50" t="inlineStr">
        <is>
          <t>F6</t>
        </is>
      </c>
      <c r="B8" s="50" t="inlineStr">
        <is>
          <t>确定性事件触发</t>
        </is>
      </c>
      <c r="C8" s="50" t="inlineStr">
        <is>
          <t>首次出现指定事件时注入一次，如 TLB hit、SQ forward、dirty eviction、CAS 成功</t>
        </is>
      </c>
      <c r="D8" s="50" t="inlineStr">
        <is>
          <t>结构化</t>
        </is>
      </c>
      <c r="E8" s="50" t="inlineStr">
        <is>
          <t>保证激活，适合稀有路径和传播链调试</t>
        </is>
      </c>
      <c r="F8" s="48" t="inlineStr">
        <is>
          <t>run-level独立样本</t>
        </is>
      </c>
    </row>
    <row r="11" ht="33.95" customHeight="1" s="58">
      <c r="A11" s="5" t="inlineStr">
        <is>
          <t>统计项</t>
        </is>
      </c>
      <c r="B11" s="5" t="inlineStr">
        <is>
          <t>规则/公式</t>
        </is>
      </c>
      <c r="C11" s="5" t="inlineStr">
        <is>
          <t>筛查目标</t>
        </is>
      </c>
      <c r="D11" s="5" t="inlineStr">
        <is>
          <t>主结果目标</t>
        </is>
      </c>
      <c r="E11" s="5" t="inlineStr">
        <is>
          <t>原因</t>
        </is>
      </c>
      <c r="F11" s="5" t="inlineStr">
        <is>
          <t>备注</t>
        </is>
      </c>
    </row>
    <row r="12" ht="62.1" customHeight="1" s="58">
      <c r="A12" s="19" t="inlineStr">
        <is>
          <t>分母与二维分类</t>
        </is>
      </c>
      <c r="B12" s="19" t="inlineStr">
        <is>
          <t>合法目标出现率=eligible/attempted；故障激活率=activated/eligible；可分析样本数=activated-Simulator failure；条件SDC率=SDC/可分析样本数；硬件检测率=Hardware RAS任意时点检出/可分析样本数</t>
        </is>
      </c>
      <c r="C12" s="19" t="inlineStr">
        <is>
          <t>必须报告attempted、eligible、activated、结局、首检层级和硬件RAS任意时点检出</t>
        </is>
      </c>
      <c r="D12" s="19" t="inlineStr">
        <is>
          <t>必须报告attempted、eligible、activated、结局、首检层级和硬件RAS任意时点检出</t>
        </is>
      </c>
      <c r="E12" s="19" t="inlineStr">
        <is>
          <t>区分目标是否出现、故障是否激活及激活后的传播后果；模拟器失败单列</t>
        </is>
      </c>
      <c r="F12" s="19" t="inlineStr">
        <is>
          <t>条件结果率不等于随机注入故障产生该结果的总体概率</t>
        </is>
      </c>
    </row>
    <row r="13" ht="62.1" customHeight="1" s="58">
      <c r="A13" s="19" t="inlineStr">
        <is>
          <t>工程预试验</t>
        </is>
      </c>
      <c r="B13" s="19" t="inlineStr">
        <is>
          <t>每个模型×频率×负载组合先取得30个独立activated；若注入器或配置未改变可计入正式累计，否则作废重采</t>
        </is>
      </c>
      <c r="C13" s="19" t="inlineStr">
        <is>
          <t>30</t>
        </is>
      </c>
      <c r="D13" s="19" t="inlineStr">
        <is>
          <t>30；无配置修改时可计入正式样本</t>
        </is>
      </c>
      <c r="E13" s="19" t="inlineStr">
        <is>
          <t>检查触发、激活、日志、分类和负载，不承担统计精度保证</t>
        </is>
      </c>
      <c r="F13" s="19" t="inlineStr">
        <is>
          <t>不得用30个样本单独得出结果率结论</t>
        </is>
      </c>
    </row>
    <row r="14" ht="62.1" customHeight="1" s="58">
      <c r="A14" s="19" t="inlineStr">
        <is>
          <t>常规样本量</t>
        </is>
      </c>
      <c r="B14" s="19" t="inlineStr">
        <is>
          <t>固定至少385个独立activated；n=1.96²×0.5×0.5/0.05²=384.16，向上取整</t>
        </is>
      </c>
      <c r="C14" s="19" t="inlineStr">
        <is>
          <t>固定≥385</t>
        </is>
      </c>
      <c r="D14" s="19" t="inlineStr">
        <is>
          <t>固定≥385</t>
        </is>
      </c>
      <c r="E14" s="19" t="inlineStr">
        <is>
          <t>95%置信水平；未知比例取p=0.5时最大绝对误差约±5个百分点</t>
        </is>
      </c>
      <c r="F14" s="19" t="inlineStr">
        <is>
          <t>最终比例报告Wilson 95%置信区间；依据SFI09</t>
        </is>
      </c>
    </row>
    <row r="15" ht="62.1" customHeight="1" s="58">
      <c r="A15" s="19" t="inlineStr">
        <is>
          <t>重点样本量</t>
        </is>
      </c>
      <c r="B15" s="19" t="inlineStr">
        <is>
          <t>仅预登记的21个重点组合固定累计到2401个独立activated；n=1.96²×0.5×0.5/0.02²=2401</t>
        </is>
      </c>
      <c r="C15" s="19" t="inlineStr">
        <is>
          <t>—</t>
        </is>
      </c>
      <c r="D15" s="19" t="inlineStr">
        <is>
          <t>累计=2401</t>
        </is>
      </c>
      <c r="E15" s="19" t="inlineStr">
        <is>
          <t>95%置信水平；未知比例取p=0.5时最大绝对误差约±2个百分点</t>
        </is>
      </c>
      <c r="F15" s="19" t="inlineStr">
        <is>
          <t>2401包含前385个，不是所有组合，也不是额外增加2401；不按中途结果或普通区间半宽序贯停止</t>
        </is>
      </c>
    </row>
    <row r="16" ht="62.1" customHeight="1" s="58">
      <c r="A16" s="19" t="inlineStr">
        <is>
          <t>随机化</t>
        </is>
      </c>
      <c r="B16" s="19" t="inlineStr">
        <is>
          <t>seed、bit、entry、eligible event分层随机；合法换值保存source/target</t>
        </is>
      </c>
      <c r="C16" s="19" t="inlineStr">
        <is>
          <t>固定seed清单</t>
        </is>
      </c>
      <c r="D16" s="19" t="inlineStr">
        <is>
          <t>每cell独立≥5个seed批次</t>
        </is>
      </c>
      <c r="E16" s="19" t="inlineStr">
        <is>
          <t>避免单一程序相位和地址段主导</t>
        </is>
      </c>
      <c r="F16" s="19" t="inlineStr">
        <is>
          <t>跨模型比较用common random numbers</t>
        </is>
      </c>
    </row>
    <row r="17" ht="62.1" customHeight="1" s="58">
      <c r="A17" s="19" t="inlineStr">
        <is>
          <t>超时</t>
        </is>
      </c>
      <c r="B17" s="19" t="inlineStr">
        <is>
          <t>golden wall/sim time或committed inst的10×，并设置绝对上限</t>
        </is>
      </c>
      <c r="C17" s="19" t="inlineStr">
        <is>
          <t>统一</t>
        </is>
      </c>
      <c r="D17" s="19" t="inlineStr">
        <is>
          <t>统一</t>
        </is>
      </c>
      <c r="E17" s="19" t="inlineStr">
        <is>
          <t>区分慢化与无限循环</t>
        </is>
      </c>
      <c r="F17" s="19" t="inlineStr">
        <is>
          <t>F5可单独提高上限但须预注册</t>
        </is>
      </c>
    </row>
    <row r="18" ht="62.1" customHeight="1" s="58">
      <c r="A18" s="19" t="inlineStr">
        <is>
          <t>2.6GHz换算</t>
        </is>
      </c>
      <c r="B18" s="19" t="inlineStr">
        <is>
          <t>1ms=2,600,000 cycles；100us=260,000；10us=26,000</t>
        </is>
      </c>
      <c r="C18" s="19" t="inlineStr">
        <is>
          <t>仅辅助</t>
        </is>
      </c>
      <c r="D18" s="19" t="inlineStr">
        <is>
          <t>仅辅助</t>
        </is>
      </c>
      <c r="E18" s="19" t="inlineStr">
        <is>
          <t>主频变化不会改变事件归一化档位</t>
        </is>
      </c>
      <c r="F18" s="19" t="inlineStr">
        <is>
          <t>不要用cycle频率替代eligible event分母</t>
        </is>
      </c>
    </row>
    <row r="19" ht="72" customHeight="1" s="58">
      <c r="A19" s="29" t="inlineStr">
        <is>
          <t>独立样本单位</t>
        </is>
      </c>
      <c r="B19" s="29" t="inlineStr">
        <is>
          <t>F0/F5/F6通常以一次独立运行为一个样本；F1-F4同一运行内多个activated事件属于同一cluster；一个运行至少一次故障被消费时，该运行才计入activated运行样本</t>
        </is>
      </c>
      <c r="C19" s="29" t="inlineStr">
        <is>
          <t>按运行保存cluster ID</t>
        </is>
      </c>
      <c r="D19" s="29" t="inlineStr">
        <is>
          <t>按运行聚类计算区间</t>
        </is>
      </c>
      <c r="E19" s="29" t="inlineStr">
        <is>
          <t>避免共享程序状态和前序故障导致伪独立</t>
        </is>
      </c>
      <c r="F19" s="29" t="inlineStr">
        <is>
          <t>不得把同一运行内事件直接当独立Bernoulli样本</t>
        </is>
      </c>
    </row>
    <row r="20" ht="72" customHeight="1" s="58">
      <c r="A20" s="29" t="inlineStr">
        <is>
          <t>重复注入归因</t>
        </is>
      </c>
      <c r="B20" s="29" t="inlineStr">
        <is>
          <t>F1-F4最终结局归因于整次运行的故障序列；事件级传播另行记录</t>
        </is>
      </c>
      <c r="C20" s="29" t="inlineStr">
        <is>
          <t>记录事件序列</t>
        </is>
      </c>
      <c r="D20" s="29" t="inlineStr">
        <is>
          <t>报告run-level SDC/Crash与cluster bootstrap区间</t>
        </is>
      </c>
      <c r="E20" s="29" t="inlineStr">
        <is>
          <t>多个故障可能共同导致最终错误</t>
        </is>
      </c>
      <c r="F20" s="29" t="inlineStr">
        <is>
          <t>F0单故障结果与压力档结果分开</t>
        </is>
      </c>
    </row>
    <row r="21">
      <c r="A21" s="19" t="inlineStr">
        <is>
          <t>重点组合清单</t>
        </is>
      </c>
      <c r="B21" s="19" t="inlineStr">
        <is>
          <t>A01-F0-W3、A04-F0-W3、C04-F0-W6、C05-F0-W6、C10-F0-W6、C12-F0-W6、L01-F0-W5、L03-F0-W5、O01-F0-W7、O05-F0-W7、O09-F0-W13、P03-F0-W8、P07-F0-W8、P09-F0-W13、P09-F0-W6、S04-F0-W5、S13-F0-W12、S13-F0-W5、T04-F0-W4、T10-F0-W11、T10-F0-W4</t>
        </is>
      </c>
      <c r="C21" s="19" t="inlineStr">
        <is>
          <t>21个</t>
        </is>
      </c>
      <c r="D21" s="19" t="inlineStr">
        <is>
          <t>累计=2401</t>
        </is>
      </c>
      <c r="E21" s="19" t="inlineStr">
        <is>
          <t>覆盖七类LSU单元的定向机制组合，并含4个外部负载验证组合</t>
        </is>
      </c>
      <c r="F21" s="19" t="inlineStr">
        <is>
          <t>在查看结果前冻结；其余组合完成385后不机械扩样</t>
        </is>
      </c>
    </row>
    <row r="22">
      <c r="A22" s="19" t="inlineStr">
        <is>
          <t>事后新增规则</t>
        </is>
      </c>
      <c r="B22" s="19" t="inlineStr">
        <is>
          <t>筛查后发现的意外结果只能另建并预登记独立确认队列</t>
        </is>
      </c>
      <c r="C22" s="19" t="inlineStr">
        <is>
          <t>不改变原21项</t>
        </is>
      </c>
      <c r="D22" s="19" t="inlineStr">
        <is>
          <t>单独报告</t>
        </is>
      </c>
      <c r="E22" s="19" t="inlineStr">
        <is>
          <t>避免根据已观察结果挑选组合造成选择偏倚</t>
        </is>
      </c>
      <c r="F22" s="19" t="inlineStr">
        <is>
          <t>不得包装成原定重点结果</t>
        </is>
      </c>
    </row>
  </sheetData>
  <pageMargins left="0.7" right="0.7" top="0.75" bottom="0.75" header="0.3" footer="0.3"/>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FF4472C4"/>
    <outlinePr summaryBelow="1" summaryRight="1"/>
    <pageSetUpPr/>
  </sheetPr>
  <dimension ref="A1:F15"/>
  <sheetViews>
    <sheetView showGridLines="0" workbookViewId="0">
      <pane ySplit="1" topLeftCell="A2" activePane="bottomLeft" state="frozen"/>
      <selection pane="bottomLeft" activeCell="A1" sqref="A1"/>
    </sheetView>
  </sheetViews>
  <sheetFormatPr baseColWidth="8" defaultColWidth="9" defaultRowHeight="14.25"/>
  <cols>
    <col width="10" customWidth="1" style="2" min="1" max="1"/>
    <col width="24" customWidth="1" style="2" min="2" max="3"/>
    <col width="78" customWidth="1" style="2" min="4" max="4"/>
    <col width="36" customWidth="1" style="2" min="5" max="5"/>
    <col width="14" customWidth="1" style="2" min="6" max="6"/>
    <col width="9" customWidth="1" style="2" min="7" max="7"/>
    <col width="9" customWidth="1" style="2" min="8" max="16384"/>
  </cols>
  <sheetData>
    <row r="1" ht="33.95" customHeight="1" s="58">
      <c r="A1" s="5" t="inlineStr">
        <is>
          <t>负载ID</t>
        </is>
      </c>
      <c r="B1" s="5" t="inlineStr">
        <is>
          <t>名称</t>
        </is>
      </c>
      <c r="C1" s="5" t="inlineStr">
        <is>
          <t>类型</t>
        </is>
      </c>
      <c r="D1" s="5" t="inlineStr">
        <is>
          <t>定义/输入与oracle</t>
        </is>
      </c>
      <c r="E1" s="5" t="inlineStr">
        <is>
          <t>主要覆盖单元</t>
        </is>
      </c>
      <c r="F1" s="5" t="inlineStr">
        <is>
          <t>模式</t>
        </is>
      </c>
    </row>
    <row r="2" ht="66" customHeight="1" s="58">
      <c r="A2" s="18" t="inlineStr">
        <is>
          <t>W0</t>
        </is>
      </c>
      <c r="B2" s="18" t="inlineStr">
        <is>
          <t>MiniCheck</t>
        </is>
      </c>
      <c r="C2" s="19" t="inlineStr">
        <is>
          <t>自设最小正确性探针</t>
        </is>
      </c>
      <c r="D2" s="19" t="inlineStr">
        <is>
          <t>短数组校验和、guard page、指针链、load/store round-trip；每次运行产生确定 golden output</t>
        </is>
      </c>
      <c r="E2" s="19" t="inlineStr">
        <is>
          <t>全部；注入器冒烟与传播调试</t>
        </is>
      </c>
      <c r="F2" s="19" t="inlineStr">
        <is>
          <t>SE</t>
        </is>
      </c>
    </row>
    <row r="3" ht="66" customHeight="1" s="58">
      <c r="A3" s="18" t="inlineStr">
        <is>
          <t>W1</t>
        </is>
      </c>
      <c r="B3" s="18" t="inlineStr">
        <is>
          <t>MiBench-TC23</t>
        </is>
      </c>
      <c r="C3" s="19" t="inlineStr">
        <is>
          <t>公开/论文复现</t>
        </is>
      </c>
      <c r="D3" s="19" t="inlineStr">
        <is>
          <t>blowfish、patricia、fft、gsm、dijkstra、rijndael、sha、bitcount、edge、smooth；最大输入集</t>
        </is>
      </c>
      <c r="E3" s="19" t="inlineStr">
        <is>
          <t>DTLB、SQ、L1D；与 TC'23 定性/定量对照</t>
        </is>
      </c>
      <c r="F3" s="19" t="inlineStr">
        <is>
          <t>FS 优先</t>
        </is>
      </c>
    </row>
    <row r="4" ht="66" customHeight="1" s="58">
      <c r="A4" s="18" t="inlineStr">
        <is>
          <t>W2</t>
        </is>
      </c>
      <c r="B4" s="18" t="inlineStr">
        <is>
          <t>BEEBS-DelayAVF</t>
        </is>
      </c>
      <c r="C4" s="19" t="inlineStr">
        <is>
          <t>公开/论文复现</t>
        </is>
      </c>
      <c r="D4" s="19" t="inlineStr">
        <is>
          <t>md5、libbubblesort、libstrstr、matmult、libfibcall</t>
        </is>
      </c>
      <c r="E4" s="19" t="inlineStr">
        <is>
          <t>LSQ 与预取器的时延故障规律对照；不直接比较绝对值</t>
        </is>
      </c>
      <c r="F4" s="19" t="inlineStr">
        <is>
          <t>SE</t>
        </is>
      </c>
    </row>
    <row r="5" ht="66" customHeight="1" s="58">
      <c r="A5" s="18" t="inlineStr">
        <is>
          <t>W3</t>
        </is>
      </c>
      <c r="B5" s="18" t="inlineStr">
        <is>
          <t>AGU-AddrModes</t>
        </is>
      </c>
      <c r="C5" s="19" t="inlineStr">
        <is>
          <t>自设定向负载</t>
        </is>
      </c>
      <c r="D5" s="19" t="inlineStr">
        <is>
          <t>覆盖 base+imm、base+index、LSL、UXTW/SXTW、pre/post-index、LDP/STP、非对齐和页边界；每地址附软件 oracle</t>
        </is>
      </c>
      <c r="E5" s="19" t="inlineStr">
        <is>
          <t>AGU</t>
        </is>
      </c>
      <c r="F5" s="19" t="inlineStr">
        <is>
          <t>SE</t>
        </is>
      </c>
    </row>
    <row r="6" ht="66" customHeight="1" s="58">
      <c r="A6" s="18" t="inlineStr">
        <is>
          <t>W4</t>
        </is>
      </c>
      <c r="B6" s="18" t="inlineStr">
        <is>
          <t>TLB-AliasPerm</t>
        </is>
      </c>
      <c r="C6" s="19" t="inlineStr">
        <is>
          <t>自设定向负载</t>
        </is>
      </c>
      <c r="D6" s="19" t="inlineStr">
        <is>
          <t>4KiB/2MiB 页、ASID 切换、同 VA 不同 PA、只读/不可执行页、TLBI 后重填、跨页 load/store</t>
        </is>
      </c>
      <c r="E6" s="19" t="inlineStr">
        <is>
          <t>L1d-TLB</t>
        </is>
      </c>
      <c r="F6" s="19" t="inlineStr">
        <is>
          <t>FS</t>
        </is>
      </c>
    </row>
    <row r="7" ht="66" customHeight="1" s="58">
      <c r="A7" s="18" t="inlineStr">
        <is>
          <t>W5</t>
        </is>
      </c>
      <c r="B7" s="18" t="inlineStr">
        <is>
          <t>SQ-Forward</t>
        </is>
      </c>
      <c r="C7" s="19" t="inlineStr">
        <is>
          <t>自设定向负载</t>
        </is>
      </c>
      <c r="D7" s="19" t="inlineStr">
        <is>
          <t>同地址与部分重叠 store-to-load forwarding、不同字节掩码、地址晚到/数据晚到、alias、replay</t>
        </is>
      </c>
      <c r="E7" s="19" t="inlineStr">
        <is>
          <t>Store Queue/内存依赖预测器</t>
        </is>
      </c>
      <c r="F7" s="19" t="inlineStr">
        <is>
          <t>SE</t>
        </is>
      </c>
    </row>
    <row r="8" ht="66" customHeight="1" s="58">
      <c r="A8" s="18" t="inlineStr">
        <is>
          <t>W6</t>
        </is>
      </c>
      <c r="B8" s="18" t="inlineStr">
        <is>
          <t>Cache-DirtyEvict</t>
        </is>
      </c>
      <c r="C8" s="19" t="inlineStr">
        <is>
          <t>自设定向负载</t>
        </is>
      </c>
      <c r="D8" s="19" t="inlineStr">
        <is>
          <t>working set=0.5×/1×/2×L1D；读改写、dirty eviction、writeback、conflict set、共享行 false sharing</t>
        </is>
      </c>
      <c r="E8" s="19" t="inlineStr">
        <is>
          <t>L1d-Cache</t>
        </is>
      </c>
      <c r="F8" s="19" t="inlineStr">
        <is>
          <t>SE + 多核 FS 子集</t>
        </is>
      </c>
    </row>
    <row r="9" ht="66" customHeight="1" s="58">
      <c r="A9" s="18" t="inlineStr">
        <is>
          <t>W7</t>
        </is>
      </c>
      <c r="B9" s="18" t="inlineStr">
        <is>
          <t>Atomic-Litmus</t>
        </is>
      </c>
      <c r="C9" s="19" t="inlineStr">
        <is>
          <t>公开 litmus + 自设</t>
        </is>
      </c>
      <c r="D9" s="19" t="inlineStr">
        <is>
          <t>MP、SB、LB、IRIW、Dekker、ticket lock、CAS counter、LDXR/STXR 竞争；每轮检查禁出现结果</t>
        </is>
      </c>
      <c r="E9" s="19" t="inlineStr">
        <is>
          <t>原子与同步</t>
        </is>
      </c>
      <c r="F9" s="19" t="inlineStr">
        <is>
          <t>多核 FS</t>
        </is>
      </c>
    </row>
    <row r="10" ht="66" customHeight="1" s="58">
      <c r="A10" s="18" t="inlineStr">
        <is>
          <t>W8</t>
        </is>
      </c>
      <c r="B10" s="18" t="inlineStr">
        <is>
          <t>Prefetch-Stride</t>
        </is>
      </c>
      <c r="C10" s="19" t="inlineStr">
        <is>
          <t>自设定向负载</t>
        </is>
      </c>
      <c r="D10" s="19" t="inlineStr">
        <is>
          <t>正/负/交错 stride、随机 pointer chase、跨页 stride、训练后变步长、需求/预取竞争</t>
        </is>
      </c>
      <c r="E10" s="19" t="inlineStr">
        <is>
          <t>数据预取器</t>
        </is>
      </c>
      <c r="F10" s="19" t="inlineStr">
        <is>
          <t>SE</t>
        </is>
      </c>
    </row>
    <row r="11" ht="66" customHeight="1" s="58">
      <c r="A11" s="18" t="inlineStr">
        <is>
          <t>W9</t>
        </is>
      </c>
      <c r="B11" s="18" t="inlineStr">
        <is>
          <t>GAP/Graph500 子集</t>
        </is>
      </c>
      <c r="C11" s="19" t="inlineStr">
        <is>
          <t>公开通用</t>
        </is>
      </c>
      <c r="D11" s="19" t="inlineStr">
        <is>
          <t>BFS/SSSP/PR，使用固定图与结果哈希；强调不规则地址和大 working set</t>
        </is>
      </c>
      <c r="E11" s="19" t="inlineStr">
        <is>
          <t>DTLB、Cache、AGU、Prefetch</t>
        </is>
      </c>
      <c r="F11" s="19" t="inlineStr">
        <is>
          <t>FS/SE</t>
        </is>
      </c>
    </row>
    <row r="12" ht="66" customHeight="1" s="58">
      <c r="A12" s="18" t="inlineStr">
        <is>
          <t>W10</t>
        </is>
      </c>
      <c r="B12" s="18" t="inlineStr">
        <is>
          <t>STREAM+PointerChase</t>
        </is>
      </c>
      <c r="C12" s="19" t="inlineStr">
        <is>
          <t>公开通用 + 自设</t>
        </is>
      </c>
      <c r="D12" s="19" t="inlineStr">
        <is>
          <t>STREAM Copy/Scale/Add/Triad 加随机 pointer chase；检查数组 hash 与遍历节点数</t>
        </is>
      </c>
      <c r="E12" s="19" t="inlineStr">
        <is>
          <t>带宽、MSHR、预取、AGU</t>
        </is>
      </c>
      <c r="F12" s="19" t="inlineStr">
        <is>
          <t>SE</t>
        </is>
      </c>
    </row>
    <row r="13" ht="66" customHeight="1" s="58">
      <c r="A13" s="18" t="inlineStr">
        <is>
          <t>W11</t>
        </is>
      </c>
      <c r="B13" s="18" t="inlineStr">
        <is>
          <t>SPEC CPU2017 采样区间</t>
        </is>
      </c>
      <c r="C13" s="19" t="inlineStr">
        <is>
          <t>公开通用（需许可证）</t>
        </is>
      </c>
      <c r="D13" s="19" t="inlineStr">
        <is>
          <t>选择 mcf、omnetpp、xalancbmk、lbm 的固定 SimPoint/checkpoint；不跑全程</t>
        </is>
      </c>
      <c r="E13" s="19" t="inlineStr">
        <is>
          <t>外部有效性；主结论之后复核</t>
        </is>
      </c>
      <c r="F13" s="19" t="inlineStr">
        <is>
          <t>FS/SE</t>
        </is>
      </c>
    </row>
    <row r="14" ht="78" customHeight="1" s="58">
      <c r="A14" s="30" t="inlineStr">
        <is>
          <t>W12</t>
        </is>
      </c>
      <c r="B14" s="30" t="inlineStr">
        <is>
          <t>SQLite-Speedtest1</t>
        </is>
      </c>
      <c r="C14" s="29" t="inlineStr">
        <is>
          <t>真实应用</t>
        </is>
      </c>
      <c r="D14" s="29" t="inlineStr">
        <is>
          <t>SQLite speedtest1 固定数据库与事务脚本；用 PRAGMA integrity_check、查询结果和数据库文件哈希作为 oracle</t>
        </is>
      </c>
      <c r="E14" s="29" t="inlineStr">
        <is>
          <t>AGU、Load Queue、Store Queue、L1d-Cache</t>
        </is>
      </c>
      <c r="F14" s="29" t="inlineStr">
        <is>
          <t>SE/FS</t>
        </is>
      </c>
    </row>
    <row r="15" ht="78" customHeight="1" s="58">
      <c r="A15" s="30" t="inlineStr">
        <is>
          <t>W13</t>
        </is>
      </c>
      <c r="B15" s="30" t="inlineStr">
        <is>
          <t>PARSEC-Selected</t>
        </is>
      </c>
      <c r="C15" s="29" t="inlineStr">
        <is>
          <t>多线程真实应用</t>
        </is>
      </c>
      <c r="D15" s="29" t="inlineStr">
        <is>
          <t>PARSEC 中选 dedup、ferret、streamcluster 等共享队列/锁密集程序；固定线程数与输入，核对参考输出和结果哈希</t>
        </is>
      </c>
      <c r="E15" s="29" t="inlineStr">
        <is>
          <t>L1d-Cache一致性、原子与同步、数据预取器</t>
        </is>
      </c>
      <c r="F15" s="29" t="inlineStr">
        <is>
          <t>多核 FS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1F4E78"/>
    <outlinePr summaryBelow="1" summaryRight="1"/>
    <pageSetUpPr/>
  </sheetPr>
  <dimension ref="A1:AW338"/>
  <sheetViews>
    <sheetView workbookViewId="0">
      <pane xSplit="2" ySplit="1" topLeftCell="C2" activePane="bottomRight" state="frozen"/>
      <selection pane="topRight" activeCell="A1" sqref="A1"/>
      <selection pane="bottomLeft" activeCell="A1" sqref="A1"/>
      <selection pane="bottomRight" activeCell="C2" sqref="C2"/>
    </sheetView>
  </sheetViews>
  <sheetFormatPr baseColWidth="8" defaultRowHeight="14.25"/>
  <cols>
    <col width="18" customWidth="1" style="58" min="1" max="1"/>
    <col width="10" customWidth="1" style="58" min="2" max="2"/>
    <col width="15" customWidth="1" style="58" min="3" max="3"/>
    <col width="58" customWidth="1" style="58" min="4" max="4"/>
    <col width="16" customWidth="1" style="58" min="5" max="5"/>
    <col width="82" customWidth="1" style="58" min="6" max="6"/>
    <col width="8" customWidth="1" style="58" min="7" max="7"/>
    <col width="46" customWidth="1" style="58" min="8" max="8"/>
    <col width="50" customWidth="1" style="58" min="9" max="9"/>
    <col width="68" customWidth="1" style="58" min="10" max="10"/>
    <col width="24" customWidth="1" style="58" min="11" max="11"/>
    <col width="68" customWidth="1" style="58" min="12" max="12"/>
    <col width="38" customWidth="1" style="58" min="13" max="13"/>
    <col width="40" customWidth="1" style="58" min="14" max="14"/>
    <col width="28" customWidth="1" style="58" min="15" max="15"/>
    <col width="18" customWidth="1" style="58" min="16" max="16"/>
    <col width="12" customWidth="1" style="58" min="17" max="18"/>
    <col width="11" customWidth="1" style="58" min="19" max="19"/>
    <col width="18" customWidth="1" style="58" min="20" max="20"/>
    <col width="15" customWidth="1" style="58" min="21" max="21"/>
    <col width="10" customWidth="1" style="58" min="22" max="23"/>
    <col width="16" customWidth="1" style="58" min="24" max="24"/>
    <col width="14" customWidth="1" style="58" min="25" max="25"/>
    <col width="16" customWidth="1" style="58" min="26" max="26"/>
    <col width="40" customWidth="1" style="58" min="27" max="27"/>
    <col width="12" customWidth="1" style="58" min="28" max="36"/>
    <col width="24" customWidth="1" style="58" min="37" max="37"/>
    <col width="12" customWidth="1" style="58" min="38" max="38"/>
    <col width="17" customWidth="1" style="58" min="39" max="40"/>
    <col width="19" customWidth="1" style="58" min="41" max="41"/>
    <col width="15" customWidth="1" style="58" min="42" max="42"/>
    <col width="48" customWidth="1" style="58" min="43" max="43"/>
    <col width="12" customWidth="1" style="58" min="44" max="44"/>
    <col width="14" customWidth="1" style="58" min="45" max="45"/>
    <col width="18" customWidth="1" style="58" min="46" max="46"/>
    <col width="20" customWidth="1" style="58" min="47" max="47"/>
    <col width="20" customWidth="1" style="58" min="48" max="48"/>
    <col width="34" customWidth="1" style="58" min="49" max="49"/>
  </cols>
  <sheetData>
    <row r="1" ht="34.15" customHeight="1" s="58">
      <c r="A1" s="46" t="inlineStr">
        <is>
          <t>RunID</t>
        </is>
      </c>
      <c r="B1" s="46" t="inlineStr">
        <is>
          <t>模型ID</t>
        </is>
      </c>
      <c r="C1" s="46" t="inlineStr">
        <is>
          <t>单元</t>
        </is>
      </c>
      <c r="D1" s="46" t="inlineStr">
        <is>
          <t>注入位置（结构与正常作用）</t>
        </is>
      </c>
      <c r="E1" s="46" t="inlineStr">
        <is>
          <t>故障类型</t>
        </is>
      </c>
      <c r="F1" s="46" t="inlineStr">
        <is>
          <t>故障模型（实施步骤与激活口径）</t>
        </is>
      </c>
      <c r="G1" s="46" t="inlineStr">
        <is>
          <t>频率</t>
        </is>
      </c>
      <c r="H1" s="46" t="inlineStr">
        <is>
          <t>频率定义</t>
        </is>
      </c>
      <c r="I1" s="46" t="inlineStr">
        <is>
          <t>负载（真实名称）</t>
        </is>
      </c>
      <c r="J1" s="46" t="inlineStr">
        <is>
          <t>负载定义/oracle</t>
        </is>
      </c>
      <c r="K1" s="46" t="inlineStr">
        <is>
          <t>触发条件</t>
        </is>
      </c>
      <c r="L1" s="46" t="inlineStr">
        <is>
          <t>传播监控</t>
        </is>
      </c>
      <c r="M1" s="46" t="inlineStr">
        <is>
          <t>预期结果</t>
        </is>
      </c>
      <c r="N1" s="46" t="inlineStr">
        <is>
          <t>设计理由</t>
        </is>
      </c>
      <c r="O1" s="46" t="inlineStr">
        <is>
          <t>文献依据</t>
        </is>
      </c>
      <c r="P1" s="46" t="inlineStr">
        <is>
          <t>Seed/注入索引</t>
        </is>
      </c>
      <c r="Q1" s="46" t="inlineStr">
        <is>
          <t>Attempted</t>
        </is>
      </c>
      <c r="R1" s="46" t="inlineStr">
        <is>
          <t>Activated</t>
        </is>
      </c>
      <c r="S1" s="46" t="inlineStr">
        <is>
          <t>Masked</t>
        </is>
      </c>
      <c r="T1" s="46" t="inlineStr">
        <is>
          <t>Detected-contained</t>
        </is>
      </c>
      <c r="U1" s="46" t="inlineStr">
        <is>
          <t>Data Corruption</t>
        </is>
      </c>
      <c r="V1" s="46" t="inlineStr">
        <is>
          <t>Crash</t>
        </is>
      </c>
      <c r="W1" s="46" t="inlineStr">
        <is>
          <t>Timeout</t>
        </is>
      </c>
      <c r="X1" s="46" t="inlineStr">
        <is>
          <t>SDC率(可分析activated)</t>
        </is>
      </c>
      <c r="Y1" s="46" t="inlineStr">
        <is>
          <t>故障激活率</t>
        </is>
      </c>
      <c r="Z1" s="46" t="inlineStr">
        <is>
          <t>记录状态</t>
        </is>
      </c>
      <c r="AA1" s="46" t="inlineStr">
        <is>
          <t>实测备注</t>
        </is>
      </c>
      <c r="AB1" s="46" t="inlineStr">
        <is>
          <t>SDC</t>
        </is>
      </c>
      <c r="AC1" s="46" t="inlineStr">
        <is>
          <t>Hardware RAS首检（互斥）</t>
        </is>
      </c>
      <c r="AD1" s="46" t="inlineStr">
        <is>
          <t>OS首检（互斥）</t>
        </is>
      </c>
      <c r="AE1" s="46" t="inlineStr">
        <is>
          <t>Application首检（互斥）</t>
        </is>
      </c>
      <c r="AF1" s="46" t="inlineStr">
        <is>
          <t>None首检（互斥）</t>
        </is>
      </c>
      <c r="AG1" s="46" t="inlineStr">
        <is>
          <t>Contained</t>
        </is>
      </c>
      <c r="AH1" s="46" t="inlineStr">
        <is>
          <t>Detected-uncontained</t>
        </is>
      </c>
      <c r="AI1" s="46" t="inlineStr">
        <is>
          <t>RAS-silent Crash</t>
        </is>
      </c>
      <c r="AJ1" s="46" t="inlineStr">
        <is>
          <t>RAS-silent Timeout</t>
        </is>
      </c>
      <c r="AK1" s="46" t="inlineStr">
        <is>
          <t>检测/告警证据</t>
        </is>
      </c>
      <c r="AL1" s="46" t="inlineStr">
        <is>
          <t>硬件RAS检测率(任意时点)</t>
        </is>
      </c>
      <c r="AM1" s="46" t="inlineStr">
        <is>
          <t>检测计数差额（应为0）</t>
        </is>
      </c>
      <c r="AN1" s="46" t="inlineStr">
        <is>
          <t>结局计数差额（应为0）</t>
        </is>
      </c>
      <c r="AO1" s="46" t="inlineStr">
        <is>
          <t>Hardware RAS检测（任意时点）</t>
        </is>
      </c>
      <c r="AP1" s="46" t="inlineStr">
        <is>
          <t>Simulator failure</t>
        </is>
      </c>
      <c r="AQ1" s="46" t="inlineStr">
        <is>
          <t>故障表现形式/子模型</t>
        </is>
      </c>
      <c r="AR1" s="46" t="inlineStr">
        <is>
          <t>Eligible</t>
        </is>
      </c>
      <c r="AS1" s="46" t="inlineStr">
        <is>
          <t>合法目标出现率</t>
        </is>
      </c>
      <c r="AT1" s="46" t="inlineStr">
        <is>
          <t>Pilot activated目标</t>
        </is>
      </c>
      <c r="AU1" s="46" t="inlineStr">
        <is>
          <t>正式activated总目标</t>
        </is>
      </c>
      <c r="AV1" s="46" t="inlineStr">
        <is>
          <t>样本量层级</t>
        </is>
      </c>
      <c r="AW1" s="46" t="inlineStr">
        <is>
          <t>样本量备注</t>
        </is>
      </c>
    </row>
    <row r="2" ht="94.15000000000001" customHeight="1" s="58">
      <c r="A2" s="21" t="inlineStr">
        <is>
          <t>A01-F0-W3</t>
        </is>
      </c>
      <c r="B2" s="21" t="inlineStr">
        <is>
          <t>A01</t>
        </is>
      </c>
      <c r="C2" s="21" t="inlineStr">
        <is>
          <t>AGU</t>
        </is>
      </c>
      <c r="D2" s="22" t="inlineStr">
        <is>
          <t>AGU 计算完成后的有效地址（EA）流水寄存器。它位于 base/index/offset 运算之后、L1 d-TLB 地址翻译之前，保存本条 load/store 将要访问的虚拟地址；此处出错会沿 d-TLB、L1D 和最终 load/store 结果继续传播。</t>
        </is>
      </c>
      <c r="E2" s="22" t="inlineStr">
        <is>
          <t>单比特翻转</t>
        </is>
      </c>
      <c r="F2"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2" s="22" t="inlineStr">
        <is>
          <t>F0</t>
        </is>
      </c>
      <c r="H2" s="22" t="inlineStr">
        <is>
          <t>每次运行只注入 1 次；在 warm-up 后的 eligible event 中均匀抽样</t>
        </is>
      </c>
      <c r="I2" s="22" t="inlineStr">
        <is>
          <t>AGU-AddrModes AArch64 寻址模式探针（base+imm、base+index、扩展/移位、pre/post-index、LDP/STP）</t>
        </is>
      </c>
      <c r="J2" s="22" t="inlineStr">
        <is>
          <t>AGU-AddrModes AArch64 寻址模式探针（base+imm、base+index、扩展/移位、pre/post-index、LDP/STP）
执行定义与 oracle：覆盖 base+imm、base+index、LSL、UXTW/SXTW、pre/post-index、LDP/STP、非对齐和页边界；每地址附软件 oracle</t>
        </is>
      </c>
      <c r="K2" s="22" t="inlineStr">
        <is>
          <t>任一已完成地址生成</t>
        </is>
      </c>
      <c r="L2"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2" s="22" t="inlineStr">
        <is>
          <t>高位翻转多为异常/Crash；低位在合法对象内时易形成错误元素访问并产生SDC</t>
        </is>
      </c>
      <c r="N2" s="22" t="inlineStr">
        <is>
          <t>覆盖最基本瞬态；分层采样避免高位地址异常掩盖低位静默路径</t>
        </is>
      </c>
      <c r="O2" s="22" t="inlineStr">
        <is>
          <t>无直接AGU注入；仅同机制类比DTLB地址错误</t>
        </is>
      </c>
      <c r="P2" s="23" t="n"/>
      <c r="Q2" s="23" t="n"/>
      <c r="R2" s="23" t="n"/>
      <c r="S2" s="23" t="n"/>
      <c r="T2" s="23" t="n"/>
      <c r="U2" s="23" t="n"/>
      <c r="V2" s="23" t="n"/>
      <c r="W2" s="23" t="n"/>
      <c r="X2" s="35">
        <f>IF(OR(R2="",R2-AP2&lt;=0),"",AB2/(R2-AP2))</f>
        <v/>
      </c>
      <c r="Y2" s="35">
        <f>IF(OR(AR2="",AR2=0),"",R2/AR2)</f>
        <v/>
      </c>
      <c r="Z2" s="24" t="inlineStr">
        <is>
          <t>待执行</t>
        </is>
      </c>
      <c r="AA2" s="23" t="n"/>
      <c r="AB2" s="38" t="n"/>
      <c r="AC2" s="38" t="n"/>
      <c r="AD2" s="38" t="n"/>
      <c r="AE2" s="38" t="n"/>
      <c r="AF2" s="38" t="n"/>
      <c r="AG2" s="38" t="n"/>
      <c r="AH2" s="38" t="n"/>
      <c r="AI2" s="38" t="n"/>
      <c r="AJ2" s="38" t="n"/>
      <c r="AK2" s="39" t="n"/>
      <c r="AL2" s="40">
        <f>IF(OR(R2="",R2-AP2&lt;=0),"",AO2/(R2-AP2))</f>
        <v/>
      </c>
      <c r="AM2" s="41">
        <f>IF(R2="","",SUM(AC2:AF2)-(R2-AP2))</f>
        <v/>
      </c>
      <c r="AN2" s="41">
        <f>IF(R2="","",SUM(S2:W2)+AP2-R2)</f>
        <v/>
      </c>
      <c r="AO2" s="42" t="n"/>
      <c r="AP2" s="43" t="n"/>
      <c r="AQ2" s="47" t="inlineStr">
        <is>
          <t>A01-a EA低位单bit；A01-b EA中位单bit；A01-c EA高位单bit</t>
        </is>
      </c>
      <c r="AR2" s="23" t="n"/>
      <c r="AS2" s="35">
        <f>IF(OR(Q2="",Q2=0),"",AR2/Q2)</f>
        <v/>
      </c>
      <c r="AT2" s="62" t="n">
        <v>30</v>
      </c>
      <c r="AU2" s="62" t="n">
        <v>2401</v>
      </c>
      <c r="AV2" s="62" t="inlineStr">
        <is>
          <t>重点（预登记21项）</t>
        </is>
      </c>
      <c r="AW2" s="62" t="inlineStr">
        <is>
          <t>累计到2401（含前385）</t>
        </is>
      </c>
    </row>
    <row r="3" ht="94.15000000000001" customHeight="1" s="58">
      <c r="A3" s="21" t="inlineStr">
        <is>
          <t>A01-F0-W9</t>
        </is>
      </c>
      <c r="B3" s="21" t="inlineStr">
        <is>
          <t>A01</t>
        </is>
      </c>
      <c r="C3" s="21" t="inlineStr">
        <is>
          <t>AGU</t>
        </is>
      </c>
      <c r="D3" s="22" t="inlineStr">
        <is>
          <t>AGU 计算完成后的有效地址（EA）流水寄存器。它位于 base/index/offset 运算之后、L1 d-TLB 地址翻译之前，保存本条 load/store 将要访问的虚拟地址；此处出错会沿 d-TLB、L1D 和最终 load/store 结果继续传播。</t>
        </is>
      </c>
      <c r="E3" s="22" t="inlineStr">
        <is>
          <t>单比特翻转</t>
        </is>
      </c>
      <c r="F3"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3" s="22" t="inlineStr">
        <is>
          <t>F0</t>
        </is>
      </c>
      <c r="H3" s="22" t="inlineStr">
        <is>
          <t>每次运行只注入 1 次；在 warm-up 后的 eligible event 中均匀抽样</t>
        </is>
      </c>
      <c r="I3" s="22" t="inlineStr">
        <is>
          <t>GAP/Graph500 子集（BFS、SSSP、PageRank，固定图与结果哈希）</t>
        </is>
      </c>
      <c r="J3" s="22" t="inlineStr">
        <is>
          <t>GAP/Graph500 子集（BFS、SSSP、PageRank，固定图与结果哈希）
执行定义与 oracle：BFS/SSSP/PR，使用固定图与结果哈希；强调不规则地址和大 working set</t>
        </is>
      </c>
      <c r="K3" s="22" t="inlineStr">
        <is>
          <t>任一已完成地址生成</t>
        </is>
      </c>
      <c r="L3"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3" s="22" t="inlineStr">
        <is>
          <t>高位翻转多为异常/Crash；低位在合法对象内时易形成错误元素访问并产生SDC</t>
        </is>
      </c>
      <c r="N3" s="22" t="inlineStr">
        <is>
          <t>覆盖最基本瞬态；分层采样避免高位地址异常掩盖低位静默路径</t>
        </is>
      </c>
      <c r="O3" s="22" t="inlineStr">
        <is>
          <t>无直接AGU注入；仅同机制类比DTLB地址错误</t>
        </is>
      </c>
      <c r="P3" s="23" t="n"/>
      <c r="Q3" s="23" t="n"/>
      <c r="R3" s="23" t="n"/>
      <c r="S3" s="23" t="n"/>
      <c r="T3" s="23" t="n"/>
      <c r="U3" s="23" t="n"/>
      <c r="V3" s="23" t="n"/>
      <c r="W3" s="23" t="n"/>
      <c r="X3" s="35">
        <f>IF(OR(R3="",R3-AP3&lt;=0),"",AB3/(R3-AP3))</f>
        <v/>
      </c>
      <c r="Y3" s="35">
        <f>IF(OR(AR3="",AR3=0),"",R3/AR3)</f>
        <v/>
      </c>
      <c r="Z3" s="24" t="inlineStr">
        <is>
          <t>待执行</t>
        </is>
      </c>
      <c r="AA3" s="23" t="n"/>
      <c r="AB3" s="38" t="n"/>
      <c r="AC3" s="38" t="n"/>
      <c r="AD3" s="38" t="n"/>
      <c r="AE3" s="38" t="n"/>
      <c r="AF3" s="38" t="n"/>
      <c r="AG3" s="38" t="n"/>
      <c r="AH3" s="38" t="n"/>
      <c r="AI3" s="38" t="n"/>
      <c r="AJ3" s="38" t="n"/>
      <c r="AK3" s="39" t="n"/>
      <c r="AL3" s="40">
        <f>IF(OR(R3="",R3-AP3&lt;=0),"",AO3/(R3-AP3))</f>
        <v/>
      </c>
      <c r="AM3" s="41">
        <f>IF(R3="","",SUM(AC3:AF3)-(R3-AP3))</f>
        <v/>
      </c>
      <c r="AN3" s="41">
        <f>IF(R3="","",SUM(S3:W3)+AP3-R3)</f>
        <v/>
      </c>
      <c r="AO3" s="44" t="n"/>
      <c r="AP3" s="45" t="n"/>
      <c r="AQ3" s="47" t="inlineStr">
        <is>
          <t>A01-a EA低位单bit；A01-b EA中位单bit；A01-c EA高位单bit</t>
        </is>
      </c>
      <c r="AR3" s="23" t="n"/>
      <c r="AS3" s="35">
        <f>IF(OR(Q3="",Q3=0),"",AR3/Q3)</f>
        <v/>
      </c>
      <c r="AT3" s="62" t="n">
        <v>30</v>
      </c>
      <c r="AU3" s="62" t="n">
        <v>385</v>
      </c>
      <c r="AV3" s="62" t="inlineStr">
        <is>
          <t>常规</t>
        </is>
      </c>
      <c r="AW3" s="62" t="inlineStr">
        <is>
          <t>累计至少385，不机械扩展到2401</t>
        </is>
      </c>
    </row>
    <row r="4" ht="94.15000000000001" customHeight="1" s="58">
      <c r="A4" s="21" t="inlineStr">
        <is>
          <t>A01-F1-W3</t>
        </is>
      </c>
      <c r="B4" s="21" t="inlineStr">
        <is>
          <t>A01</t>
        </is>
      </c>
      <c r="C4" s="21" t="inlineStr">
        <is>
          <t>AGU</t>
        </is>
      </c>
      <c r="D4" s="22" t="inlineStr">
        <is>
          <t>AGU 计算完成后的有效地址（EA）流水寄存器。它位于 base/index/offset 运算之后、L1 d-TLB 地址翻译之前，保存本条 load/store 将要访问的虚拟地址；此处出错会沿 d-TLB、L1D 和最终 load/store 结果继续传播。</t>
        </is>
      </c>
      <c r="E4" s="22" t="inlineStr">
        <is>
          <t>单比特翻转</t>
        </is>
      </c>
      <c r="F4"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4" s="22" t="inlineStr">
        <is>
          <t>F1</t>
        </is>
      </c>
      <c r="H4" s="22" t="inlineStr">
        <is>
          <t>平均每 1,000,000 个 eligible events 注入 1 次，间隔加入 ±50% 抖动</t>
        </is>
      </c>
      <c r="I4" s="22" t="inlineStr">
        <is>
          <t>AGU-AddrModes AArch64 寻址模式探针（base+imm、base+index、扩展/移位、pre/post-index、LDP/STP）</t>
        </is>
      </c>
      <c r="J4" s="22" t="inlineStr">
        <is>
          <t>AGU-AddrModes AArch64 寻址模式探针（base+imm、base+index、扩展/移位、pre/post-index、LDP/STP）
执行定义与 oracle：覆盖 base+imm、base+index、LSL、UXTW/SXTW、pre/post-index、LDP/STP、非对齐和页边界；每地址附软件 oracle</t>
        </is>
      </c>
      <c r="K4" s="22" t="inlineStr">
        <is>
          <t>任一已完成地址生成</t>
        </is>
      </c>
      <c r="L4"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4" s="22" t="inlineStr">
        <is>
          <t>高位翻转多为异常/Crash；低位在合法对象内时易形成错误元素访问并产生SDC</t>
        </is>
      </c>
      <c r="N4" s="22" t="inlineStr">
        <is>
          <t>覆盖最基本瞬态；分层采样避免高位地址异常掩盖低位静默路径</t>
        </is>
      </c>
      <c r="O4" s="22" t="inlineStr">
        <is>
          <t>无直接AGU注入；仅同机制类比DTLB地址错误</t>
        </is>
      </c>
      <c r="P4" s="23" t="n"/>
      <c r="Q4" s="23" t="n"/>
      <c r="R4" s="23" t="n"/>
      <c r="S4" s="23" t="n"/>
      <c r="T4" s="23" t="n"/>
      <c r="U4" s="23" t="n"/>
      <c r="V4" s="23" t="n"/>
      <c r="W4" s="23" t="n"/>
      <c r="X4" s="35">
        <f>IF(OR(R4="",R4-AP4&lt;=0),"",AB4/(R4-AP4))</f>
        <v/>
      </c>
      <c r="Y4" s="35">
        <f>IF(OR(AR4="",AR4=0),"",R4/AR4)</f>
        <v/>
      </c>
      <c r="Z4" s="24" t="inlineStr">
        <is>
          <t>待执行</t>
        </is>
      </c>
      <c r="AA4" s="23" t="n"/>
      <c r="AB4" s="38" t="n"/>
      <c r="AC4" s="38" t="n"/>
      <c r="AD4" s="38" t="n"/>
      <c r="AE4" s="38" t="n"/>
      <c r="AF4" s="38" t="n"/>
      <c r="AG4" s="38" t="n"/>
      <c r="AH4" s="38" t="n"/>
      <c r="AI4" s="38" t="n"/>
      <c r="AJ4" s="38" t="n"/>
      <c r="AK4" s="39" t="n"/>
      <c r="AL4" s="40">
        <f>IF(OR(R4="",R4-AP4&lt;=0),"",AO4/(R4-AP4))</f>
        <v/>
      </c>
      <c r="AM4" s="41">
        <f>IF(R4="","",SUM(AC4:AF4)-(R4-AP4))</f>
        <v/>
      </c>
      <c r="AN4" s="41">
        <f>IF(R4="","",SUM(S4:W4)+AP4-R4)</f>
        <v/>
      </c>
      <c r="AO4" s="44" t="n"/>
      <c r="AP4" s="45" t="n"/>
      <c r="AQ4" s="47" t="inlineStr">
        <is>
          <t>A01-a EA低位单bit；A01-b EA中位单bit；A01-c EA高位单bit</t>
        </is>
      </c>
      <c r="AR4" s="23" t="n"/>
      <c r="AS4" s="35">
        <f>IF(OR(Q4="",Q4=0),"",AR4/Q4)</f>
        <v/>
      </c>
      <c r="AT4" s="62" t="n">
        <v>30</v>
      </c>
      <c r="AU4" s="62" t="n">
        <v>385</v>
      </c>
      <c r="AV4" s="62" t="inlineStr">
        <is>
          <t>常规</t>
        </is>
      </c>
      <c r="AW4" s="62" t="inlineStr">
        <is>
          <t>累计至少385，不机械扩展到2401</t>
        </is>
      </c>
    </row>
    <row r="5" ht="94.15000000000001" customHeight="1" s="58">
      <c r="A5" s="21" t="inlineStr">
        <is>
          <t>A01-F1-W9</t>
        </is>
      </c>
      <c r="B5" s="21" t="inlineStr">
        <is>
          <t>A01</t>
        </is>
      </c>
      <c r="C5" s="21" t="inlineStr">
        <is>
          <t>AGU</t>
        </is>
      </c>
      <c r="D5" s="22" t="inlineStr">
        <is>
          <t>AGU 计算完成后的有效地址（EA）流水寄存器。它位于 base/index/offset 运算之后、L1 d-TLB 地址翻译之前，保存本条 load/store 将要访问的虚拟地址；此处出错会沿 d-TLB、L1D 和最终 load/store 结果继续传播。</t>
        </is>
      </c>
      <c r="E5" s="22" t="inlineStr">
        <is>
          <t>单比特翻转</t>
        </is>
      </c>
      <c r="F5"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5" s="22" t="inlineStr">
        <is>
          <t>F1</t>
        </is>
      </c>
      <c r="H5" s="22" t="inlineStr">
        <is>
          <t>平均每 1,000,000 个 eligible events 注入 1 次，间隔加入 ±50% 抖动</t>
        </is>
      </c>
      <c r="I5" s="22" t="inlineStr">
        <is>
          <t>GAP/Graph500 子集（BFS、SSSP、PageRank，固定图与结果哈希）</t>
        </is>
      </c>
      <c r="J5" s="22" t="inlineStr">
        <is>
          <t>GAP/Graph500 子集（BFS、SSSP、PageRank，固定图与结果哈希）
执行定义与 oracle：BFS/SSSP/PR，使用固定图与结果哈希；强调不规则地址和大 working set</t>
        </is>
      </c>
      <c r="K5" s="22" t="inlineStr">
        <is>
          <t>任一已完成地址生成</t>
        </is>
      </c>
      <c r="L5"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5" s="22" t="inlineStr">
        <is>
          <t>高位翻转多为异常/Crash；低位在合法对象内时易形成错误元素访问并产生SDC</t>
        </is>
      </c>
      <c r="N5" s="22" t="inlineStr">
        <is>
          <t>覆盖最基本瞬态；分层采样避免高位地址异常掩盖低位静默路径</t>
        </is>
      </c>
      <c r="O5" s="22" t="inlineStr">
        <is>
          <t>无直接AGU注入；仅同机制类比DTLB地址错误</t>
        </is>
      </c>
      <c r="P5" s="23" t="n"/>
      <c r="Q5" s="23" t="n"/>
      <c r="R5" s="23" t="n"/>
      <c r="S5" s="23" t="n"/>
      <c r="T5" s="23" t="n"/>
      <c r="U5" s="23" t="n"/>
      <c r="V5" s="23" t="n"/>
      <c r="W5" s="23" t="n"/>
      <c r="X5" s="35">
        <f>IF(OR(R5="",R5-AP5&lt;=0),"",AB5/(R5-AP5))</f>
        <v/>
      </c>
      <c r="Y5" s="35">
        <f>IF(OR(AR5="",AR5=0),"",R5/AR5)</f>
        <v/>
      </c>
      <c r="Z5" s="24" t="inlineStr">
        <is>
          <t>待执行</t>
        </is>
      </c>
      <c r="AA5" s="23" t="n"/>
      <c r="AB5" s="38" t="n"/>
      <c r="AC5" s="38" t="n"/>
      <c r="AD5" s="38" t="n"/>
      <c r="AE5" s="38" t="n"/>
      <c r="AF5" s="38" t="n"/>
      <c r="AG5" s="38" t="n"/>
      <c r="AH5" s="38" t="n"/>
      <c r="AI5" s="38" t="n"/>
      <c r="AJ5" s="38" t="n"/>
      <c r="AK5" s="39" t="n"/>
      <c r="AL5" s="40">
        <f>IF(OR(R5="",R5-AP5&lt;=0),"",AO5/(R5-AP5))</f>
        <v/>
      </c>
      <c r="AM5" s="41">
        <f>IF(R5="","",SUM(AC5:AF5)-(R5-AP5))</f>
        <v/>
      </c>
      <c r="AN5" s="41">
        <f>IF(R5="","",SUM(S5:W5)+AP5-R5)</f>
        <v/>
      </c>
      <c r="AO5" s="44" t="n"/>
      <c r="AP5" s="45" t="n"/>
      <c r="AQ5" s="47" t="inlineStr">
        <is>
          <t>A01-a EA低位单bit；A01-b EA中位单bit；A01-c EA高位单bit</t>
        </is>
      </c>
      <c r="AR5" s="23" t="n"/>
      <c r="AS5" s="35">
        <f>IF(OR(Q5="",Q5=0),"",AR5/Q5)</f>
        <v/>
      </c>
      <c r="AT5" s="62" t="n">
        <v>30</v>
      </c>
      <c r="AU5" s="62" t="n">
        <v>385</v>
      </c>
      <c r="AV5" s="62" t="inlineStr">
        <is>
          <t>常规</t>
        </is>
      </c>
      <c r="AW5" s="62" t="inlineStr">
        <is>
          <t>累计至少385，不机械扩展到2401</t>
        </is>
      </c>
    </row>
    <row r="6" ht="94.15000000000001" customHeight="1" s="58">
      <c r="A6" s="21" t="inlineStr">
        <is>
          <t>A01-F2-W3</t>
        </is>
      </c>
      <c r="B6" s="21" t="inlineStr">
        <is>
          <t>A01</t>
        </is>
      </c>
      <c r="C6" s="21" t="inlineStr">
        <is>
          <t>AGU</t>
        </is>
      </c>
      <c r="D6" s="22" t="inlineStr">
        <is>
          <t>AGU 计算完成后的有效地址（EA）流水寄存器。它位于 base/index/offset 运算之后、L1 d-TLB 地址翻译之前，保存本条 load/store 将要访问的虚拟地址；此处出错会沿 d-TLB、L1D 和最终 load/store 结果继续传播。</t>
        </is>
      </c>
      <c r="E6" s="22" t="inlineStr">
        <is>
          <t>单比特翻转</t>
        </is>
      </c>
      <c r="F6"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6" s="22" t="inlineStr">
        <is>
          <t>F2</t>
        </is>
      </c>
      <c r="H6" s="22" t="inlineStr">
        <is>
          <t>平均每 100,000 个 eligible events 注入 1 次，间隔加入 ±50% 抖动</t>
        </is>
      </c>
      <c r="I6" s="22" t="inlineStr">
        <is>
          <t>AGU-AddrModes AArch64 寻址模式探针（base+imm、base+index、扩展/移位、pre/post-index、LDP/STP）</t>
        </is>
      </c>
      <c r="J6" s="22" t="inlineStr">
        <is>
          <t>AGU-AddrModes AArch64 寻址模式探针（base+imm、base+index、扩展/移位、pre/post-index、LDP/STP）
执行定义与 oracle：覆盖 base+imm、base+index、LSL、UXTW/SXTW、pre/post-index、LDP/STP、非对齐和页边界；每地址附软件 oracle</t>
        </is>
      </c>
      <c r="K6" s="22" t="inlineStr">
        <is>
          <t>任一已完成地址生成</t>
        </is>
      </c>
      <c r="L6"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6" s="22" t="inlineStr">
        <is>
          <t>高位翻转多为异常/Crash；低位在合法对象内时易形成错误元素访问并产生SDC</t>
        </is>
      </c>
      <c r="N6" s="22" t="inlineStr">
        <is>
          <t>覆盖最基本瞬态；分层采样避免高位地址异常掩盖低位静默路径</t>
        </is>
      </c>
      <c r="O6" s="22" t="inlineStr">
        <is>
          <t>无直接AGU注入；仅同机制类比DTLB地址错误</t>
        </is>
      </c>
      <c r="P6" s="23" t="n"/>
      <c r="Q6" s="23" t="n"/>
      <c r="R6" s="23" t="n"/>
      <c r="S6" s="23" t="n"/>
      <c r="T6" s="23" t="n"/>
      <c r="U6" s="23" t="n"/>
      <c r="V6" s="23" t="n"/>
      <c r="W6" s="23" t="n"/>
      <c r="X6" s="35">
        <f>IF(OR(R6="",R6-AP6&lt;=0),"",AB6/(R6-AP6))</f>
        <v/>
      </c>
      <c r="Y6" s="35">
        <f>IF(OR(AR6="",AR6=0),"",R6/AR6)</f>
        <v/>
      </c>
      <c r="Z6" s="24" t="inlineStr">
        <is>
          <t>待执行</t>
        </is>
      </c>
      <c r="AA6" s="23" t="n"/>
      <c r="AB6" s="38" t="n"/>
      <c r="AC6" s="38" t="n"/>
      <c r="AD6" s="38" t="n"/>
      <c r="AE6" s="38" t="n"/>
      <c r="AF6" s="38" t="n"/>
      <c r="AG6" s="38" t="n"/>
      <c r="AH6" s="38" t="n"/>
      <c r="AI6" s="38" t="n"/>
      <c r="AJ6" s="38" t="n"/>
      <c r="AK6" s="39" t="n"/>
      <c r="AL6" s="40">
        <f>IF(OR(R6="",R6-AP6&lt;=0),"",AO6/(R6-AP6))</f>
        <v/>
      </c>
      <c r="AM6" s="41">
        <f>IF(R6="","",SUM(AC6:AF6)-(R6-AP6))</f>
        <v/>
      </c>
      <c r="AN6" s="41">
        <f>IF(R6="","",SUM(S6:W6)+AP6-R6)</f>
        <v/>
      </c>
      <c r="AO6" s="44" t="n"/>
      <c r="AP6" s="45" t="n"/>
      <c r="AQ6" s="47" t="inlineStr">
        <is>
          <t>A01-a EA低位单bit；A01-b EA中位单bit；A01-c EA高位单bit</t>
        </is>
      </c>
      <c r="AR6" s="23" t="n"/>
      <c r="AS6" s="35">
        <f>IF(OR(Q6="",Q6=0),"",AR6/Q6)</f>
        <v/>
      </c>
      <c r="AT6" s="62" t="n">
        <v>30</v>
      </c>
      <c r="AU6" s="62" t="n">
        <v>385</v>
      </c>
      <c r="AV6" s="62" t="inlineStr">
        <is>
          <t>常规</t>
        </is>
      </c>
      <c r="AW6" s="62" t="inlineStr">
        <is>
          <t>累计至少385，不机械扩展到2401</t>
        </is>
      </c>
    </row>
    <row r="7" ht="94.15000000000001" customHeight="1" s="58">
      <c r="A7" s="21" t="inlineStr">
        <is>
          <t>A01-F2-W9</t>
        </is>
      </c>
      <c r="B7" s="21" t="inlineStr">
        <is>
          <t>A01</t>
        </is>
      </c>
      <c r="C7" s="21" t="inlineStr">
        <is>
          <t>AGU</t>
        </is>
      </c>
      <c r="D7" s="22" t="inlineStr">
        <is>
          <t>AGU 计算完成后的有效地址（EA）流水寄存器。它位于 base/index/offset 运算之后、L1 d-TLB 地址翻译之前，保存本条 load/store 将要访问的虚拟地址；此处出错会沿 d-TLB、L1D 和最终 load/store 结果继续传播。</t>
        </is>
      </c>
      <c r="E7" s="22" t="inlineStr">
        <is>
          <t>单比特翻转</t>
        </is>
      </c>
      <c r="F7"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7" s="22" t="inlineStr">
        <is>
          <t>F2</t>
        </is>
      </c>
      <c r="H7" s="22" t="inlineStr">
        <is>
          <t>平均每 100,000 个 eligible events 注入 1 次，间隔加入 ±50% 抖动</t>
        </is>
      </c>
      <c r="I7" s="22" t="inlineStr">
        <is>
          <t>GAP/Graph500 子集（BFS、SSSP、PageRank，固定图与结果哈希）</t>
        </is>
      </c>
      <c r="J7" s="22" t="inlineStr">
        <is>
          <t>GAP/Graph500 子集（BFS、SSSP、PageRank，固定图与结果哈希）
执行定义与 oracle：BFS/SSSP/PR，使用固定图与结果哈希；强调不规则地址和大 working set</t>
        </is>
      </c>
      <c r="K7" s="22" t="inlineStr">
        <is>
          <t>任一已完成地址生成</t>
        </is>
      </c>
      <c r="L7"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7" s="22" t="inlineStr">
        <is>
          <t>高位翻转多为异常/Crash；低位在合法对象内时易形成错误元素访问并产生SDC</t>
        </is>
      </c>
      <c r="N7" s="22" t="inlineStr">
        <is>
          <t>覆盖最基本瞬态；分层采样避免高位地址异常掩盖低位静默路径</t>
        </is>
      </c>
      <c r="O7" s="22" t="inlineStr">
        <is>
          <t>无直接AGU注入；仅同机制类比DTLB地址错误</t>
        </is>
      </c>
      <c r="P7" s="23" t="n"/>
      <c r="Q7" s="23" t="n"/>
      <c r="R7" s="23" t="n"/>
      <c r="S7" s="23" t="n"/>
      <c r="T7" s="23" t="n"/>
      <c r="U7" s="23" t="n"/>
      <c r="V7" s="23" t="n"/>
      <c r="W7" s="23" t="n"/>
      <c r="X7" s="35">
        <f>IF(OR(R7="",R7-AP7&lt;=0),"",AB7/(R7-AP7))</f>
        <v/>
      </c>
      <c r="Y7" s="35">
        <f>IF(OR(AR7="",AR7=0),"",R7/AR7)</f>
        <v/>
      </c>
      <c r="Z7" s="24" t="inlineStr">
        <is>
          <t>待执行</t>
        </is>
      </c>
      <c r="AA7" s="23" t="n"/>
      <c r="AB7" s="38" t="n"/>
      <c r="AC7" s="38" t="n"/>
      <c r="AD7" s="38" t="n"/>
      <c r="AE7" s="38" t="n"/>
      <c r="AF7" s="38" t="n"/>
      <c r="AG7" s="38" t="n"/>
      <c r="AH7" s="38" t="n"/>
      <c r="AI7" s="38" t="n"/>
      <c r="AJ7" s="38" t="n"/>
      <c r="AK7" s="39" t="n"/>
      <c r="AL7" s="40">
        <f>IF(OR(R7="",R7-AP7&lt;=0),"",AO7/(R7-AP7))</f>
        <v/>
      </c>
      <c r="AM7" s="41">
        <f>IF(R7="","",SUM(AC7:AF7)-(R7-AP7))</f>
        <v/>
      </c>
      <c r="AN7" s="41">
        <f>IF(R7="","",SUM(S7:W7)+AP7-R7)</f>
        <v/>
      </c>
      <c r="AO7" s="44" t="n"/>
      <c r="AP7" s="45" t="n"/>
      <c r="AQ7" s="47" t="inlineStr">
        <is>
          <t>A01-a EA低位单bit；A01-b EA中位单bit；A01-c EA高位单bit</t>
        </is>
      </c>
      <c r="AR7" s="23" t="n"/>
      <c r="AS7" s="35">
        <f>IF(OR(Q7="",Q7=0),"",AR7/Q7)</f>
        <v/>
      </c>
      <c r="AT7" s="62" t="n">
        <v>30</v>
      </c>
      <c r="AU7" s="62" t="n">
        <v>385</v>
      </c>
      <c r="AV7" s="62" t="inlineStr">
        <is>
          <t>常规</t>
        </is>
      </c>
      <c r="AW7" s="62" t="inlineStr">
        <is>
          <t>累计至少385，不机械扩展到2401</t>
        </is>
      </c>
    </row>
    <row r="8" ht="94.15000000000001" customHeight="1" s="58">
      <c r="A8" s="21" t="inlineStr">
        <is>
          <t>A02-F0-W3</t>
        </is>
      </c>
      <c r="B8" s="21" t="inlineStr">
        <is>
          <t>A02</t>
        </is>
      </c>
      <c r="C8" s="21" t="inlineStr">
        <is>
          <t>AGU</t>
        </is>
      </c>
      <c r="D8" s="22" t="inlineStr">
        <is>
          <t>AGU 计算完成后的有效地址（EA）流水寄存器。它位于地址加法/移位逻辑的出口、L1 d-TLB 的入口；双比特模型仍只作用于这一条地址，不同时破坏访问大小或请求类型。</t>
        </is>
      </c>
      <c r="E8" s="22" t="inlineStr">
        <is>
          <t>双比特翻转</t>
        </is>
      </c>
      <c r="F8"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8" s="22" t="inlineStr">
        <is>
          <t>F0</t>
        </is>
      </c>
      <c r="H8" s="22" t="inlineStr">
        <is>
          <t>每次运行只注入 1 次；在 warm-up 后的 eligible event 中均匀抽样</t>
        </is>
      </c>
      <c r="I8" s="22" t="inlineStr">
        <is>
          <t>AGU-AddrModes AArch64 寻址模式探针（base+imm、base+index、扩展/移位、pre/post-index、LDP/STP）</t>
        </is>
      </c>
      <c r="J8" s="22" t="inlineStr">
        <is>
          <t>AGU-AddrModes AArch64 寻址模式探针（base+imm、base+index、扩展/移位、pre/post-index、LDP/STP）
执行定义与 oracle：覆盖 base+imm、base+index、LSL、UXTW/SXTW、pre/post-index、LDP/STP、非对齐和页边界；每地址附软件 oracle</t>
        </is>
      </c>
      <c r="K8" s="22" t="inlineStr">
        <is>
          <t>任一已完成地址生成</t>
        </is>
      </c>
      <c r="L8" s="22" t="inlineStr">
        <is>
          <t>L0 eligible/activated；L1 正确EA与故障EA、base/index/extend/shift、size/byte-enable；L2 TLB输入VA与cache request；L3 load返回/store落点；L4 commit首分歧；L5检测层级、控制情况与最终结局；记录两bit距离、对齐状态、页/对象越界</t>
        </is>
      </c>
      <c r="M8" s="22" t="inlineStr">
        <is>
          <t>相邻低位可能形成稳定错位；含高位时Crash上升；与A01比较SDC/Crash极化</t>
        </is>
      </c>
      <c r="N8" s="22" t="inlineStr">
        <is>
          <t>显式覆盖MBU并区分物理邻近与逻辑分散</t>
        </is>
      </c>
      <c r="O8" s="22" t="inlineStr">
        <is>
          <t>CHAOS多比特结果作规律性类比</t>
        </is>
      </c>
      <c r="P8" s="23" t="n"/>
      <c r="Q8" s="23" t="n"/>
      <c r="R8" s="23" t="n"/>
      <c r="S8" s="23" t="n"/>
      <c r="T8" s="23" t="n"/>
      <c r="U8" s="23" t="n"/>
      <c r="V8" s="23" t="n"/>
      <c r="W8" s="23" t="n"/>
      <c r="X8" s="35">
        <f>IF(OR(R8="",R8-AP8&lt;=0),"",AB8/(R8-AP8))</f>
        <v/>
      </c>
      <c r="Y8" s="35">
        <f>IF(OR(AR8="",AR8=0),"",R8/AR8)</f>
        <v/>
      </c>
      <c r="Z8" s="24" t="inlineStr">
        <is>
          <t>待执行</t>
        </is>
      </c>
      <c r="AA8" s="23" t="n"/>
      <c r="AB8" s="38" t="n"/>
      <c r="AC8" s="38" t="n"/>
      <c r="AD8" s="38" t="n"/>
      <c r="AE8" s="38" t="n"/>
      <c r="AF8" s="38" t="n"/>
      <c r="AG8" s="38" t="n"/>
      <c r="AH8" s="38" t="n"/>
      <c r="AI8" s="38" t="n"/>
      <c r="AJ8" s="38" t="n"/>
      <c r="AK8" s="39" t="n"/>
      <c r="AL8" s="40">
        <f>IF(OR(R8="",R8-AP8&lt;=0),"",AO8/(R8-AP8))</f>
        <v/>
      </c>
      <c r="AM8" s="41">
        <f>IF(R8="","",SUM(AC8:AF8)-(R8-AP8))</f>
        <v/>
      </c>
      <c r="AN8" s="41">
        <f>IF(R8="","",SUM(S8:W8)+AP8-R8)</f>
        <v/>
      </c>
      <c r="AO8" s="44" t="n"/>
      <c r="AP8" s="45" t="n"/>
      <c r="AQ8" s="47" t="inlineStr">
        <is>
          <t>A02-a 同一EA相邻双bit；A02-b 同一EA非相邻双bit</t>
        </is>
      </c>
      <c r="AR8" s="23" t="n"/>
      <c r="AS8" s="35">
        <f>IF(OR(Q8="",Q8=0),"",AR8/Q8)</f>
        <v/>
      </c>
      <c r="AT8" s="62" t="n">
        <v>30</v>
      </c>
      <c r="AU8" s="62" t="n">
        <v>385</v>
      </c>
      <c r="AV8" s="62" t="inlineStr">
        <is>
          <t>常规</t>
        </is>
      </c>
      <c r="AW8" s="62" t="inlineStr">
        <is>
          <t>累计至少385，不机械扩展到2401</t>
        </is>
      </c>
    </row>
    <row r="9" ht="94.15000000000001" customHeight="1" s="58">
      <c r="A9" s="21" t="inlineStr">
        <is>
          <t>A02-F0-W9</t>
        </is>
      </c>
      <c r="B9" s="21" t="inlineStr">
        <is>
          <t>A02</t>
        </is>
      </c>
      <c r="C9" s="21" t="inlineStr">
        <is>
          <t>AGU</t>
        </is>
      </c>
      <c r="D9" s="22" t="inlineStr">
        <is>
          <t>AGU 计算完成后的有效地址（EA）流水寄存器。它位于地址加法/移位逻辑的出口、L1 d-TLB 的入口；双比特模型仍只作用于这一条地址，不同时破坏访问大小或请求类型。</t>
        </is>
      </c>
      <c r="E9" s="22" t="inlineStr">
        <is>
          <t>双比特翻转</t>
        </is>
      </c>
      <c r="F9"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9" s="22" t="inlineStr">
        <is>
          <t>F0</t>
        </is>
      </c>
      <c r="H9" s="22" t="inlineStr">
        <is>
          <t>每次运行只注入 1 次；在 warm-up 后的 eligible event 中均匀抽样</t>
        </is>
      </c>
      <c r="I9" s="22" t="inlineStr">
        <is>
          <t>GAP/Graph500 子集（BFS、SSSP、PageRank，固定图与结果哈希）</t>
        </is>
      </c>
      <c r="J9" s="22" t="inlineStr">
        <is>
          <t>GAP/Graph500 子集（BFS、SSSP、PageRank，固定图与结果哈希）
执行定义与 oracle：BFS/SSSP/PR，使用固定图与结果哈希；强调不规则地址和大 working set</t>
        </is>
      </c>
      <c r="K9" s="22" t="inlineStr">
        <is>
          <t>任一已完成地址生成</t>
        </is>
      </c>
      <c r="L9" s="22" t="inlineStr">
        <is>
          <t>L0 eligible/activated；L1 正确EA与故障EA、base/index/extend/shift、size/byte-enable；L2 TLB输入VA与cache request；L3 load返回/store落点；L4 commit首分歧；L5检测层级、控制情况与最终结局；记录两bit距离、对齐状态、页/对象越界</t>
        </is>
      </c>
      <c r="M9" s="22" t="inlineStr">
        <is>
          <t>相邻低位可能形成稳定错位；含高位时Crash上升；与A01比较SDC/Crash极化</t>
        </is>
      </c>
      <c r="N9" s="22" t="inlineStr">
        <is>
          <t>显式覆盖MBU并区分物理邻近与逻辑分散</t>
        </is>
      </c>
      <c r="O9" s="22" t="inlineStr">
        <is>
          <t>CHAOS多比特结果作规律性类比</t>
        </is>
      </c>
      <c r="P9" s="23" t="n"/>
      <c r="Q9" s="23" t="n"/>
      <c r="R9" s="23" t="n"/>
      <c r="S9" s="23" t="n"/>
      <c r="T9" s="23" t="n"/>
      <c r="U9" s="23" t="n"/>
      <c r="V9" s="23" t="n"/>
      <c r="W9" s="23" t="n"/>
      <c r="X9" s="35">
        <f>IF(OR(R9="",R9-AP9&lt;=0),"",AB9/(R9-AP9))</f>
        <v/>
      </c>
      <c r="Y9" s="35">
        <f>IF(OR(AR9="",AR9=0),"",R9/AR9)</f>
        <v/>
      </c>
      <c r="Z9" s="24" t="inlineStr">
        <is>
          <t>待执行</t>
        </is>
      </c>
      <c r="AA9" s="23" t="n"/>
      <c r="AB9" s="38" t="n"/>
      <c r="AC9" s="38" t="n"/>
      <c r="AD9" s="38" t="n"/>
      <c r="AE9" s="38" t="n"/>
      <c r="AF9" s="38" t="n"/>
      <c r="AG9" s="38" t="n"/>
      <c r="AH9" s="38" t="n"/>
      <c r="AI9" s="38" t="n"/>
      <c r="AJ9" s="38" t="n"/>
      <c r="AK9" s="39" t="n"/>
      <c r="AL9" s="40">
        <f>IF(OR(R9="",R9-AP9&lt;=0),"",AO9/(R9-AP9))</f>
        <v/>
      </c>
      <c r="AM9" s="41">
        <f>IF(R9="","",SUM(AC9:AF9)-(R9-AP9))</f>
        <v/>
      </c>
      <c r="AN9" s="41">
        <f>IF(R9="","",SUM(S9:W9)+AP9-R9)</f>
        <v/>
      </c>
      <c r="AO9" s="44" t="n"/>
      <c r="AP9" s="45" t="n"/>
      <c r="AQ9" s="47" t="inlineStr">
        <is>
          <t>A02-a 同一EA相邻双bit；A02-b 同一EA非相邻双bit</t>
        </is>
      </c>
      <c r="AR9" s="23" t="n"/>
      <c r="AS9" s="35">
        <f>IF(OR(Q9="",Q9=0),"",AR9/Q9)</f>
        <v/>
      </c>
      <c r="AT9" s="62" t="n">
        <v>30</v>
      </c>
      <c r="AU9" s="62" t="n">
        <v>385</v>
      </c>
      <c r="AV9" s="62" t="inlineStr">
        <is>
          <t>常规</t>
        </is>
      </c>
      <c r="AW9" s="62" t="inlineStr">
        <is>
          <t>累计至少385，不机械扩展到2401</t>
        </is>
      </c>
    </row>
    <row r="10" ht="94.15000000000001" customHeight="1" s="58">
      <c r="A10" s="21" t="inlineStr">
        <is>
          <t>A02-F2-W3</t>
        </is>
      </c>
      <c r="B10" s="21" t="inlineStr">
        <is>
          <t>A02</t>
        </is>
      </c>
      <c r="C10" s="21" t="inlineStr">
        <is>
          <t>AGU</t>
        </is>
      </c>
      <c r="D10" s="22" t="inlineStr">
        <is>
          <t>AGU 计算完成后的有效地址（EA）流水寄存器。它位于地址加法/移位逻辑的出口、L1 d-TLB 的入口；双比特模型仍只作用于这一条地址，不同时破坏访问大小或请求类型。</t>
        </is>
      </c>
      <c r="E10" s="22" t="inlineStr">
        <is>
          <t>双比特翻转</t>
        </is>
      </c>
      <c r="F10"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10" s="22" t="inlineStr">
        <is>
          <t>F2</t>
        </is>
      </c>
      <c r="H10" s="22" t="inlineStr">
        <is>
          <t>平均每 100,000 个 eligible events 注入 1 次，间隔加入 ±50% 抖动</t>
        </is>
      </c>
      <c r="I10" s="22" t="inlineStr">
        <is>
          <t>AGU-AddrModes AArch64 寻址模式探针（base+imm、base+index、扩展/移位、pre/post-index、LDP/STP）</t>
        </is>
      </c>
      <c r="J10" s="22" t="inlineStr">
        <is>
          <t>AGU-AddrModes AArch64 寻址模式探针（base+imm、base+index、扩展/移位、pre/post-index、LDP/STP）
执行定义与 oracle：覆盖 base+imm、base+index、LSL、UXTW/SXTW、pre/post-index、LDP/STP、非对齐和页边界；每地址附软件 oracle</t>
        </is>
      </c>
      <c r="K10" s="22" t="inlineStr">
        <is>
          <t>任一已完成地址生成</t>
        </is>
      </c>
      <c r="L10" s="22" t="inlineStr">
        <is>
          <t>L0 eligible/activated；L1 正确EA与故障EA、base/index/extend/shift、size/byte-enable；L2 TLB输入VA与cache request；L3 load返回/store落点；L4 commit首分歧；L5检测层级、控制情况与最终结局；记录两bit距离、对齐状态、页/对象越界</t>
        </is>
      </c>
      <c r="M10" s="22" t="inlineStr">
        <is>
          <t>相邻低位可能形成稳定错位；含高位时Crash上升；与A01比较SDC/Crash极化</t>
        </is>
      </c>
      <c r="N10" s="22" t="inlineStr">
        <is>
          <t>显式覆盖MBU并区分物理邻近与逻辑分散</t>
        </is>
      </c>
      <c r="O10" s="22" t="inlineStr">
        <is>
          <t>CHAOS多比特结果作规律性类比</t>
        </is>
      </c>
      <c r="P10" s="23" t="n"/>
      <c r="Q10" s="23" t="n"/>
      <c r="R10" s="23" t="n"/>
      <c r="S10" s="23" t="n"/>
      <c r="T10" s="23" t="n"/>
      <c r="U10" s="23" t="n"/>
      <c r="V10" s="23" t="n"/>
      <c r="W10" s="23" t="n"/>
      <c r="X10" s="35">
        <f>IF(OR(R10="",R10-AP10&lt;=0),"",AB10/(R10-AP10))</f>
        <v/>
      </c>
      <c r="Y10" s="35">
        <f>IF(OR(AR10="",AR10=0),"",R10/AR10)</f>
        <v/>
      </c>
      <c r="Z10" s="24" t="inlineStr">
        <is>
          <t>待执行</t>
        </is>
      </c>
      <c r="AA10" s="23" t="n"/>
      <c r="AB10" s="38" t="n"/>
      <c r="AC10" s="38" t="n"/>
      <c r="AD10" s="38" t="n"/>
      <c r="AE10" s="38" t="n"/>
      <c r="AF10" s="38" t="n"/>
      <c r="AG10" s="38" t="n"/>
      <c r="AH10" s="38" t="n"/>
      <c r="AI10" s="38" t="n"/>
      <c r="AJ10" s="38" t="n"/>
      <c r="AK10" s="39" t="n"/>
      <c r="AL10" s="40">
        <f>IF(OR(R10="",R10-AP10&lt;=0),"",AO10/(R10-AP10))</f>
        <v/>
      </c>
      <c r="AM10" s="41">
        <f>IF(R10="","",SUM(AC10:AF10)-(R10-AP10))</f>
        <v/>
      </c>
      <c r="AN10" s="41">
        <f>IF(R10="","",SUM(S10:W10)+AP10-R10)</f>
        <v/>
      </c>
      <c r="AO10" s="44" t="n"/>
      <c r="AP10" s="45" t="n"/>
      <c r="AQ10" s="47" t="inlineStr">
        <is>
          <t>A02-a 同一EA相邻双bit；A02-b 同一EA非相邻双bit</t>
        </is>
      </c>
      <c r="AR10" s="23" t="n"/>
      <c r="AS10" s="35">
        <f>IF(OR(Q10="",Q10=0),"",AR10/Q10)</f>
        <v/>
      </c>
      <c r="AT10" s="62" t="n">
        <v>30</v>
      </c>
      <c r="AU10" s="62" t="n">
        <v>385</v>
      </c>
      <c r="AV10" s="62" t="inlineStr">
        <is>
          <t>常规</t>
        </is>
      </c>
      <c r="AW10" s="62" t="inlineStr">
        <is>
          <t>累计至少385，不机械扩展到2401</t>
        </is>
      </c>
    </row>
    <row r="11" ht="94.15000000000001" customHeight="1" s="58">
      <c r="A11" s="21" t="inlineStr">
        <is>
          <t>A02-F2-W9</t>
        </is>
      </c>
      <c r="B11" s="21" t="inlineStr">
        <is>
          <t>A02</t>
        </is>
      </c>
      <c r="C11" s="21" t="inlineStr">
        <is>
          <t>AGU</t>
        </is>
      </c>
      <c r="D11" s="22" t="inlineStr">
        <is>
          <t>AGU 计算完成后的有效地址（EA）流水寄存器。它位于地址加法/移位逻辑的出口、L1 d-TLB 的入口；双比特模型仍只作用于这一条地址，不同时破坏访问大小或请求类型。</t>
        </is>
      </c>
      <c r="E11" s="22" t="inlineStr">
        <is>
          <t>双比特翻转</t>
        </is>
      </c>
      <c r="F11"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11" s="22" t="inlineStr">
        <is>
          <t>F2</t>
        </is>
      </c>
      <c r="H11" s="22" t="inlineStr">
        <is>
          <t>平均每 100,000 个 eligible events 注入 1 次，间隔加入 ±50% 抖动</t>
        </is>
      </c>
      <c r="I11" s="22" t="inlineStr">
        <is>
          <t>GAP/Graph500 子集（BFS、SSSP、PageRank，固定图与结果哈希）</t>
        </is>
      </c>
      <c r="J11" s="22" t="inlineStr">
        <is>
          <t>GAP/Graph500 子集（BFS、SSSP、PageRank，固定图与结果哈希）
执行定义与 oracle：BFS/SSSP/PR，使用固定图与结果哈希；强调不规则地址和大 working set</t>
        </is>
      </c>
      <c r="K11" s="22" t="inlineStr">
        <is>
          <t>任一已完成地址生成</t>
        </is>
      </c>
      <c r="L11" s="22" t="inlineStr">
        <is>
          <t>L0 eligible/activated；L1 正确EA与故障EA、base/index/extend/shift、size/byte-enable；L2 TLB输入VA与cache request；L3 load返回/store落点；L4 commit首分歧；L5检测层级、控制情况与最终结局；记录两bit距离、对齐状态、页/对象越界</t>
        </is>
      </c>
      <c r="M11" s="22" t="inlineStr">
        <is>
          <t>相邻低位可能形成稳定错位；含高位时Crash上升；与A01比较SDC/Crash极化</t>
        </is>
      </c>
      <c r="N11" s="22" t="inlineStr">
        <is>
          <t>显式覆盖MBU并区分物理邻近与逻辑分散</t>
        </is>
      </c>
      <c r="O11" s="22" t="inlineStr">
        <is>
          <t>CHAOS多比特结果作规律性类比</t>
        </is>
      </c>
      <c r="P11" s="23" t="n"/>
      <c r="Q11" s="23" t="n"/>
      <c r="R11" s="23" t="n"/>
      <c r="S11" s="23" t="n"/>
      <c r="T11" s="23" t="n"/>
      <c r="U11" s="23" t="n"/>
      <c r="V11" s="23" t="n"/>
      <c r="W11" s="23" t="n"/>
      <c r="X11" s="35">
        <f>IF(OR(R11="",R11-AP11&lt;=0),"",AB11/(R11-AP11))</f>
        <v/>
      </c>
      <c r="Y11" s="35">
        <f>IF(OR(AR11="",AR11=0),"",R11/AR11)</f>
        <v/>
      </c>
      <c r="Z11" s="24" t="inlineStr">
        <is>
          <t>待执行</t>
        </is>
      </c>
      <c r="AA11" s="23" t="n"/>
      <c r="AB11" s="38" t="n"/>
      <c r="AC11" s="38" t="n"/>
      <c r="AD11" s="38" t="n"/>
      <c r="AE11" s="38" t="n"/>
      <c r="AF11" s="38" t="n"/>
      <c r="AG11" s="38" t="n"/>
      <c r="AH11" s="38" t="n"/>
      <c r="AI11" s="38" t="n"/>
      <c r="AJ11" s="38" t="n"/>
      <c r="AK11" s="39" t="n"/>
      <c r="AL11" s="40">
        <f>IF(OR(R11="",R11-AP11&lt;=0),"",AO11/(R11-AP11))</f>
        <v/>
      </c>
      <c r="AM11" s="41">
        <f>IF(R11="","",SUM(AC11:AF11)-(R11-AP11))</f>
        <v/>
      </c>
      <c r="AN11" s="41">
        <f>IF(R11="","",SUM(S11:W11)+AP11-R11)</f>
        <v/>
      </c>
      <c r="AO11" s="44" t="n"/>
      <c r="AP11" s="45" t="n"/>
      <c r="AQ11" s="47" t="inlineStr">
        <is>
          <t>A02-a 同一EA相邻双bit；A02-b 同一EA非相邻双bit</t>
        </is>
      </c>
      <c r="AR11" s="23" t="n"/>
      <c r="AS11" s="35">
        <f>IF(OR(Q11="",Q11=0),"",AR11/Q11)</f>
        <v/>
      </c>
      <c r="AT11" s="62" t="n">
        <v>30</v>
      </c>
      <c r="AU11" s="62" t="n">
        <v>385</v>
      </c>
      <c r="AV11" s="62" t="inlineStr">
        <is>
          <t>常规</t>
        </is>
      </c>
      <c r="AW11" s="62" t="inlineStr">
        <is>
          <t>累计至少385，不机械扩展到2401</t>
        </is>
      </c>
    </row>
    <row r="12" ht="94.15000000000001" customHeight="1" s="58">
      <c r="A12" s="21" t="inlineStr">
        <is>
          <t>A03-F5-W3</t>
        </is>
      </c>
      <c r="B12" s="21" t="inlineStr">
        <is>
          <t>A03</t>
        </is>
      </c>
      <c r="C12" s="21" t="inlineStr">
        <is>
          <t>AGU</t>
        </is>
      </c>
      <c r="D12" s="22" t="inlineStr">
        <is>
          <t>AGU 地址加法器的 EA 输出总线/输出位。每条 load/store 完成“基址+偏移或索引”后都会经过这里；某一位卡死会让多条后续访存地址形成重复的固定偏差，而不是只影响一个队列表项。</t>
        </is>
      </c>
      <c r="E12" s="22" t="inlineStr">
        <is>
          <t>卡死</t>
        </is>
      </c>
      <c r="F12" s="22"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G12" s="22" t="inlineStr">
        <is>
          <t>F5</t>
        </is>
      </c>
      <c r="H12" s="22" t="inlineStr">
        <is>
          <t>warm-up 后第一个 eligible event 起持续到运行结束；每次运行仅选一个 bit/字段</t>
        </is>
      </c>
      <c r="I12" s="22" t="inlineStr">
        <is>
          <t>AGU-AddrModes AArch64 寻址模式探针（base+imm、base+index、扩展/移位、pre/post-index、LDP/STP）</t>
        </is>
      </c>
      <c r="J12" s="22" t="inlineStr">
        <is>
          <t>AGU-AddrModes AArch64 寻址模式探针（base+imm、base+index、扩展/移位、pre/post-index、LDP/STP）
执行定义与 oracle：覆盖 base+imm、base+index、LSL、UXTW/SXTW、pre/post-index、LDP/STP、非对齐和页边界；每地址附软件 oracle</t>
        </is>
      </c>
      <c r="K12" s="22" t="inlineStr">
        <is>
          <t>首个AGU事件后持续</t>
        </is>
      </c>
      <c r="L12" s="22" t="inlineStr">
        <is>
          <t>L0 eligible/activated；L1 正确EA与故障EA、base/index/extend/shift、size/byte-enable；L2 TLB输入VA与cache request；L3 load返回/store落点；L4 commit首分歧；L5检测层级、控制情况与最终结局；按bit统计地址碰撞率、唯一地址数、store覆盖热点</t>
        </is>
      </c>
      <c r="M12" s="22" t="inlineStr">
        <is>
          <t>低位卡死表现为周期性地址折叠；高位通常快速Crash；可能出现重复写同一元素的稳定SDC</t>
        </is>
      </c>
      <c r="N12" s="22" t="inlineStr">
        <is>
          <t>永久数据通路故障会跨多次访问形成有规律的地址别名</t>
        </is>
      </c>
      <c r="O12" s="22" t="inlineStr">
        <is>
          <t>无直接文献</t>
        </is>
      </c>
      <c r="P12" s="23" t="n"/>
      <c r="Q12" s="23" t="n"/>
      <c r="R12" s="23" t="n"/>
      <c r="S12" s="23" t="n"/>
      <c r="T12" s="23" t="n"/>
      <c r="U12" s="23" t="n"/>
      <c r="V12" s="23" t="n"/>
      <c r="W12" s="23" t="n"/>
      <c r="X12" s="35">
        <f>IF(OR(R12="",R12-AP12&lt;=0),"",AB12/(R12-AP12))</f>
        <v/>
      </c>
      <c r="Y12" s="35">
        <f>IF(OR(AR12="",AR12=0),"",R12/AR12)</f>
        <v/>
      </c>
      <c r="Z12" s="24" t="inlineStr">
        <is>
          <t>待执行</t>
        </is>
      </c>
      <c r="AA12" s="23" t="n"/>
      <c r="AB12" s="38" t="n"/>
      <c r="AC12" s="38" t="n"/>
      <c r="AD12" s="38" t="n"/>
      <c r="AE12" s="38" t="n"/>
      <c r="AF12" s="38" t="n"/>
      <c r="AG12" s="38" t="n"/>
      <c r="AH12" s="38" t="n"/>
      <c r="AI12" s="38" t="n"/>
      <c r="AJ12" s="38" t="n"/>
      <c r="AK12" s="39" t="n"/>
      <c r="AL12" s="40">
        <f>IF(OR(R12="",R12-AP12&lt;=0),"",AO12/(R12-AP12))</f>
        <v/>
      </c>
      <c r="AM12" s="41">
        <f>IF(R12="","",SUM(AC12:AF12)-(R12-AP12))</f>
        <v/>
      </c>
      <c r="AN12" s="41">
        <f>IF(R12="","",SUM(S12:W12)+AP12-R12)</f>
        <v/>
      </c>
      <c r="AO12" s="44" t="n"/>
      <c r="AP12" s="45" t="n"/>
      <c r="AQ12" s="47" t="inlineStr">
        <is>
          <t>A03-a EA位stuck-at-0；A03-b EA位stuck-at-1</t>
        </is>
      </c>
      <c r="AR12" s="23" t="n"/>
      <c r="AS12" s="35">
        <f>IF(OR(Q12="",Q12=0),"",AR12/Q12)</f>
        <v/>
      </c>
      <c r="AT12" s="62" t="n">
        <v>30</v>
      </c>
      <c r="AU12" s="62" t="n">
        <v>385</v>
      </c>
      <c r="AV12" s="62" t="inlineStr">
        <is>
          <t>常规</t>
        </is>
      </c>
      <c r="AW12" s="62" t="inlineStr">
        <is>
          <t>累计至少385，不机械扩展到2401</t>
        </is>
      </c>
    </row>
    <row r="13" ht="94.15000000000001" customHeight="1" s="58">
      <c r="A13" s="21" t="inlineStr">
        <is>
          <t>A03-F5-W10</t>
        </is>
      </c>
      <c r="B13" s="21" t="inlineStr">
        <is>
          <t>A03</t>
        </is>
      </c>
      <c r="C13" s="21" t="inlineStr">
        <is>
          <t>AGU</t>
        </is>
      </c>
      <c r="D13" s="22" t="inlineStr">
        <is>
          <t>AGU 地址加法器的 EA 输出总线/输出位。每条 load/store 完成“基址+偏移或索引”后都会经过这里；某一位卡死会让多条后续访存地址形成重复的固定偏差，而不是只影响一个队列表项。</t>
        </is>
      </c>
      <c r="E13" s="22" t="inlineStr">
        <is>
          <t>卡死</t>
        </is>
      </c>
      <c r="F13" s="22"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G13" s="22" t="inlineStr">
        <is>
          <t>F5</t>
        </is>
      </c>
      <c r="H13" s="22" t="inlineStr">
        <is>
          <t>warm-up 后第一个 eligible event 起持续到运行结束；每次运行仅选一个 bit/字段</t>
        </is>
      </c>
      <c r="I13" s="22" t="inlineStr">
        <is>
          <t>STREAM+PointerChase（Copy、Scale、Add、Triad 与随机指针链）</t>
        </is>
      </c>
      <c r="J13" s="22" t="inlineStr">
        <is>
          <t>STREAM+PointerChase（Copy、Scale、Add、Triad 与随机指针链）
执行定义与 oracle：STREAM Copy/Scale/Add/Triad 加随机 pointer chase；检查数组 hash 与遍历节点数</t>
        </is>
      </c>
      <c r="K13" s="22" t="inlineStr">
        <is>
          <t>首个AGU事件后持续</t>
        </is>
      </c>
      <c r="L13" s="22" t="inlineStr">
        <is>
          <t>L0 eligible/activated；L1 正确EA与故障EA、base/index/extend/shift、size/byte-enable；L2 TLB输入VA与cache request；L3 load返回/store落点；L4 commit首分歧；L5检测层级、控制情况与最终结局；按bit统计地址碰撞率、唯一地址数、store覆盖热点</t>
        </is>
      </c>
      <c r="M13" s="22" t="inlineStr">
        <is>
          <t>低位卡死表现为周期性地址折叠；高位通常快速Crash；可能出现重复写同一元素的稳定SDC</t>
        </is>
      </c>
      <c r="N13" s="22" t="inlineStr">
        <is>
          <t>永久数据通路故障会跨多次访问形成有规律的地址别名</t>
        </is>
      </c>
      <c r="O13" s="22" t="inlineStr">
        <is>
          <t>无直接文献</t>
        </is>
      </c>
      <c r="P13" s="23" t="n"/>
      <c r="Q13" s="23" t="n"/>
      <c r="R13" s="23" t="n"/>
      <c r="S13" s="23" t="n"/>
      <c r="T13" s="23" t="n"/>
      <c r="U13" s="23" t="n"/>
      <c r="V13" s="23" t="n"/>
      <c r="W13" s="23" t="n"/>
      <c r="X13" s="35">
        <f>IF(OR(R13="",R13-AP13&lt;=0),"",AB13/(R13-AP13))</f>
        <v/>
      </c>
      <c r="Y13" s="35">
        <f>IF(OR(AR13="",AR13=0),"",R13/AR13)</f>
        <v/>
      </c>
      <c r="Z13" s="24" t="inlineStr">
        <is>
          <t>待执行</t>
        </is>
      </c>
      <c r="AA13" s="23" t="n"/>
      <c r="AB13" s="38" t="n"/>
      <c r="AC13" s="38" t="n"/>
      <c r="AD13" s="38" t="n"/>
      <c r="AE13" s="38" t="n"/>
      <c r="AF13" s="38" t="n"/>
      <c r="AG13" s="38" t="n"/>
      <c r="AH13" s="38" t="n"/>
      <c r="AI13" s="38" t="n"/>
      <c r="AJ13" s="38" t="n"/>
      <c r="AK13" s="39" t="n"/>
      <c r="AL13" s="40">
        <f>IF(OR(R13="",R13-AP13&lt;=0),"",AO13/(R13-AP13))</f>
        <v/>
      </c>
      <c r="AM13" s="41">
        <f>IF(R13="","",SUM(AC13:AF13)-(R13-AP13))</f>
        <v/>
      </c>
      <c r="AN13" s="41">
        <f>IF(R13="","",SUM(S13:W13)+AP13-R13)</f>
        <v/>
      </c>
      <c r="AO13" s="44" t="n"/>
      <c r="AP13" s="45" t="n"/>
      <c r="AQ13" s="47" t="inlineStr">
        <is>
          <t>A03-a EA位stuck-at-0；A03-b EA位stuck-at-1</t>
        </is>
      </c>
      <c r="AR13" s="23" t="n"/>
      <c r="AS13" s="35">
        <f>IF(OR(Q13="",Q13=0),"",AR13/Q13)</f>
        <v/>
      </c>
      <c r="AT13" s="62" t="n">
        <v>30</v>
      </c>
      <c r="AU13" s="62" t="n">
        <v>385</v>
      </c>
      <c r="AV13" s="62" t="inlineStr">
        <is>
          <t>常规</t>
        </is>
      </c>
      <c r="AW13" s="62" t="inlineStr">
        <is>
          <t>累计至少385，不机械扩展到2401</t>
        </is>
      </c>
    </row>
    <row r="14" ht="94.15000000000001" customHeight="1" s="58">
      <c r="A14" s="21" t="inlineStr">
        <is>
          <t>A04-F0-W3</t>
        </is>
      </c>
      <c r="B14" s="21" t="inlineStr">
        <is>
          <t>A04</t>
        </is>
      </c>
      <c r="C14" s="21" t="inlineStr">
        <is>
          <t>AGU</t>
        </is>
      </c>
      <c r="D14" s="22" t="inlineStr">
        <is>
          <t>AGU 输出的完整 EA 及其对应的软件对象范围。这里不是另一个硬件表，而是在 AGU→d-TLB 边界把正确地址替换为同一已分配对象或同一映射页中的另一合法地址，用于研究“地址合法但对象/元素错误”。</t>
        </is>
      </c>
      <c r="E14" s="22" t="inlineStr">
        <is>
          <t>换值</t>
        </is>
      </c>
      <c r="F14"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4" s="22" t="inlineStr">
        <is>
          <t>F0</t>
        </is>
      </c>
      <c r="H14" s="22" t="inlineStr">
        <is>
          <t>每次运行只注入 1 次；在 warm-up 后的 eligible event 中均匀抽样</t>
        </is>
      </c>
      <c r="I14" s="22" t="inlineStr">
        <is>
          <t>AGU-AddrModes AArch64 寻址模式探针（base+imm、base+index、扩展/移位、pre/post-index、LDP/STP）</t>
        </is>
      </c>
      <c r="J14" s="22" t="inlineStr">
        <is>
          <t>AGU-AddrModes AArch64 寻址模式探针（base+imm、base+index、扩展/移位、pre/post-index、LDP/STP）
执行定义与 oracle：覆盖 base+imm、base+index、LSL、UXTW/SXTW、pre/post-index、LDP/STP、非对齐和页边界；每地址附软件 oracle</t>
        </is>
      </c>
      <c r="K14" s="22" t="inlineStr">
        <is>
          <t>地址属于带oracle对象时</t>
        </is>
      </c>
      <c r="L14" s="22" t="inlineStr">
        <is>
          <t>L0 eligible/activated；L1 正确EA与故障EA、base/index/extend/shift、size/byte-enable；L2 TLB输入VA与cache request；L3 load返回/store落点；L4 commit首分歧；L5检测层级、控制情况与最终结局；记录替代距离、是否同cache line、错误值扇出</t>
        </is>
      </c>
      <c r="M14" s="22" t="inlineStr">
        <is>
          <t>预期SDC显著高于随机翻转，因为绕开地址异常与页故障</t>
        </is>
      </c>
      <c r="N14" s="22" t="inlineStr">
        <is>
          <t>专门检验“合法但错误地址”这一随机翻转难命中的路径</t>
        </is>
      </c>
      <c r="O14" s="22" t="inlineStr">
        <is>
          <t>本方案结构化模型</t>
        </is>
      </c>
      <c r="P14" s="23" t="n"/>
      <c r="Q14" s="23" t="n"/>
      <c r="R14" s="23" t="n"/>
      <c r="S14" s="23" t="n"/>
      <c r="T14" s="23" t="n"/>
      <c r="U14" s="23" t="n"/>
      <c r="V14" s="23" t="n"/>
      <c r="W14" s="23" t="n"/>
      <c r="X14" s="35">
        <f>IF(OR(R14="",R14-AP14&lt;=0),"",AB14/(R14-AP14))</f>
        <v/>
      </c>
      <c r="Y14" s="35">
        <f>IF(OR(AR14="",AR14=0),"",R14/AR14)</f>
        <v/>
      </c>
      <c r="Z14" s="24" t="inlineStr">
        <is>
          <t>待执行</t>
        </is>
      </c>
      <c r="AA14" s="23" t="n"/>
      <c r="AB14" s="38" t="n"/>
      <c r="AC14" s="38" t="n"/>
      <c r="AD14" s="38" t="n"/>
      <c r="AE14" s="38" t="n"/>
      <c r="AF14" s="38" t="n"/>
      <c r="AG14" s="38" t="n"/>
      <c r="AH14" s="38" t="n"/>
      <c r="AI14" s="38" t="n"/>
      <c r="AJ14" s="38" t="n"/>
      <c r="AK14" s="39" t="n"/>
      <c r="AL14" s="40">
        <f>IF(OR(R14="",R14-AP14&lt;=0),"",AO14/(R14-AP14))</f>
        <v/>
      </c>
      <c r="AM14" s="41">
        <f>IF(R14="","",SUM(AC14:AF14)-(R14-AP14))</f>
        <v/>
      </c>
      <c r="AN14" s="41">
        <f>IF(R14="","",SUM(S14:W14)+AP14-R14)</f>
        <v/>
      </c>
      <c r="AO14" s="44" t="n"/>
      <c r="AP14" s="45" t="n"/>
      <c r="AQ14" s="47" t="inlineStr">
        <is>
          <t>A04-a 同对象内合法地址替换；A04-b 同页内合法地址替换</t>
        </is>
      </c>
      <c r="AR14" s="23" t="n"/>
      <c r="AS14" s="35">
        <f>IF(OR(Q14="",Q14=0),"",AR14/Q14)</f>
        <v/>
      </c>
      <c r="AT14" s="62" t="n">
        <v>30</v>
      </c>
      <c r="AU14" s="62" t="n">
        <v>2401</v>
      </c>
      <c r="AV14" s="62" t="inlineStr">
        <is>
          <t>重点（预登记21项）</t>
        </is>
      </c>
      <c r="AW14" s="62" t="inlineStr">
        <is>
          <t>累计到2401（含前385）</t>
        </is>
      </c>
    </row>
    <row r="15" ht="94.15000000000001" customHeight="1" s="58">
      <c r="A15" s="21" t="inlineStr">
        <is>
          <t>A04-F0-W0</t>
        </is>
      </c>
      <c r="B15" s="21" t="inlineStr">
        <is>
          <t>A04</t>
        </is>
      </c>
      <c r="C15" s="21" t="inlineStr">
        <is>
          <t>AGU</t>
        </is>
      </c>
      <c r="D15" s="22" t="inlineStr">
        <is>
          <t>AGU 输出的完整 EA 及其对应的软件对象范围。这里不是另一个硬件表，而是在 AGU→d-TLB 边界把正确地址替换为同一已分配对象或同一映射页中的另一合法地址，用于研究“地址合法但对象/元素错误”。</t>
        </is>
      </c>
      <c r="E15" s="22" t="inlineStr">
        <is>
          <t>换值</t>
        </is>
      </c>
      <c r="F15"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5" s="22" t="inlineStr">
        <is>
          <t>F0</t>
        </is>
      </c>
      <c r="H15" s="22" t="inlineStr">
        <is>
          <t>每次运行只注入 1 次；在 warm-up 后的 eligible event 中均匀抽样</t>
        </is>
      </c>
      <c r="I15" s="22" t="inlineStr">
        <is>
          <t>MiniCheck 最小正确性探针（数组校验和、guard page、指针链、load/store round-trip）</t>
        </is>
      </c>
      <c r="J15" s="22" t="inlineStr">
        <is>
          <t>MiniCheck 最小正确性探针（数组校验和、guard page、指针链、load/store round-trip）
执行定义与 oracle：短数组校验和、guard page、指针链、load/store round-trip；每次运行产生确定 golden output</t>
        </is>
      </c>
      <c r="K15" s="22" t="inlineStr">
        <is>
          <t>地址属于带oracle对象时</t>
        </is>
      </c>
      <c r="L15" s="22" t="inlineStr">
        <is>
          <t>L0 eligible/activated；L1 正确EA与故障EA、base/index/extend/shift、size/byte-enable；L2 TLB输入VA与cache request；L3 load返回/store落点；L4 commit首分歧；L5检测层级、控制情况与最终结局；记录替代距离、是否同cache line、错误值扇出</t>
        </is>
      </c>
      <c r="M15" s="22" t="inlineStr">
        <is>
          <t>预期SDC显著高于随机翻转，因为绕开地址异常与页故障</t>
        </is>
      </c>
      <c r="N15" s="22" t="inlineStr">
        <is>
          <t>专门检验“合法但错误地址”这一随机翻转难命中的路径</t>
        </is>
      </c>
      <c r="O15" s="22" t="inlineStr">
        <is>
          <t>本方案结构化模型</t>
        </is>
      </c>
      <c r="P15" s="23" t="n"/>
      <c r="Q15" s="23" t="n"/>
      <c r="R15" s="23" t="n"/>
      <c r="S15" s="23" t="n"/>
      <c r="T15" s="23" t="n"/>
      <c r="U15" s="23" t="n"/>
      <c r="V15" s="23" t="n"/>
      <c r="W15" s="23" t="n"/>
      <c r="X15" s="35">
        <f>IF(OR(R15="",R15-AP15&lt;=0),"",AB15/(R15-AP15))</f>
        <v/>
      </c>
      <c r="Y15" s="35">
        <f>IF(OR(AR15="",AR15=0),"",R15/AR15)</f>
        <v/>
      </c>
      <c r="Z15" s="24" t="inlineStr">
        <is>
          <t>待执行</t>
        </is>
      </c>
      <c r="AA15" s="23" t="n"/>
      <c r="AB15" s="38" t="n"/>
      <c r="AC15" s="38" t="n"/>
      <c r="AD15" s="38" t="n"/>
      <c r="AE15" s="38" t="n"/>
      <c r="AF15" s="38" t="n"/>
      <c r="AG15" s="38" t="n"/>
      <c r="AH15" s="38" t="n"/>
      <c r="AI15" s="38" t="n"/>
      <c r="AJ15" s="38" t="n"/>
      <c r="AK15" s="39" t="n"/>
      <c r="AL15" s="40">
        <f>IF(OR(R15="",R15-AP15&lt;=0),"",AO15/(R15-AP15))</f>
        <v/>
      </c>
      <c r="AM15" s="41">
        <f>IF(R15="","",SUM(AC15:AF15)-(R15-AP15))</f>
        <v/>
      </c>
      <c r="AN15" s="41">
        <f>IF(R15="","",SUM(S15:W15)+AP15-R15)</f>
        <v/>
      </c>
      <c r="AO15" s="44" t="n"/>
      <c r="AP15" s="45" t="n"/>
      <c r="AQ15" s="47" t="inlineStr">
        <is>
          <t>A04-a 同对象内合法地址替换；A04-b 同页内合法地址替换</t>
        </is>
      </c>
      <c r="AR15" s="23" t="n"/>
      <c r="AS15" s="35">
        <f>IF(OR(Q15="",Q15=0),"",AR15/Q15)</f>
        <v/>
      </c>
      <c r="AT15" s="62" t="n">
        <v>30</v>
      </c>
      <c r="AU15" s="62" t="n">
        <v>385</v>
      </c>
      <c r="AV15" s="62" t="inlineStr">
        <is>
          <t>常规</t>
        </is>
      </c>
      <c r="AW15" s="62" t="inlineStr">
        <is>
          <t>累计至少385，不机械扩展到2401</t>
        </is>
      </c>
    </row>
    <row r="16" ht="94.15000000000001" customHeight="1" s="58">
      <c r="A16" s="21" t="inlineStr">
        <is>
          <t>A04-F2-W3</t>
        </is>
      </c>
      <c r="B16" s="21" t="inlineStr">
        <is>
          <t>A04</t>
        </is>
      </c>
      <c r="C16" s="21" t="inlineStr">
        <is>
          <t>AGU</t>
        </is>
      </c>
      <c r="D16" s="22" t="inlineStr">
        <is>
          <t>AGU 输出的完整 EA 及其对应的软件对象范围。这里不是另一个硬件表，而是在 AGU→d-TLB 边界把正确地址替换为同一已分配对象或同一映射页中的另一合法地址，用于研究“地址合法但对象/元素错误”。</t>
        </is>
      </c>
      <c r="E16" s="22" t="inlineStr">
        <is>
          <t>换值</t>
        </is>
      </c>
      <c r="F16"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6" s="22" t="inlineStr">
        <is>
          <t>F2</t>
        </is>
      </c>
      <c r="H16" s="22" t="inlineStr">
        <is>
          <t>平均每 100,000 个 eligible events 注入 1 次，间隔加入 ±50% 抖动</t>
        </is>
      </c>
      <c r="I16" s="22" t="inlineStr">
        <is>
          <t>AGU-AddrModes AArch64 寻址模式探针（base+imm、base+index、扩展/移位、pre/post-index、LDP/STP）</t>
        </is>
      </c>
      <c r="J16" s="22" t="inlineStr">
        <is>
          <t>AGU-AddrModes AArch64 寻址模式探针（base+imm、base+index、扩展/移位、pre/post-index、LDP/STP）
执行定义与 oracle：覆盖 base+imm、base+index、LSL、UXTW/SXTW、pre/post-index、LDP/STP、非对齐和页边界；每地址附软件 oracle</t>
        </is>
      </c>
      <c r="K16" s="22" t="inlineStr">
        <is>
          <t>地址属于带oracle对象时</t>
        </is>
      </c>
      <c r="L16" s="22" t="inlineStr">
        <is>
          <t>L0 eligible/activated；L1 正确EA与故障EA、base/index/extend/shift、size/byte-enable；L2 TLB输入VA与cache request；L3 load返回/store落点；L4 commit首分歧；L5检测层级、控制情况与最终结局；记录替代距离、是否同cache line、错误值扇出</t>
        </is>
      </c>
      <c r="M16" s="22" t="inlineStr">
        <is>
          <t>预期SDC显著高于随机翻转，因为绕开地址异常与页故障</t>
        </is>
      </c>
      <c r="N16" s="22" t="inlineStr">
        <is>
          <t>专门检验“合法但错误地址”这一随机翻转难命中的路径</t>
        </is>
      </c>
      <c r="O16" s="22" t="inlineStr">
        <is>
          <t>本方案结构化模型</t>
        </is>
      </c>
      <c r="P16" s="23" t="n"/>
      <c r="Q16" s="23" t="n"/>
      <c r="R16" s="23" t="n"/>
      <c r="S16" s="23" t="n"/>
      <c r="T16" s="23" t="n"/>
      <c r="U16" s="23" t="n"/>
      <c r="V16" s="23" t="n"/>
      <c r="W16" s="23" t="n"/>
      <c r="X16" s="35">
        <f>IF(OR(R16="",R16-AP16&lt;=0),"",AB16/(R16-AP16))</f>
        <v/>
      </c>
      <c r="Y16" s="35">
        <f>IF(OR(AR16="",AR16=0),"",R16/AR16)</f>
        <v/>
      </c>
      <c r="Z16" s="24" t="inlineStr">
        <is>
          <t>待执行</t>
        </is>
      </c>
      <c r="AA16" s="23" t="n"/>
      <c r="AB16" s="38" t="n"/>
      <c r="AC16" s="38" t="n"/>
      <c r="AD16" s="38" t="n"/>
      <c r="AE16" s="38" t="n"/>
      <c r="AF16" s="38" t="n"/>
      <c r="AG16" s="38" t="n"/>
      <c r="AH16" s="38" t="n"/>
      <c r="AI16" s="38" t="n"/>
      <c r="AJ16" s="38" t="n"/>
      <c r="AK16" s="39" t="n"/>
      <c r="AL16" s="40">
        <f>IF(OR(R16="",R16-AP16&lt;=0),"",AO16/(R16-AP16))</f>
        <v/>
      </c>
      <c r="AM16" s="41">
        <f>IF(R16="","",SUM(AC16:AF16)-(R16-AP16))</f>
        <v/>
      </c>
      <c r="AN16" s="41">
        <f>IF(R16="","",SUM(S16:W16)+AP16-R16)</f>
        <v/>
      </c>
      <c r="AO16" s="44" t="n"/>
      <c r="AP16" s="45" t="n"/>
      <c r="AQ16" s="47" t="inlineStr">
        <is>
          <t>A04-a 同对象内合法地址替换；A04-b 同页内合法地址替换</t>
        </is>
      </c>
      <c r="AR16" s="23" t="n"/>
      <c r="AS16" s="35">
        <f>IF(OR(Q16="",Q16=0),"",AR16/Q16)</f>
        <v/>
      </c>
      <c r="AT16" s="62" t="n">
        <v>30</v>
      </c>
      <c r="AU16" s="62" t="n">
        <v>385</v>
      </c>
      <c r="AV16" s="62" t="inlineStr">
        <is>
          <t>常规</t>
        </is>
      </c>
      <c r="AW16" s="62" t="inlineStr">
        <is>
          <t>累计至少385，不机械扩展到2401</t>
        </is>
      </c>
    </row>
    <row r="17" ht="94.15000000000001" customHeight="1" s="58">
      <c r="A17" s="21" t="inlineStr">
        <is>
          <t>A04-F2-W0</t>
        </is>
      </c>
      <c r="B17" s="21" t="inlineStr">
        <is>
          <t>A04</t>
        </is>
      </c>
      <c r="C17" s="21" t="inlineStr">
        <is>
          <t>AGU</t>
        </is>
      </c>
      <c r="D17" s="22" t="inlineStr">
        <is>
          <t>AGU 输出的完整 EA 及其对应的软件对象范围。这里不是另一个硬件表，而是在 AGU→d-TLB 边界把正确地址替换为同一已分配对象或同一映射页中的另一合法地址，用于研究“地址合法但对象/元素错误”。</t>
        </is>
      </c>
      <c r="E17" s="22" t="inlineStr">
        <is>
          <t>换值</t>
        </is>
      </c>
      <c r="F17"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7" s="22" t="inlineStr">
        <is>
          <t>F2</t>
        </is>
      </c>
      <c r="H17" s="22" t="inlineStr">
        <is>
          <t>平均每 100,000 个 eligible events 注入 1 次，间隔加入 ±50% 抖动</t>
        </is>
      </c>
      <c r="I17" s="22" t="inlineStr">
        <is>
          <t>MiniCheck 最小正确性探针（数组校验和、guard page、指针链、load/store round-trip）</t>
        </is>
      </c>
      <c r="J17" s="22" t="inlineStr">
        <is>
          <t>MiniCheck 最小正确性探针（数组校验和、guard page、指针链、load/store round-trip）
执行定义与 oracle：短数组校验和、guard page、指针链、load/store round-trip；每次运行产生确定 golden output</t>
        </is>
      </c>
      <c r="K17" s="22" t="inlineStr">
        <is>
          <t>地址属于带oracle对象时</t>
        </is>
      </c>
      <c r="L17" s="22" t="inlineStr">
        <is>
          <t>L0 eligible/activated；L1 正确EA与故障EA、base/index/extend/shift、size/byte-enable；L2 TLB输入VA与cache request；L3 load返回/store落点；L4 commit首分歧；L5检测层级、控制情况与最终结局；记录替代距离、是否同cache line、错误值扇出</t>
        </is>
      </c>
      <c r="M17" s="22" t="inlineStr">
        <is>
          <t>预期SDC显著高于随机翻转，因为绕开地址异常与页故障</t>
        </is>
      </c>
      <c r="N17" s="22" t="inlineStr">
        <is>
          <t>专门检验“合法但错误地址”这一随机翻转难命中的路径</t>
        </is>
      </c>
      <c r="O17" s="22" t="inlineStr">
        <is>
          <t>本方案结构化模型</t>
        </is>
      </c>
      <c r="P17" s="23" t="n"/>
      <c r="Q17" s="23" t="n"/>
      <c r="R17" s="23" t="n"/>
      <c r="S17" s="23" t="n"/>
      <c r="T17" s="23" t="n"/>
      <c r="U17" s="23" t="n"/>
      <c r="V17" s="23" t="n"/>
      <c r="W17" s="23" t="n"/>
      <c r="X17" s="35">
        <f>IF(OR(R17="",R17-AP17&lt;=0),"",AB17/(R17-AP17))</f>
        <v/>
      </c>
      <c r="Y17" s="35">
        <f>IF(OR(AR17="",AR17=0),"",R17/AR17)</f>
        <v/>
      </c>
      <c r="Z17" s="24" t="inlineStr">
        <is>
          <t>待执行</t>
        </is>
      </c>
      <c r="AA17" s="23" t="n"/>
      <c r="AB17" s="38" t="n"/>
      <c r="AC17" s="38" t="n"/>
      <c r="AD17" s="38" t="n"/>
      <c r="AE17" s="38" t="n"/>
      <c r="AF17" s="38" t="n"/>
      <c r="AG17" s="38" t="n"/>
      <c r="AH17" s="38" t="n"/>
      <c r="AI17" s="38" t="n"/>
      <c r="AJ17" s="38" t="n"/>
      <c r="AK17" s="39" t="n"/>
      <c r="AL17" s="40">
        <f>IF(OR(R17="",R17-AP17&lt;=0),"",AO17/(R17-AP17))</f>
        <v/>
      </c>
      <c r="AM17" s="41">
        <f>IF(R17="","",SUM(AC17:AF17)-(R17-AP17))</f>
        <v/>
      </c>
      <c r="AN17" s="41">
        <f>IF(R17="","",SUM(S17:W17)+AP17-R17)</f>
        <v/>
      </c>
      <c r="AO17" s="44" t="n"/>
      <c r="AP17" s="45" t="n"/>
      <c r="AQ17" s="47" t="inlineStr">
        <is>
          <t>A04-a 同对象内合法地址替换；A04-b 同页内合法地址替换</t>
        </is>
      </c>
      <c r="AR17" s="23" t="n"/>
      <c r="AS17" s="35">
        <f>IF(OR(Q17="",Q17=0),"",AR17/Q17)</f>
        <v/>
      </c>
      <c r="AT17" s="62" t="n">
        <v>30</v>
      </c>
      <c r="AU17" s="62" t="n">
        <v>385</v>
      </c>
      <c r="AV17" s="62" t="inlineStr">
        <is>
          <t>常规</t>
        </is>
      </c>
      <c r="AW17" s="62" t="inlineStr">
        <is>
          <t>累计至少385，不机械扩展到2401</t>
        </is>
      </c>
    </row>
    <row r="18" ht="94.15000000000001" customHeight="1" s="58">
      <c r="A18" s="21" t="inlineStr">
        <is>
          <t>A04-F6-W3</t>
        </is>
      </c>
      <c r="B18" s="21" t="inlineStr">
        <is>
          <t>A04</t>
        </is>
      </c>
      <c r="C18" s="21" t="inlineStr">
        <is>
          <t>AGU</t>
        </is>
      </c>
      <c r="D18" s="22" t="inlineStr">
        <is>
          <t>AGU 输出的完整 EA 及其对应的软件对象范围。这里不是另一个硬件表，而是在 AGU→d-TLB 边界把正确地址替换为同一已分配对象或同一映射页中的另一合法地址，用于研究“地址合法但对象/元素错误”。</t>
        </is>
      </c>
      <c r="E18" s="22" t="inlineStr">
        <is>
          <t>换值</t>
        </is>
      </c>
      <c r="F18"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8" s="22" t="inlineStr">
        <is>
          <t>F6</t>
        </is>
      </c>
      <c r="H18" s="22" t="inlineStr">
        <is>
          <t>首次出现指定事件时注入一次，如 TLB hit、SQ forward、dirty eviction、CAS 成功</t>
        </is>
      </c>
      <c r="I18" s="22" t="inlineStr">
        <is>
          <t>AGU-AddrModes AArch64 寻址模式探针（base+imm、base+index、扩展/移位、pre/post-index、LDP/STP）</t>
        </is>
      </c>
      <c r="J18" s="22" t="inlineStr">
        <is>
          <t>AGU-AddrModes AArch64 寻址模式探针（base+imm、base+index、扩展/移位、pre/post-index、LDP/STP）
执行定义与 oracle：覆盖 base+imm、base+index、LSL、UXTW/SXTW、pre/post-index、LDP/STP、非对齐和页边界；每地址附软件 oracle</t>
        </is>
      </c>
      <c r="K18" s="22" t="inlineStr">
        <is>
          <t>地址属于带oracle对象时</t>
        </is>
      </c>
      <c r="L18" s="22" t="inlineStr">
        <is>
          <t>L0 eligible/activated；L1 正确EA与故障EA、base/index/extend/shift、size/byte-enable；L2 TLB输入VA与cache request；L3 load返回/store落点；L4 commit首分歧；L5检测层级、控制情况与最终结局；记录替代距离、是否同cache line、错误值扇出</t>
        </is>
      </c>
      <c r="M18" s="22" t="inlineStr">
        <is>
          <t>预期SDC显著高于随机翻转，因为绕开地址异常与页故障</t>
        </is>
      </c>
      <c r="N18" s="22" t="inlineStr">
        <is>
          <t>专门检验“合法但错误地址”这一随机翻转难命中的路径</t>
        </is>
      </c>
      <c r="O18" s="22" t="inlineStr">
        <is>
          <t>本方案结构化模型</t>
        </is>
      </c>
      <c r="P18" s="23" t="n"/>
      <c r="Q18" s="23" t="n"/>
      <c r="R18" s="23" t="n"/>
      <c r="S18" s="23" t="n"/>
      <c r="T18" s="23" t="n"/>
      <c r="U18" s="23" t="n"/>
      <c r="V18" s="23" t="n"/>
      <c r="W18" s="23" t="n"/>
      <c r="X18" s="35">
        <f>IF(OR(R18="",R18-AP18&lt;=0),"",AB18/(R18-AP18))</f>
        <v/>
      </c>
      <c r="Y18" s="35">
        <f>IF(OR(AR18="",AR18=0),"",R18/AR18)</f>
        <v/>
      </c>
      <c r="Z18" s="24" t="inlineStr">
        <is>
          <t>待执行</t>
        </is>
      </c>
      <c r="AA18" s="23" t="n"/>
      <c r="AB18" s="38" t="n"/>
      <c r="AC18" s="38" t="n"/>
      <c r="AD18" s="38" t="n"/>
      <c r="AE18" s="38" t="n"/>
      <c r="AF18" s="38" t="n"/>
      <c r="AG18" s="38" t="n"/>
      <c r="AH18" s="38" t="n"/>
      <c r="AI18" s="38" t="n"/>
      <c r="AJ18" s="38" t="n"/>
      <c r="AK18" s="39" t="n"/>
      <c r="AL18" s="40">
        <f>IF(OR(R18="",R18-AP18&lt;=0),"",AO18/(R18-AP18))</f>
        <v/>
      </c>
      <c r="AM18" s="41">
        <f>IF(R18="","",SUM(AC18:AF18)-(R18-AP18))</f>
        <v/>
      </c>
      <c r="AN18" s="41">
        <f>IF(R18="","",SUM(S18:W18)+AP18-R18)</f>
        <v/>
      </c>
      <c r="AO18" s="44" t="n"/>
      <c r="AP18" s="45" t="n"/>
      <c r="AQ18" s="47" t="inlineStr">
        <is>
          <t>A04-a 同对象内合法地址替换；A04-b 同页内合法地址替换</t>
        </is>
      </c>
      <c r="AR18" s="23" t="n"/>
      <c r="AS18" s="35">
        <f>IF(OR(Q18="",Q18=0),"",AR18/Q18)</f>
        <v/>
      </c>
      <c r="AT18" s="62" t="n">
        <v>30</v>
      </c>
      <c r="AU18" s="62" t="n">
        <v>385</v>
      </c>
      <c r="AV18" s="62" t="inlineStr">
        <is>
          <t>常规</t>
        </is>
      </c>
      <c r="AW18" s="62" t="inlineStr">
        <is>
          <t>累计至少385，不机械扩展到2401</t>
        </is>
      </c>
    </row>
    <row r="19" ht="94.15000000000001" customHeight="1" s="58">
      <c r="A19" s="21" t="inlineStr">
        <is>
          <t>A04-F6-W0</t>
        </is>
      </c>
      <c r="B19" s="21" t="inlineStr">
        <is>
          <t>A04</t>
        </is>
      </c>
      <c r="C19" s="21" t="inlineStr">
        <is>
          <t>AGU</t>
        </is>
      </c>
      <c r="D19" s="22" t="inlineStr">
        <is>
          <t>AGU 输出的完整 EA 及其对应的软件对象范围。这里不是另一个硬件表，而是在 AGU→d-TLB 边界把正确地址替换为同一已分配对象或同一映射页中的另一合法地址，用于研究“地址合法但对象/元素错误”。</t>
        </is>
      </c>
      <c r="E19" s="22" t="inlineStr">
        <is>
          <t>换值</t>
        </is>
      </c>
      <c r="F19"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9" s="22" t="inlineStr">
        <is>
          <t>F6</t>
        </is>
      </c>
      <c r="H19" s="22" t="inlineStr">
        <is>
          <t>首次出现指定事件时注入一次，如 TLB hit、SQ forward、dirty eviction、CAS 成功</t>
        </is>
      </c>
      <c r="I19" s="22" t="inlineStr">
        <is>
          <t>MiniCheck 最小正确性探针（数组校验和、guard page、指针链、load/store round-trip）</t>
        </is>
      </c>
      <c r="J19" s="22" t="inlineStr">
        <is>
          <t>MiniCheck 最小正确性探针（数组校验和、guard page、指针链、load/store round-trip）
执行定义与 oracle：短数组校验和、guard page、指针链、load/store round-trip；每次运行产生确定 golden output</t>
        </is>
      </c>
      <c r="K19" s="22" t="inlineStr">
        <is>
          <t>地址属于带oracle对象时</t>
        </is>
      </c>
      <c r="L19" s="22" t="inlineStr">
        <is>
          <t>L0 eligible/activated；L1 正确EA与故障EA、base/index/extend/shift、size/byte-enable；L2 TLB输入VA与cache request；L3 load返回/store落点；L4 commit首分歧；L5检测层级、控制情况与最终结局；记录替代距离、是否同cache line、错误值扇出</t>
        </is>
      </c>
      <c r="M19" s="22" t="inlineStr">
        <is>
          <t>预期SDC显著高于随机翻转，因为绕开地址异常与页故障</t>
        </is>
      </c>
      <c r="N19" s="22" t="inlineStr">
        <is>
          <t>专门检验“合法但错误地址”这一随机翻转难命中的路径</t>
        </is>
      </c>
      <c r="O19" s="22" t="inlineStr">
        <is>
          <t>本方案结构化模型</t>
        </is>
      </c>
      <c r="P19" s="23" t="n"/>
      <c r="Q19" s="23" t="n"/>
      <c r="R19" s="23" t="n"/>
      <c r="S19" s="23" t="n"/>
      <c r="T19" s="23" t="n"/>
      <c r="U19" s="23" t="n"/>
      <c r="V19" s="23" t="n"/>
      <c r="W19" s="23" t="n"/>
      <c r="X19" s="35">
        <f>IF(OR(R19="",R19-AP19&lt;=0),"",AB19/(R19-AP19))</f>
        <v/>
      </c>
      <c r="Y19" s="35">
        <f>IF(OR(AR19="",AR19=0),"",R19/AR19)</f>
        <v/>
      </c>
      <c r="Z19" s="24" t="inlineStr">
        <is>
          <t>待执行</t>
        </is>
      </c>
      <c r="AA19" s="23" t="n"/>
      <c r="AB19" s="38" t="n"/>
      <c r="AC19" s="38" t="n"/>
      <c r="AD19" s="38" t="n"/>
      <c r="AE19" s="38" t="n"/>
      <c r="AF19" s="38" t="n"/>
      <c r="AG19" s="38" t="n"/>
      <c r="AH19" s="38" t="n"/>
      <c r="AI19" s="38" t="n"/>
      <c r="AJ19" s="38" t="n"/>
      <c r="AK19" s="39" t="n"/>
      <c r="AL19" s="40">
        <f>IF(OR(R19="",R19-AP19&lt;=0),"",AO19/(R19-AP19))</f>
        <v/>
      </c>
      <c r="AM19" s="41">
        <f>IF(R19="","",SUM(AC19:AF19)-(R19-AP19))</f>
        <v/>
      </c>
      <c r="AN19" s="41">
        <f>IF(R19="","",SUM(S19:W19)+AP19-R19)</f>
        <v/>
      </c>
      <c r="AO19" s="44" t="n"/>
      <c r="AP19" s="45" t="n"/>
      <c r="AQ19" s="47" t="inlineStr">
        <is>
          <t>A04-a 同对象内合法地址替换；A04-b 同页内合法地址替换</t>
        </is>
      </c>
      <c r="AR19" s="23" t="n"/>
      <c r="AS19" s="35">
        <f>IF(OR(Q19="",Q19=0),"",AR19/Q19)</f>
        <v/>
      </c>
      <c r="AT19" s="62" t="n">
        <v>30</v>
      </c>
      <c r="AU19" s="62" t="n">
        <v>385</v>
      </c>
      <c r="AV19" s="62" t="inlineStr">
        <is>
          <t>常规</t>
        </is>
      </c>
      <c r="AW19" s="62" t="inlineStr">
        <is>
          <t>累计至少385，不机械扩展到2401</t>
        </is>
      </c>
    </row>
    <row r="20" ht="94.15000000000001" customHeight="1" s="58">
      <c r="A20" s="21" t="inlineStr">
        <is>
          <t>A05-F0-W3</t>
        </is>
      </c>
      <c r="B20" s="21" t="inlineStr">
        <is>
          <t>A05</t>
        </is>
      </c>
      <c r="C20" s="21" t="inlineStr">
        <is>
          <t>AGU</t>
        </is>
      </c>
      <c r="D20" s="22" t="inlineStr">
        <is>
          <t>AGU 的寻址操作数选择与预处理控制，包括 base/index 选择、UXTW/SXTW 扩展、LSL 移位以及 pre-index/post-index 的基址更新方式。这些控制信号决定参与地址加法的值和基址何时写回。</t>
        </is>
      </c>
      <c r="E20" s="22" t="inlineStr">
        <is>
          <t>错位拼接</t>
        </is>
      </c>
      <c r="F20"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0" s="22" t="inlineStr">
        <is>
          <t>F0</t>
        </is>
      </c>
      <c r="H20" s="22" t="inlineStr">
        <is>
          <t>每次运行只注入 1 次；在 warm-up 后的 eligible event 中均匀抽样</t>
        </is>
      </c>
      <c r="I20" s="22" t="inlineStr">
        <is>
          <t>AGU-AddrModes AArch64 寻址模式探针（base+imm、base+index、扩展/移位、pre/post-index、LDP/STP）</t>
        </is>
      </c>
      <c r="J20" s="22" t="inlineStr">
        <is>
          <t>AGU-AddrModes AArch64 寻址模式探针（base+imm、base+index、扩展/移位、pre/post-index、LDP/STP）
执行定义与 oracle：覆盖 base+imm、base+index、LSL、UXTW/SXTW、pre/post-index、LDP/STP、非对齐和页边界；每地址附软件 oracle</t>
        </is>
      </c>
      <c r="K20" s="22" t="inlineStr">
        <is>
          <t>命中对应AArch64寻址模式</t>
        </is>
      </c>
      <c r="L20" s="22" t="inlineStr">
        <is>
          <t>L0 eligible/activated；L1 正确EA与故障EA、base/index/extend/shift、size/byte-enable；L2 TLB输入VA与cache request；L3 load返回/store落点；L4 commit首分歧；L5检测层级、控制情况与最终结局；记录寻址模式、基址写回值、错误潜伏提交数</t>
        </is>
      </c>
      <c r="M20" s="22" t="inlineStr">
        <is>
          <t>地址仍合法时高SDC；符号扩展和更新时点错误可能在数十条指令后才显现</t>
        </is>
      </c>
      <c r="N20" s="22" t="inlineStr">
        <is>
          <t>对应AGU真正的操作数选择和扩展逻辑，而非泛化位翻转</t>
        </is>
      </c>
      <c r="O20" s="22" t="inlineStr">
        <is>
          <t>无直接文献</t>
        </is>
      </c>
      <c r="P20" s="23" t="n"/>
      <c r="Q20" s="23" t="n"/>
      <c r="R20" s="23" t="n"/>
      <c r="S20" s="23" t="n"/>
      <c r="T20" s="23" t="n"/>
      <c r="U20" s="23" t="n"/>
      <c r="V20" s="23" t="n"/>
      <c r="W20" s="23" t="n"/>
      <c r="X20" s="35">
        <f>IF(OR(R20="",R20-AP20&lt;=0),"",AB20/(R20-AP20))</f>
        <v/>
      </c>
      <c r="Y20" s="35">
        <f>IF(OR(AR20="",AR20=0),"",R20/AR20)</f>
        <v/>
      </c>
      <c r="Z20" s="24" t="inlineStr">
        <is>
          <t>待执行</t>
        </is>
      </c>
      <c r="AA20" s="23" t="n"/>
      <c r="AB20" s="38" t="n"/>
      <c r="AC20" s="38" t="n"/>
      <c r="AD20" s="38" t="n"/>
      <c r="AE20" s="38" t="n"/>
      <c r="AF20" s="38" t="n"/>
      <c r="AG20" s="38" t="n"/>
      <c r="AH20" s="38" t="n"/>
      <c r="AI20" s="38" t="n"/>
      <c r="AJ20" s="38" t="n"/>
      <c r="AK20" s="39" t="n"/>
      <c r="AL20" s="40">
        <f>IF(OR(R20="",R20-AP20&lt;=0),"",AO20/(R20-AP20))</f>
        <v/>
      </c>
      <c r="AM20" s="41">
        <f>IF(R20="","",SUM(AC20:AF20)-(R20-AP20))</f>
        <v/>
      </c>
      <c r="AN20" s="41">
        <f>IF(R20="","",SUM(S20:W20)+AP20-R20)</f>
        <v/>
      </c>
      <c r="AO20" s="44" t="n"/>
      <c r="AP20" s="45" t="n"/>
      <c r="AQ20" s="47" t="inlineStr">
        <is>
          <t>A05-a base/index互换；A05-b SXTW/UXTW互换；A05-c shift错误；A05-d pre/post-index错误</t>
        </is>
      </c>
      <c r="AR20" s="23" t="n"/>
      <c r="AS20" s="35">
        <f>IF(OR(Q20="",Q20=0),"",AR20/Q20)</f>
        <v/>
      </c>
      <c r="AT20" s="62" t="n">
        <v>30</v>
      </c>
      <c r="AU20" s="62" t="n">
        <v>385</v>
      </c>
      <c r="AV20" s="62" t="inlineStr">
        <is>
          <t>常规</t>
        </is>
      </c>
      <c r="AW20" s="62" t="inlineStr">
        <is>
          <t>累计至少385，不机械扩展到2401</t>
        </is>
      </c>
    </row>
    <row r="21" ht="94.15000000000001" customHeight="1" s="58">
      <c r="A21" s="21" t="inlineStr">
        <is>
          <t>A05-F2-W3</t>
        </is>
      </c>
      <c r="B21" s="21" t="inlineStr">
        <is>
          <t>A05</t>
        </is>
      </c>
      <c r="C21" s="21" t="inlineStr">
        <is>
          <t>AGU</t>
        </is>
      </c>
      <c r="D21" s="22" t="inlineStr">
        <is>
          <t>AGU 的寻址操作数选择与预处理控制，包括 base/index 选择、UXTW/SXTW 扩展、LSL 移位以及 pre-index/post-index 的基址更新方式。这些控制信号决定参与地址加法的值和基址何时写回。</t>
        </is>
      </c>
      <c r="E21" s="22" t="inlineStr">
        <is>
          <t>错位拼接</t>
        </is>
      </c>
      <c r="F21"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1" s="22" t="inlineStr">
        <is>
          <t>F2</t>
        </is>
      </c>
      <c r="H21" s="22" t="inlineStr">
        <is>
          <t>平均每 100,000 个 eligible events 注入 1 次，间隔加入 ±50% 抖动</t>
        </is>
      </c>
      <c r="I21" s="22" t="inlineStr">
        <is>
          <t>AGU-AddrModes AArch64 寻址模式探针（base+imm、base+index、扩展/移位、pre/post-index、LDP/STP）</t>
        </is>
      </c>
      <c r="J21" s="22" t="inlineStr">
        <is>
          <t>AGU-AddrModes AArch64 寻址模式探针（base+imm、base+index、扩展/移位、pre/post-index、LDP/STP）
执行定义与 oracle：覆盖 base+imm、base+index、LSL、UXTW/SXTW、pre/post-index、LDP/STP、非对齐和页边界；每地址附软件 oracle</t>
        </is>
      </c>
      <c r="K21" s="22" t="inlineStr">
        <is>
          <t>命中对应AArch64寻址模式</t>
        </is>
      </c>
      <c r="L21" s="22" t="inlineStr">
        <is>
          <t>L0 eligible/activated；L1 正确EA与故障EA、base/index/extend/shift、size/byte-enable；L2 TLB输入VA与cache request；L3 load返回/store落点；L4 commit首分歧；L5检测层级、控制情况与最终结局；记录寻址模式、基址写回值、错误潜伏提交数</t>
        </is>
      </c>
      <c r="M21" s="22" t="inlineStr">
        <is>
          <t>地址仍合法时高SDC；符号扩展和更新时点错误可能在数十条指令后才显现</t>
        </is>
      </c>
      <c r="N21" s="22" t="inlineStr">
        <is>
          <t>对应AGU真正的操作数选择和扩展逻辑，而非泛化位翻转</t>
        </is>
      </c>
      <c r="O21" s="22" t="inlineStr">
        <is>
          <t>无直接文献</t>
        </is>
      </c>
      <c r="P21" s="23" t="n"/>
      <c r="Q21" s="23" t="n"/>
      <c r="R21" s="23" t="n"/>
      <c r="S21" s="23" t="n"/>
      <c r="T21" s="23" t="n"/>
      <c r="U21" s="23" t="n"/>
      <c r="V21" s="23" t="n"/>
      <c r="W21" s="23" t="n"/>
      <c r="X21" s="35">
        <f>IF(OR(R21="",R21-AP21&lt;=0),"",AB21/(R21-AP21))</f>
        <v/>
      </c>
      <c r="Y21" s="35">
        <f>IF(OR(AR21="",AR21=0),"",R21/AR21)</f>
        <v/>
      </c>
      <c r="Z21" s="24" t="inlineStr">
        <is>
          <t>待执行</t>
        </is>
      </c>
      <c r="AA21" s="23" t="n"/>
      <c r="AB21" s="38" t="n"/>
      <c r="AC21" s="38" t="n"/>
      <c r="AD21" s="38" t="n"/>
      <c r="AE21" s="38" t="n"/>
      <c r="AF21" s="38" t="n"/>
      <c r="AG21" s="38" t="n"/>
      <c r="AH21" s="38" t="n"/>
      <c r="AI21" s="38" t="n"/>
      <c r="AJ21" s="38" t="n"/>
      <c r="AK21" s="39" t="n"/>
      <c r="AL21" s="40">
        <f>IF(OR(R21="",R21-AP21&lt;=0),"",AO21/(R21-AP21))</f>
        <v/>
      </c>
      <c r="AM21" s="41">
        <f>IF(R21="","",SUM(AC21:AF21)-(R21-AP21))</f>
        <v/>
      </c>
      <c r="AN21" s="41">
        <f>IF(R21="","",SUM(S21:W21)+AP21-R21)</f>
        <v/>
      </c>
      <c r="AO21" s="44" t="n"/>
      <c r="AP21" s="45" t="n"/>
      <c r="AQ21" s="47" t="inlineStr">
        <is>
          <t>A05-a base/index互换；A05-b SXTW/UXTW互换；A05-c shift错误；A05-d pre/post-index错误</t>
        </is>
      </c>
      <c r="AR21" s="23" t="n"/>
      <c r="AS21" s="35">
        <f>IF(OR(Q21="",Q21=0),"",AR21/Q21)</f>
        <v/>
      </c>
      <c r="AT21" s="62" t="n">
        <v>30</v>
      </c>
      <c r="AU21" s="62" t="n">
        <v>385</v>
      </c>
      <c r="AV21" s="62" t="inlineStr">
        <is>
          <t>常规</t>
        </is>
      </c>
      <c r="AW21" s="62" t="inlineStr">
        <is>
          <t>累计至少385，不机械扩展到2401</t>
        </is>
      </c>
    </row>
    <row r="22" ht="94.15000000000001" customHeight="1" s="58">
      <c r="A22" s="21" t="inlineStr">
        <is>
          <t>A05-F6-W3</t>
        </is>
      </c>
      <c r="B22" s="21" t="inlineStr">
        <is>
          <t>A05</t>
        </is>
      </c>
      <c r="C22" s="21" t="inlineStr">
        <is>
          <t>AGU</t>
        </is>
      </c>
      <c r="D22" s="22" t="inlineStr">
        <is>
          <t>AGU 的寻址操作数选择与预处理控制，包括 base/index 选择、UXTW/SXTW 扩展、LSL 移位以及 pre-index/post-index 的基址更新方式。这些控制信号决定参与地址加法的值和基址何时写回。</t>
        </is>
      </c>
      <c r="E22" s="22" t="inlineStr">
        <is>
          <t>错位拼接</t>
        </is>
      </c>
      <c r="F22"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2" s="22" t="inlineStr">
        <is>
          <t>F6</t>
        </is>
      </c>
      <c r="H22" s="22" t="inlineStr">
        <is>
          <t>首次出现指定事件时注入一次，如 TLB hit、SQ forward、dirty eviction、CAS 成功</t>
        </is>
      </c>
      <c r="I22" s="22" t="inlineStr">
        <is>
          <t>AGU-AddrModes AArch64 寻址模式探针（base+imm、base+index、扩展/移位、pre/post-index、LDP/STP）</t>
        </is>
      </c>
      <c r="J22" s="22" t="inlineStr">
        <is>
          <t>AGU-AddrModes AArch64 寻址模式探针（base+imm、base+index、扩展/移位、pre/post-index、LDP/STP）
执行定义与 oracle：覆盖 base+imm、base+index、LSL、UXTW/SXTW、pre/post-index、LDP/STP、非对齐和页边界；每地址附软件 oracle</t>
        </is>
      </c>
      <c r="K22" s="22" t="inlineStr">
        <is>
          <t>命中对应AArch64寻址模式</t>
        </is>
      </c>
      <c r="L22" s="22" t="inlineStr">
        <is>
          <t>L0 eligible/activated；L1 正确EA与故障EA、base/index/extend/shift、size/byte-enable；L2 TLB输入VA与cache request；L3 load返回/store落点；L4 commit首分歧；L5检测层级、控制情况与最终结局；记录寻址模式、基址写回值、错误潜伏提交数</t>
        </is>
      </c>
      <c r="M22" s="22" t="inlineStr">
        <is>
          <t>地址仍合法时高SDC；符号扩展和更新时点错误可能在数十条指令后才显现</t>
        </is>
      </c>
      <c r="N22" s="22" t="inlineStr">
        <is>
          <t>对应AGU真正的操作数选择和扩展逻辑，而非泛化位翻转</t>
        </is>
      </c>
      <c r="O22" s="22" t="inlineStr">
        <is>
          <t>无直接文献</t>
        </is>
      </c>
      <c r="P22" s="23" t="n"/>
      <c r="Q22" s="23" t="n"/>
      <c r="R22" s="23" t="n"/>
      <c r="S22" s="23" t="n"/>
      <c r="T22" s="23" t="n"/>
      <c r="U22" s="23" t="n"/>
      <c r="V22" s="23" t="n"/>
      <c r="W22" s="23" t="n"/>
      <c r="X22" s="35">
        <f>IF(OR(R22="",R22-AP22&lt;=0),"",AB22/(R22-AP22))</f>
        <v/>
      </c>
      <c r="Y22" s="35">
        <f>IF(OR(AR22="",AR22=0),"",R22/AR22)</f>
        <v/>
      </c>
      <c r="Z22" s="24" t="inlineStr">
        <is>
          <t>待执行</t>
        </is>
      </c>
      <c r="AA22" s="23" t="n"/>
      <c r="AB22" s="38" t="n"/>
      <c r="AC22" s="38" t="n"/>
      <c r="AD22" s="38" t="n"/>
      <c r="AE22" s="38" t="n"/>
      <c r="AF22" s="38" t="n"/>
      <c r="AG22" s="38" t="n"/>
      <c r="AH22" s="38" t="n"/>
      <c r="AI22" s="38" t="n"/>
      <c r="AJ22" s="38" t="n"/>
      <c r="AK22" s="39" t="n"/>
      <c r="AL22" s="40">
        <f>IF(OR(R22="",R22-AP22&lt;=0),"",AO22/(R22-AP22))</f>
        <v/>
      </c>
      <c r="AM22" s="41">
        <f>IF(R22="","",SUM(AC22:AF22)-(R22-AP22))</f>
        <v/>
      </c>
      <c r="AN22" s="41">
        <f>IF(R22="","",SUM(S22:W22)+AP22-R22)</f>
        <v/>
      </c>
      <c r="AO22" s="44" t="n"/>
      <c r="AP22" s="45" t="n"/>
      <c r="AQ22" s="47" t="inlineStr">
        <is>
          <t>A05-a base/index互换；A05-b SXTW/UXTW互换；A05-c shift错误；A05-d pre/post-index错误</t>
        </is>
      </c>
      <c r="AR22" s="23" t="n"/>
      <c r="AS22" s="35">
        <f>IF(OR(Q22="",Q22=0),"",AR22/Q22)</f>
        <v/>
      </c>
      <c r="AT22" s="62" t="n">
        <v>30</v>
      </c>
      <c r="AU22" s="62" t="n">
        <v>385</v>
      </c>
      <c r="AV22" s="62" t="inlineStr">
        <is>
          <t>常规</t>
        </is>
      </c>
      <c r="AW22" s="62" t="inlineStr">
        <is>
          <t>累计至少385，不机械扩展到2401</t>
        </is>
      </c>
    </row>
    <row r="23" ht="94.15000000000001" customHeight="1" s="58">
      <c r="A23" s="21" t="inlineStr">
        <is>
          <t>A06-F0-W3</t>
        </is>
      </c>
      <c r="B23" s="21" t="inlineStr">
        <is>
          <t>A06</t>
        </is>
      </c>
      <c r="C23" s="21" t="inlineStr">
        <is>
          <t>AGU</t>
        </is>
      </c>
      <c r="D23" s="22" t="inlineStr">
        <is>
          <t>AGU/LSU 随访存请求生成的 access-size 与 byte-enable 字段。access-size 表示本次访问是 1/2/4/8/16B，byte-enable 指定 cache line 中哪些字节真正读写；地址正确但这些字段错误仍会造成截断、越界字节或部分写。</t>
        </is>
      </c>
      <c r="E23" s="22" t="inlineStr">
        <is>
          <t>状态</t>
        </is>
      </c>
      <c r="F23"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3" s="22" t="inlineStr">
        <is>
          <t>F0</t>
        </is>
      </c>
      <c r="H23" s="22" t="inlineStr">
        <is>
          <t>每次运行只注入 1 次；在 warm-up 后的 eligible event 中均匀抽样</t>
        </is>
      </c>
      <c r="I23" s="22" t="inlineStr">
        <is>
          <t>AGU-AddrModes AArch64 寻址模式探针（base+imm、base+index、扩展/移位、pre/post-index、LDP/STP）</t>
        </is>
      </c>
      <c r="J23" s="22" t="inlineStr">
        <is>
          <t>AGU-AddrModes AArch64 寻址模式探针（base+imm、base+index、扩展/移位、pre/post-index、LDP/STP）
执行定义与 oracle：覆盖 base+imm、base+index、LSL、UXTW/SXTW、pre/post-index、LDP/STP、非对齐和页边界；每地址附软件 oracle</t>
        </is>
      </c>
      <c r="K23" s="22" t="inlineStr">
        <is>
          <t>子字节或向量访存</t>
        </is>
      </c>
      <c r="L23" s="22" t="inlineStr">
        <is>
          <t>L0 eligible/activated；L1 正确EA与故障EA、base/index/extend/shift、size/byte-enable；L2 TLB输入VA与cache request；L3 load返回/store落点；L4 commit首分歧；L5检测层级、控制情况与最终结局；逐字节store日志、相邻字节canary、load扩展方式</t>
        </is>
      </c>
      <c r="M23" s="22" t="inlineStr">
        <is>
          <t>partial store最易静默污染相邻字节；load可能表现为截断/符号扩展错误</t>
        </is>
      </c>
      <c r="N23" s="22" t="inlineStr">
        <is>
          <t>地址正确并不保证写入范围正确；这是AGU/LSU控制路径的高价值结构化故障</t>
        </is>
      </c>
      <c r="O23" s="22" t="inlineStr">
        <is>
          <t>本方案结构化模型</t>
        </is>
      </c>
      <c r="P23" s="23" t="n"/>
      <c r="Q23" s="23" t="n"/>
      <c r="R23" s="23" t="n"/>
      <c r="S23" s="23" t="n"/>
      <c r="T23" s="23" t="n"/>
      <c r="U23" s="23" t="n"/>
      <c r="V23" s="23" t="n"/>
      <c r="W23" s="23" t="n"/>
      <c r="X23" s="35">
        <f>IF(OR(R23="",R23-AP23&lt;=0),"",AB23/(R23-AP23))</f>
        <v/>
      </c>
      <c r="Y23" s="35">
        <f>IF(OR(AR23="",AR23=0),"",R23/AR23)</f>
        <v/>
      </c>
      <c r="Z23" s="24" t="inlineStr">
        <is>
          <t>待执行</t>
        </is>
      </c>
      <c r="AA23" s="23" t="n"/>
      <c r="AB23" s="38" t="n"/>
      <c r="AC23" s="38" t="n"/>
      <c r="AD23" s="38" t="n"/>
      <c r="AE23" s="38" t="n"/>
      <c r="AF23" s="38" t="n"/>
      <c r="AG23" s="38" t="n"/>
      <c r="AH23" s="38" t="n"/>
      <c r="AI23" s="38" t="n"/>
      <c r="AJ23" s="38" t="n"/>
      <c r="AK23" s="39" t="n"/>
      <c r="AL23" s="40">
        <f>IF(OR(R23="",R23-AP23&lt;=0),"",AO23/(R23-AP23))</f>
        <v/>
      </c>
      <c r="AM23" s="41">
        <f>IF(R23="","",SUM(AC23:AF23)-(R23-AP23))</f>
        <v/>
      </c>
      <c r="AN23" s="41">
        <f>IF(R23="","",SUM(S23:W23)+AP23-R23)</f>
        <v/>
      </c>
      <c r="AO23" s="44" t="n"/>
      <c r="AP23" s="45" t="n"/>
      <c r="AQ23" s="47" t="inlineStr">
        <is>
          <t>A06-a access size改为另一合法值；A06-b byte-enable改为另一合法掩码</t>
        </is>
      </c>
      <c r="AR23" s="23" t="n"/>
      <c r="AS23" s="35">
        <f>IF(OR(Q23="",Q23=0),"",AR23/Q23)</f>
        <v/>
      </c>
      <c r="AT23" s="62" t="n">
        <v>30</v>
      </c>
      <c r="AU23" s="62" t="n">
        <v>385</v>
      </c>
      <c r="AV23" s="62" t="inlineStr">
        <is>
          <t>常规</t>
        </is>
      </c>
      <c r="AW23" s="62" t="inlineStr">
        <is>
          <t>累计至少385，不机械扩展到2401</t>
        </is>
      </c>
    </row>
    <row r="24" ht="94.15000000000001" customHeight="1" s="58">
      <c r="A24" s="21" t="inlineStr">
        <is>
          <t>A06-F0-W5</t>
        </is>
      </c>
      <c r="B24" s="21" t="inlineStr">
        <is>
          <t>A06</t>
        </is>
      </c>
      <c r="C24" s="21" t="inlineStr">
        <is>
          <t>AGU</t>
        </is>
      </c>
      <c r="D24" s="22" t="inlineStr">
        <is>
          <t>AGU/LSU 随访存请求生成的 access-size 与 byte-enable 字段。access-size 表示本次访问是 1/2/4/8/16B，byte-enable 指定 cache line 中哪些字节真正读写；地址正确但这些字段错误仍会造成截断、越界字节或部分写。</t>
        </is>
      </c>
      <c r="E24" s="22" t="inlineStr">
        <is>
          <t>状态</t>
        </is>
      </c>
      <c r="F24"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4" s="22" t="inlineStr">
        <is>
          <t>F0</t>
        </is>
      </c>
      <c r="H24" s="22" t="inlineStr">
        <is>
          <t>每次运行只注入 1 次；在 warm-up 后的 eligible event 中均匀抽样</t>
        </is>
      </c>
      <c r="I24" s="22" t="inlineStr">
        <is>
          <t>SQ-Forward 转发探针（同地址/部分重叠 store-to-load forwarding、字节掩码、alias、replay）</t>
        </is>
      </c>
      <c r="J24" s="22" t="inlineStr">
        <is>
          <t>SQ-Forward 转发探针（同地址/部分重叠 store-to-load forwarding、字节掩码、alias、replay）
执行定义与 oracle：同地址与部分重叠 store-to-load forwarding、不同字节掩码、地址晚到/数据晚到、alias、replay</t>
        </is>
      </c>
      <c r="K24" s="22" t="inlineStr">
        <is>
          <t>子字节或向量访存</t>
        </is>
      </c>
      <c r="L24" s="22" t="inlineStr">
        <is>
          <t>L0 eligible/activated；L1 正确EA与故障EA、base/index/extend/shift、size/byte-enable；L2 TLB输入VA与cache request；L3 load返回/store落点；L4 commit首分歧；L5检测层级、控制情况与最终结局；逐字节store日志、相邻字节canary、load扩展方式</t>
        </is>
      </c>
      <c r="M24" s="22" t="inlineStr">
        <is>
          <t>partial store最易静默污染相邻字节；load可能表现为截断/符号扩展错误</t>
        </is>
      </c>
      <c r="N24" s="22" t="inlineStr">
        <is>
          <t>地址正确并不保证写入范围正确；这是AGU/LSU控制路径的高价值结构化故障</t>
        </is>
      </c>
      <c r="O24" s="22" t="inlineStr">
        <is>
          <t>本方案结构化模型</t>
        </is>
      </c>
      <c r="P24" s="23" t="n"/>
      <c r="Q24" s="23" t="n"/>
      <c r="R24" s="23" t="n"/>
      <c r="S24" s="23" t="n"/>
      <c r="T24" s="23" t="n"/>
      <c r="U24" s="23" t="n"/>
      <c r="V24" s="23" t="n"/>
      <c r="W24" s="23" t="n"/>
      <c r="X24" s="35">
        <f>IF(OR(R24="",R24-AP24&lt;=0),"",AB24/(R24-AP24))</f>
        <v/>
      </c>
      <c r="Y24" s="35">
        <f>IF(OR(AR24="",AR24=0),"",R24/AR24)</f>
        <v/>
      </c>
      <c r="Z24" s="24" t="inlineStr">
        <is>
          <t>待执行</t>
        </is>
      </c>
      <c r="AA24" s="23" t="n"/>
      <c r="AB24" s="38" t="n"/>
      <c r="AC24" s="38" t="n"/>
      <c r="AD24" s="38" t="n"/>
      <c r="AE24" s="38" t="n"/>
      <c r="AF24" s="38" t="n"/>
      <c r="AG24" s="38" t="n"/>
      <c r="AH24" s="38" t="n"/>
      <c r="AI24" s="38" t="n"/>
      <c r="AJ24" s="38" t="n"/>
      <c r="AK24" s="39" t="n"/>
      <c r="AL24" s="40">
        <f>IF(OR(R24="",R24-AP24&lt;=0),"",AO24/(R24-AP24))</f>
        <v/>
      </c>
      <c r="AM24" s="41">
        <f>IF(R24="","",SUM(AC24:AF24)-(R24-AP24))</f>
        <v/>
      </c>
      <c r="AN24" s="41">
        <f>IF(R24="","",SUM(S24:W24)+AP24-R24)</f>
        <v/>
      </c>
      <c r="AO24" s="44" t="n"/>
      <c r="AP24" s="45" t="n"/>
      <c r="AQ24" s="47" t="inlineStr">
        <is>
          <t>A06-a access size改为另一合法值；A06-b byte-enable改为另一合法掩码</t>
        </is>
      </c>
      <c r="AR24" s="23" t="n"/>
      <c r="AS24" s="35">
        <f>IF(OR(Q24="",Q24=0),"",AR24/Q24)</f>
        <v/>
      </c>
      <c r="AT24" s="62" t="n">
        <v>30</v>
      </c>
      <c r="AU24" s="62" t="n">
        <v>385</v>
      </c>
      <c r="AV24" s="62" t="inlineStr">
        <is>
          <t>常规</t>
        </is>
      </c>
      <c r="AW24" s="62" t="inlineStr">
        <is>
          <t>累计至少385，不机械扩展到2401</t>
        </is>
      </c>
    </row>
    <row r="25" ht="94.15000000000001" customHeight="1" s="58">
      <c r="A25" s="21" t="inlineStr">
        <is>
          <t>A06-F2-W3</t>
        </is>
      </c>
      <c r="B25" s="21" t="inlineStr">
        <is>
          <t>A06</t>
        </is>
      </c>
      <c r="C25" s="21" t="inlineStr">
        <is>
          <t>AGU</t>
        </is>
      </c>
      <c r="D25" s="22" t="inlineStr">
        <is>
          <t>AGU/LSU 随访存请求生成的 access-size 与 byte-enable 字段。access-size 表示本次访问是 1/2/4/8/16B，byte-enable 指定 cache line 中哪些字节真正读写；地址正确但这些字段错误仍会造成截断、越界字节或部分写。</t>
        </is>
      </c>
      <c r="E25" s="22" t="inlineStr">
        <is>
          <t>状态</t>
        </is>
      </c>
      <c r="F25"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5" s="22" t="inlineStr">
        <is>
          <t>F2</t>
        </is>
      </c>
      <c r="H25" s="22" t="inlineStr">
        <is>
          <t>平均每 100,000 个 eligible events 注入 1 次，间隔加入 ±50% 抖动</t>
        </is>
      </c>
      <c r="I25" s="22" t="inlineStr">
        <is>
          <t>AGU-AddrModes AArch64 寻址模式探针（base+imm、base+index、扩展/移位、pre/post-index、LDP/STP）</t>
        </is>
      </c>
      <c r="J25" s="22" t="inlineStr">
        <is>
          <t>AGU-AddrModes AArch64 寻址模式探针（base+imm、base+index、扩展/移位、pre/post-index、LDP/STP）
执行定义与 oracle：覆盖 base+imm、base+index、LSL、UXTW/SXTW、pre/post-index、LDP/STP、非对齐和页边界；每地址附软件 oracle</t>
        </is>
      </c>
      <c r="K25" s="22" t="inlineStr">
        <is>
          <t>子字节或向量访存</t>
        </is>
      </c>
      <c r="L25" s="22" t="inlineStr">
        <is>
          <t>L0 eligible/activated；L1 正确EA与故障EA、base/index/extend/shift、size/byte-enable；L2 TLB输入VA与cache request；L3 load返回/store落点；L4 commit首分歧；L5检测层级、控制情况与最终结局；逐字节store日志、相邻字节canary、load扩展方式</t>
        </is>
      </c>
      <c r="M25" s="22" t="inlineStr">
        <is>
          <t>partial store最易静默污染相邻字节；load可能表现为截断/符号扩展错误</t>
        </is>
      </c>
      <c r="N25" s="22" t="inlineStr">
        <is>
          <t>地址正确并不保证写入范围正确；这是AGU/LSU控制路径的高价值结构化故障</t>
        </is>
      </c>
      <c r="O25" s="22" t="inlineStr">
        <is>
          <t>本方案结构化模型</t>
        </is>
      </c>
      <c r="P25" s="23" t="n"/>
      <c r="Q25" s="23" t="n"/>
      <c r="R25" s="23" t="n"/>
      <c r="S25" s="23" t="n"/>
      <c r="T25" s="23" t="n"/>
      <c r="U25" s="23" t="n"/>
      <c r="V25" s="23" t="n"/>
      <c r="W25" s="23" t="n"/>
      <c r="X25" s="35">
        <f>IF(OR(R25="",R25-AP25&lt;=0),"",AB25/(R25-AP25))</f>
        <v/>
      </c>
      <c r="Y25" s="35">
        <f>IF(OR(AR25="",AR25=0),"",R25/AR25)</f>
        <v/>
      </c>
      <c r="Z25" s="24" t="inlineStr">
        <is>
          <t>待执行</t>
        </is>
      </c>
      <c r="AA25" s="23" t="n"/>
      <c r="AB25" s="38" t="n"/>
      <c r="AC25" s="38" t="n"/>
      <c r="AD25" s="38" t="n"/>
      <c r="AE25" s="38" t="n"/>
      <c r="AF25" s="38" t="n"/>
      <c r="AG25" s="38" t="n"/>
      <c r="AH25" s="38" t="n"/>
      <c r="AI25" s="38" t="n"/>
      <c r="AJ25" s="38" t="n"/>
      <c r="AK25" s="39" t="n"/>
      <c r="AL25" s="40">
        <f>IF(OR(R25="",R25-AP25&lt;=0),"",AO25/(R25-AP25))</f>
        <v/>
      </c>
      <c r="AM25" s="41">
        <f>IF(R25="","",SUM(AC25:AF25)-(R25-AP25))</f>
        <v/>
      </c>
      <c r="AN25" s="41">
        <f>IF(R25="","",SUM(S25:W25)+AP25-R25)</f>
        <v/>
      </c>
      <c r="AO25" s="44" t="n"/>
      <c r="AP25" s="45" t="n"/>
      <c r="AQ25" s="47" t="inlineStr">
        <is>
          <t>A06-a access size改为另一合法值；A06-b byte-enable改为另一合法掩码</t>
        </is>
      </c>
      <c r="AR25" s="23" t="n"/>
      <c r="AS25" s="35">
        <f>IF(OR(Q25="",Q25=0),"",AR25/Q25)</f>
        <v/>
      </c>
      <c r="AT25" s="62" t="n">
        <v>30</v>
      </c>
      <c r="AU25" s="62" t="n">
        <v>385</v>
      </c>
      <c r="AV25" s="62" t="inlineStr">
        <is>
          <t>常规</t>
        </is>
      </c>
      <c r="AW25" s="62" t="inlineStr">
        <is>
          <t>累计至少385，不机械扩展到2401</t>
        </is>
      </c>
    </row>
    <row r="26" ht="94.15000000000001" customHeight="1" s="58">
      <c r="A26" s="21" t="inlineStr">
        <is>
          <t>A06-F2-W5</t>
        </is>
      </c>
      <c r="B26" s="21" t="inlineStr">
        <is>
          <t>A06</t>
        </is>
      </c>
      <c r="C26" s="21" t="inlineStr">
        <is>
          <t>AGU</t>
        </is>
      </c>
      <c r="D26" s="22" t="inlineStr">
        <is>
          <t>AGU/LSU 随访存请求生成的 access-size 与 byte-enable 字段。access-size 表示本次访问是 1/2/4/8/16B，byte-enable 指定 cache line 中哪些字节真正读写；地址正确但这些字段错误仍会造成截断、越界字节或部分写。</t>
        </is>
      </c>
      <c r="E26" s="22" t="inlineStr">
        <is>
          <t>状态</t>
        </is>
      </c>
      <c r="F26"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6" s="22" t="inlineStr">
        <is>
          <t>F2</t>
        </is>
      </c>
      <c r="H26" s="22" t="inlineStr">
        <is>
          <t>平均每 100,000 个 eligible events 注入 1 次，间隔加入 ±50% 抖动</t>
        </is>
      </c>
      <c r="I26" s="22" t="inlineStr">
        <is>
          <t>SQ-Forward 转发探针（同地址/部分重叠 store-to-load forwarding、字节掩码、alias、replay）</t>
        </is>
      </c>
      <c r="J26" s="22" t="inlineStr">
        <is>
          <t>SQ-Forward 转发探针（同地址/部分重叠 store-to-load forwarding、字节掩码、alias、replay）
执行定义与 oracle：同地址与部分重叠 store-to-load forwarding、不同字节掩码、地址晚到/数据晚到、alias、replay</t>
        </is>
      </c>
      <c r="K26" s="22" t="inlineStr">
        <is>
          <t>子字节或向量访存</t>
        </is>
      </c>
      <c r="L26" s="22" t="inlineStr">
        <is>
          <t>L0 eligible/activated；L1 正确EA与故障EA、base/index/extend/shift、size/byte-enable；L2 TLB输入VA与cache request；L3 load返回/store落点；L4 commit首分歧；L5检测层级、控制情况与最终结局；逐字节store日志、相邻字节canary、load扩展方式</t>
        </is>
      </c>
      <c r="M26" s="22" t="inlineStr">
        <is>
          <t>partial store最易静默污染相邻字节；load可能表现为截断/符号扩展错误</t>
        </is>
      </c>
      <c r="N26" s="22" t="inlineStr">
        <is>
          <t>地址正确并不保证写入范围正确；这是AGU/LSU控制路径的高价值结构化故障</t>
        </is>
      </c>
      <c r="O26" s="22" t="inlineStr">
        <is>
          <t>本方案结构化模型</t>
        </is>
      </c>
      <c r="P26" s="23" t="n"/>
      <c r="Q26" s="23" t="n"/>
      <c r="R26" s="23" t="n"/>
      <c r="S26" s="23" t="n"/>
      <c r="T26" s="23" t="n"/>
      <c r="U26" s="23" t="n"/>
      <c r="V26" s="23" t="n"/>
      <c r="W26" s="23" t="n"/>
      <c r="X26" s="35">
        <f>IF(OR(R26="",R26-AP26&lt;=0),"",AB26/(R26-AP26))</f>
        <v/>
      </c>
      <c r="Y26" s="35">
        <f>IF(OR(AR26="",AR26=0),"",R26/AR26)</f>
        <v/>
      </c>
      <c r="Z26" s="24" t="inlineStr">
        <is>
          <t>待执行</t>
        </is>
      </c>
      <c r="AA26" s="23" t="n"/>
      <c r="AB26" s="38" t="n"/>
      <c r="AC26" s="38" t="n"/>
      <c r="AD26" s="38" t="n"/>
      <c r="AE26" s="38" t="n"/>
      <c r="AF26" s="38" t="n"/>
      <c r="AG26" s="38" t="n"/>
      <c r="AH26" s="38" t="n"/>
      <c r="AI26" s="38" t="n"/>
      <c r="AJ26" s="38" t="n"/>
      <c r="AK26" s="39" t="n"/>
      <c r="AL26" s="40">
        <f>IF(OR(R26="",R26-AP26&lt;=0),"",AO26/(R26-AP26))</f>
        <v/>
      </c>
      <c r="AM26" s="41">
        <f>IF(R26="","",SUM(AC26:AF26)-(R26-AP26))</f>
        <v/>
      </c>
      <c r="AN26" s="41">
        <f>IF(R26="","",SUM(S26:W26)+AP26-R26)</f>
        <v/>
      </c>
      <c r="AO26" s="44" t="n"/>
      <c r="AP26" s="45" t="n"/>
      <c r="AQ26" s="47" t="inlineStr">
        <is>
          <t>A06-a access size改为另一合法值；A06-b byte-enable改为另一合法掩码</t>
        </is>
      </c>
      <c r="AR26" s="23" t="n"/>
      <c r="AS26" s="35">
        <f>IF(OR(Q26="",Q26=0),"",AR26/Q26)</f>
        <v/>
      </c>
      <c r="AT26" s="62" t="n">
        <v>30</v>
      </c>
      <c r="AU26" s="62" t="n">
        <v>385</v>
      </c>
      <c r="AV26" s="62" t="inlineStr">
        <is>
          <t>常规</t>
        </is>
      </c>
      <c r="AW26" s="62" t="inlineStr">
        <is>
          <t>累计至少385，不机械扩展到2401</t>
        </is>
      </c>
    </row>
    <row r="27" ht="94.15000000000001" customHeight="1" s="58">
      <c r="A27" s="21" t="inlineStr">
        <is>
          <t>A06-F6-W3</t>
        </is>
      </c>
      <c r="B27" s="21" t="inlineStr">
        <is>
          <t>A06</t>
        </is>
      </c>
      <c r="C27" s="21" t="inlineStr">
        <is>
          <t>AGU</t>
        </is>
      </c>
      <c r="D27" s="22" t="inlineStr">
        <is>
          <t>AGU/LSU 随访存请求生成的 access-size 与 byte-enable 字段。access-size 表示本次访问是 1/2/4/8/16B，byte-enable 指定 cache line 中哪些字节真正读写；地址正确但这些字段错误仍会造成截断、越界字节或部分写。</t>
        </is>
      </c>
      <c r="E27" s="22" t="inlineStr">
        <is>
          <t>状态</t>
        </is>
      </c>
      <c r="F27"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7" s="22" t="inlineStr">
        <is>
          <t>F6</t>
        </is>
      </c>
      <c r="H27" s="22" t="inlineStr">
        <is>
          <t>首次出现指定事件时注入一次，如 TLB hit、SQ forward、dirty eviction、CAS 成功</t>
        </is>
      </c>
      <c r="I27" s="22" t="inlineStr">
        <is>
          <t>AGU-AddrModes AArch64 寻址模式探针（base+imm、base+index、扩展/移位、pre/post-index、LDP/STP）</t>
        </is>
      </c>
      <c r="J27" s="22" t="inlineStr">
        <is>
          <t>AGU-AddrModes AArch64 寻址模式探针（base+imm、base+index、扩展/移位、pre/post-index、LDP/STP）
执行定义与 oracle：覆盖 base+imm、base+index、LSL、UXTW/SXTW、pre/post-index、LDP/STP、非对齐和页边界；每地址附软件 oracle</t>
        </is>
      </c>
      <c r="K27" s="22" t="inlineStr">
        <is>
          <t>子字节或向量访存</t>
        </is>
      </c>
      <c r="L27" s="22" t="inlineStr">
        <is>
          <t>L0 eligible/activated；L1 正确EA与故障EA、base/index/extend/shift、size/byte-enable；L2 TLB输入VA与cache request；L3 load返回/store落点；L4 commit首分歧；L5检测层级、控制情况与最终结局；逐字节store日志、相邻字节canary、load扩展方式</t>
        </is>
      </c>
      <c r="M27" s="22" t="inlineStr">
        <is>
          <t>partial store最易静默污染相邻字节；load可能表现为截断/符号扩展错误</t>
        </is>
      </c>
      <c r="N27" s="22" t="inlineStr">
        <is>
          <t>地址正确并不保证写入范围正确；这是AGU/LSU控制路径的高价值结构化故障</t>
        </is>
      </c>
      <c r="O27" s="22" t="inlineStr">
        <is>
          <t>本方案结构化模型</t>
        </is>
      </c>
      <c r="P27" s="23" t="n"/>
      <c r="Q27" s="23" t="n"/>
      <c r="R27" s="23" t="n"/>
      <c r="S27" s="23" t="n"/>
      <c r="T27" s="23" t="n"/>
      <c r="U27" s="23" t="n"/>
      <c r="V27" s="23" t="n"/>
      <c r="W27" s="23" t="n"/>
      <c r="X27" s="35">
        <f>IF(OR(R27="",R27-AP27&lt;=0),"",AB27/(R27-AP27))</f>
        <v/>
      </c>
      <c r="Y27" s="35">
        <f>IF(OR(AR27="",AR27=0),"",R27/AR27)</f>
        <v/>
      </c>
      <c r="Z27" s="24" t="inlineStr">
        <is>
          <t>待执行</t>
        </is>
      </c>
      <c r="AA27" s="23" t="n"/>
      <c r="AB27" s="38" t="n"/>
      <c r="AC27" s="38" t="n"/>
      <c r="AD27" s="38" t="n"/>
      <c r="AE27" s="38" t="n"/>
      <c r="AF27" s="38" t="n"/>
      <c r="AG27" s="38" t="n"/>
      <c r="AH27" s="38" t="n"/>
      <c r="AI27" s="38" t="n"/>
      <c r="AJ27" s="38" t="n"/>
      <c r="AK27" s="39" t="n"/>
      <c r="AL27" s="40">
        <f>IF(OR(R27="",R27-AP27&lt;=0),"",AO27/(R27-AP27))</f>
        <v/>
      </c>
      <c r="AM27" s="41">
        <f>IF(R27="","",SUM(AC27:AF27)-(R27-AP27))</f>
        <v/>
      </c>
      <c r="AN27" s="41">
        <f>IF(R27="","",SUM(S27:W27)+AP27-R27)</f>
        <v/>
      </c>
      <c r="AO27" s="44" t="n"/>
      <c r="AP27" s="45" t="n"/>
      <c r="AQ27" s="47" t="inlineStr">
        <is>
          <t>A06-a access size改为另一合法值；A06-b byte-enable改为另一合法掩码</t>
        </is>
      </c>
      <c r="AR27" s="23" t="n"/>
      <c r="AS27" s="35">
        <f>IF(OR(Q27="",Q27=0),"",AR27/Q27)</f>
        <v/>
      </c>
      <c r="AT27" s="62" t="n">
        <v>30</v>
      </c>
      <c r="AU27" s="62" t="n">
        <v>385</v>
      </c>
      <c r="AV27" s="62" t="inlineStr">
        <is>
          <t>常规</t>
        </is>
      </c>
      <c r="AW27" s="62" t="inlineStr">
        <is>
          <t>累计至少385，不机械扩展到2401</t>
        </is>
      </c>
    </row>
    <row r="28" ht="94.15000000000001" customHeight="1" s="58">
      <c r="A28" s="21" t="inlineStr">
        <is>
          <t>A06-F6-W5</t>
        </is>
      </c>
      <c r="B28" s="21" t="inlineStr">
        <is>
          <t>A06</t>
        </is>
      </c>
      <c r="C28" s="21" t="inlineStr">
        <is>
          <t>AGU</t>
        </is>
      </c>
      <c r="D28" s="22" t="inlineStr">
        <is>
          <t>AGU/LSU 随访存请求生成的 access-size 与 byte-enable 字段。access-size 表示本次访问是 1/2/4/8/16B，byte-enable 指定 cache line 中哪些字节真正读写；地址正确但这些字段错误仍会造成截断、越界字节或部分写。</t>
        </is>
      </c>
      <c r="E28" s="22" t="inlineStr">
        <is>
          <t>状态</t>
        </is>
      </c>
      <c r="F28"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8" s="22" t="inlineStr">
        <is>
          <t>F6</t>
        </is>
      </c>
      <c r="H28" s="22" t="inlineStr">
        <is>
          <t>首次出现指定事件时注入一次，如 TLB hit、SQ forward、dirty eviction、CAS 成功</t>
        </is>
      </c>
      <c r="I28" s="22" t="inlineStr">
        <is>
          <t>SQ-Forward 转发探针（同地址/部分重叠 store-to-load forwarding、字节掩码、alias、replay）</t>
        </is>
      </c>
      <c r="J28" s="22" t="inlineStr">
        <is>
          <t>SQ-Forward 转发探针（同地址/部分重叠 store-to-load forwarding、字节掩码、alias、replay）
执行定义与 oracle：同地址与部分重叠 store-to-load forwarding、不同字节掩码、地址晚到/数据晚到、alias、replay</t>
        </is>
      </c>
      <c r="K28" s="22" t="inlineStr">
        <is>
          <t>子字节或向量访存</t>
        </is>
      </c>
      <c r="L28" s="22" t="inlineStr">
        <is>
          <t>L0 eligible/activated；L1 正确EA与故障EA、base/index/extend/shift、size/byte-enable；L2 TLB输入VA与cache request；L3 load返回/store落点；L4 commit首分歧；L5检测层级、控制情况与最终结局；逐字节store日志、相邻字节canary、load扩展方式</t>
        </is>
      </c>
      <c r="M28" s="22" t="inlineStr">
        <is>
          <t>partial store最易静默污染相邻字节；load可能表现为截断/符号扩展错误</t>
        </is>
      </c>
      <c r="N28" s="22" t="inlineStr">
        <is>
          <t>地址正确并不保证写入范围正确；这是AGU/LSU控制路径的高价值结构化故障</t>
        </is>
      </c>
      <c r="O28" s="22" t="inlineStr">
        <is>
          <t>本方案结构化模型</t>
        </is>
      </c>
      <c r="P28" s="23" t="n"/>
      <c r="Q28" s="23" t="n"/>
      <c r="R28" s="23" t="n"/>
      <c r="S28" s="23" t="n"/>
      <c r="T28" s="23" t="n"/>
      <c r="U28" s="23" t="n"/>
      <c r="V28" s="23" t="n"/>
      <c r="W28" s="23" t="n"/>
      <c r="X28" s="35">
        <f>IF(OR(R28="",R28-AP28&lt;=0),"",AB28/(R28-AP28))</f>
        <v/>
      </c>
      <c r="Y28" s="35">
        <f>IF(OR(AR28="",AR28=0),"",R28/AR28)</f>
        <v/>
      </c>
      <c r="Z28" s="24" t="inlineStr">
        <is>
          <t>待执行</t>
        </is>
      </c>
      <c r="AA28" s="23" t="n"/>
      <c r="AB28" s="38" t="n"/>
      <c r="AC28" s="38" t="n"/>
      <c r="AD28" s="38" t="n"/>
      <c r="AE28" s="38" t="n"/>
      <c r="AF28" s="38" t="n"/>
      <c r="AG28" s="38" t="n"/>
      <c r="AH28" s="38" t="n"/>
      <c r="AI28" s="38" t="n"/>
      <c r="AJ28" s="38" t="n"/>
      <c r="AK28" s="39" t="n"/>
      <c r="AL28" s="40">
        <f>IF(OR(R28="",R28-AP28&lt;=0),"",AO28/(R28-AP28))</f>
        <v/>
      </c>
      <c r="AM28" s="41">
        <f>IF(R28="","",SUM(AC28:AF28)-(R28-AP28))</f>
        <v/>
      </c>
      <c r="AN28" s="41">
        <f>IF(R28="","",SUM(S28:W28)+AP28-R28)</f>
        <v/>
      </c>
      <c r="AO28" s="44" t="n"/>
      <c r="AP28" s="45" t="n"/>
      <c r="AQ28" s="47" t="inlineStr">
        <is>
          <t>A06-a access size改为另一合法值；A06-b byte-enable改为另一合法掩码</t>
        </is>
      </c>
      <c r="AR28" s="23" t="n"/>
      <c r="AS28" s="35">
        <f>IF(OR(Q28="",Q28=0),"",AR28/Q28)</f>
        <v/>
      </c>
      <c r="AT28" s="62" t="n">
        <v>30</v>
      </c>
      <c r="AU28" s="62" t="n">
        <v>385</v>
      </c>
      <c r="AV28" s="62" t="inlineStr">
        <is>
          <t>常规</t>
        </is>
      </c>
      <c r="AW28" s="62" t="inlineStr">
        <is>
          <t>累计至少385，不机械扩展到2401</t>
        </is>
      </c>
    </row>
    <row r="29" ht="94.15000000000001" customHeight="1" s="58">
      <c r="A29" s="21" t="inlineStr">
        <is>
          <t>A07-F0-W3</t>
        </is>
      </c>
      <c r="B29" s="21" t="inlineStr">
        <is>
          <t>A07</t>
        </is>
      </c>
      <c r="C29" s="21" t="inlineStr">
        <is>
          <t>AGU</t>
        </is>
      </c>
      <c r="D29" s="22" t="inlineStr">
        <is>
          <t>AGU 结果的 address-ready 握手信号与 EA 流水锁存器。ready 告诉下游“本条地址已经可用”，锁存器保存跨周期的 EA；提前 ready 可能让下游读到上一拍旧地址，延后或丢失 ready 会造成停顿或请求丢失。</t>
        </is>
      </c>
      <c r="E29" s="22" t="inlineStr">
        <is>
          <t>时序</t>
        </is>
      </c>
      <c r="F29"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29" s="22" t="inlineStr">
        <is>
          <t>F0</t>
        </is>
      </c>
      <c r="H29" s="22" t="inlineStr">
        <is>
          <t>每次运行只注入 1 次；在 warm-up 后的 eligible event 中均匀抽样</t>
        </is>
      </c>
      <c r="I29" s="22" t="inlineStr">
        <is>
          <t>AGU-AddrModes AArch64 寻址模式探针（base+imm、base+index、扩展/移位、pre/post-index、LDP/STP）</t>
        </is>
      </c>
      <c r="J29" s="22" t="inlineStr">
        <is>
          <t>AGU-AddrModes AArch64 寻址模式探针（base+imm、base+index、扩展/移位、pre/post-index、LDP/STP）
执行定义与 oracle：覆盖 base+imm、base+index、LSL、UXTW/SXTW、pre/post-index、LDP/STP、非对齐和页边界；每地址附软件 oracle</t>
        </is>
      </c>
      <c r="K29" s="22" t="inlineStr">
        <is>
          <t>连续相关访存</t>
        </is>
      </c>
      <c r="L29" s="22" t="inlineStr">
        <is>
          <t>L0 eligible/activated；L1 正确EA与故障EA、base/index/extend/shift、size/byte-enable；L2 TLB输入VA与cache request；L3 load返回/store落点；L4 commit首分歧；L5检测层级、控制情况与最终结局；旧EA命中率、stall/replay、请求重复/丢失</t>
        </is>
      </c>
      <c r="M29" s="22" t="inlineStr">
        <is>
          <t>提前最危险，可能复用上一条EA并SDC；延后多为性能下降或Timeout</t>
        </is>
      </c>
      <c r="N29" s="22" t="inlineStr">
        <is>
          <t>覆盖小延迟故障映射到状态事件的后果</t>
        </is>
      </c>
      <c r="O29" s="22" t="inlineStr">
        <is>
          <t>MICRO'24 DelayAVF提供时延故障方法论，非直接AGU结果</t>
        </is>
      </c>
      <c r="P29" s="23" t="n"/>
      <c r="Q29" s="23" t="n"/>
      <c r="R29" s="23" t="n"/>
      <c r="S29" s="23" t="n"/>
      <c r="T29" s="23" t="n"/>
      <c r="U29" s="23" t="n"/>
      <c r="V29" s="23" t="n"/>
      <c r="W29" s="23" t="n"/>
      <c r="X29" s="35">
        <f>IF(OR(R29="",R29-AP29&lt;=0),"",AB29/(R29-AP29))</f>
        <v/>
      </c>
      <c r="Y29" s="35">
        <f>IF(OR(AR29="",AR29=0),"",R29/AR29)</f>
        <v/>
      </c>
      <c r="Z29" s="24" t="inlineStr">
        <is>
          <t>待执行</t>
        </is>
      </c>
      <c r="AA29" s="23" t="n"/>
      <c r="AB29" s="38" t="n"/>
      <c r="AC29" s="38" t="n"/>
      <c r="AD29" s="38" t="n"/>
      <c r="AE29" s="38" t="n"/>
      <c r="AF29" s="38" t="n"/>
      <c r="AG29" s="38" t="n"/>
      <c r="AH29" s="38" t="n"/>
      <c r="AI29" s="38" t="n"/>
      <c r="AJ29" s="38" t="n"/>
      <c r="AK29" s="39" t="n"/>
      <c r="AL29" s="40">
        <f>IF(OR(R29="",R29-AP29&lt;=0),"",AO29/(R29-AP29))</f>
        <v/>
      </c>
      <c r="AM29" s="41">
        <f>IF(R29="","",SUM(AC29:AF29)-(R29-AP29))</f>
        <v/>
      </c>
      <c r="AN29" s="41">
        <f>IF(R29="","",SUM(S29:W29)+AP29-R29)</f>
        <v/>
      </c>
      <c r="AO29" s="44" t="n"/>
      <c r="AP29" s="45" t="n"/>
      <c r="AQ29" s="47" t="inlineStr">
        <is>
          <t>A07-a ready过早并使用旧EA；A07-b ready延迟；A07-c ready丢失</t>
        </is>
      </c>
      <c r="AR29" s="23" t="n"/>
      <c r="AS29" s="35">
        <f>IF(OR(Q29="",Q29=0),"",AR29/Q29)</f>
        <v/>
      </c>
      <c r="AT29" s="62" t="n">
        <v>30</v>
      </c>
      <c r="AU29" s="62" t="n">
        <v>385</v>
      </c>
      <c r="AV29" s="62" t="inlineStr">
        <is>
          <t>常规</t>
        </is>
      </c>
      <c r="AW29" s="62" t="inlineStr">
        <is>
          <t>累计至少385，不机械扩展到2401</t>
        </is>
      </c>
    </row>
    <row r="30" ht="94.15000000000001" customHeight="1" s="58">
      <c r="A30" s="21" t="inlineStr">
        <is>
          <t>A07-F0-W5</t>
        </is>
      </c>
      <c r="B30" s="21" t="inlineStr">
        <is>
          <t>A07</t>
        </is>
      </c>
      <c r="C30" s="21" t="inlineStr">
        <is>
          <t>AGU</t>
        </is>
      </c>
      <c r="D30" s="22" t="inlineStr">
        <is>
          <t>AGU 结果的 address-ready 握手信号与 EA 流水锁存器。ready 告诉下游“本条地址已经可用”，锁存器保存跨周期的 EA；提前 ready 可能让下游读到上一拍旧地址，延后或丢失 ready 会造成停顿或请求丢失。</t>
        </is>
      </c>
      <c r="E30" s="22" t="inlineStr">
        <is>
          <t>时序</t>
        </is>
      </c>
      <c r="F30"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0" s="22" t="inlineStr">
        <is>
          <t>F0</t>
        </is>
      </c>
      <c r="H30" s="22" t="inlineStr">
        <is>
          <t>每次运行只注入 1 次；在 warm-up 后的 eligible event 中均匀抽样</t>
        </is>
      </c>
      <c r="I30" s="22" t="inlineStr">
        <is>
          <t>SQ-Forward 转发探针（同地址/部分重叠 store-to-load forwarding、字节掩码、alias、replay）</t>
        </is>
      </c>
      <c r="J30" s="22" t="inlineStr">
        <is>
          <t>SQ-Forward 转发探针（同地址/部分重叠 store-to-load forwarding、字节掩码、alias、replay）
执行定义与 oracle：同地址与部分重叠 store-to-load forwarding、不同字节掩码、地址晚到/数据晚到、alias、replay</t>
        </is>
      </c>
      <c r="K30" s="22" t="inlineStr">
        <is>
          <t>连续相关访存</t>
        </is>
      </c>
      <c r="L30" s="22" t="inlineStr">
        <is>
          <t>L0 eligible/activated；L1 正确EA与故障EA、base/index/extend/shift、size/byte-enable；L2 TLB输入VA与cache request；L3 load返回/store落点；L4 commit首分歧；L5检测层级、控制情况与最终结局；旧EA命中率、stall/replay、请求重复/丢失</t>
        </is>
      </c>
      <c r="M30" s="22" t="inlineStr">
        <is>
          <t>提前最危险，可能复用上一条EA并SDC；延后多为性能下降或Timeout</t>
        </is>
      </c>
      <c r="N30" s="22" t="inlineStr">
        <is>
          <t>覆盖小延迟故障映射到状态事件的后果</t>
        </is>
      </c>
      <c r="O30" s="22" t="inlineStr">
        <is>
          <t>MICRO'24 DelayAVF提供时延故障方法论，非直接AGU结果</t>
        </is>
      </c>
      <c r="P30" s="23" t="n"/>
      <c r="Q30" s="23" t="n"/>
      <c r="R30" s="23" t="n"/>
      <c r="S30" s="23" t="n"/>
      <c r="T30" s="23" t="n"/>
      <c r="U30" s="23" t="n"/>
      <c r="V30" s="23" t="n"/>
      <c r="W30" s="23" t="n"/>
      <c r="X30" s="35">
        <f>IF(OR(R30="",R30-AP30&lt;=0),"",AB30/(R30-AP30))</f>
        <v/>
      </c>
      <c r="Y30" s="35">
        <f>IF(OR(AR30="",AR30=0),"",R30/AR30)</f>
        <v/>
      </c>
      <c r="Z30" s="24" t="inlineStr">
        <is>
          <t>待执行</t>
        </is>
      </c>
      <c r="AA30" s="23" t="n"/>
      <c r="AB30" s="38" t="n"/>
      <c r="AC30" s="38" t="n"/>
      <c r="AD30" s="38" t="n"/>
      <c r="AE30" s="38" t="n"/>
      <c r="AF30" s="38" t="n"/>
      <c r="AG30" s="38" t="n"/>
      <c r="AH30" s="38" t="n"/>
      <c r="AI30" s="38" t="n"/>
      <c r="AJ30" s="38" t="n"/>
      <c r="AK30" s="39" t="n"/>
      <c r="AL30" s="40">
        <f>IF(OR(R30="",R30-AP30&lt;=0),"",AO30/(R30-AP30))</f>
        <v/>
      </c>
      <c r="AM30" s="41">
        <f>IF(R30="","",SUM(AC30:AF30)-(R30-AP30))</f>
        <v/>
      </c>
      <c r="AN30" s="41">
        <f>IF(R30="","",SUM(S30:W30)+AP30-R30)</f>
        <v/>
      </c>
      <c r="AO30" s="44" t="n"/>
      <c r="AP30" s="45" t="n"/>
      <c r="AQ30" s="47" t="inlineStr">
        <is>
          <t>A07-a ready过早并使用旧EA；A07-b ready延迟；A07-c ready丢失</t>
        </is>
      </c>
      <c r="AR30" s="23" t="n"/>
      <c r="AS30" s="35">
        <f>IF(OR(Q30="",Q30=0),"",AR30/Q30)</f>
        <v/>
      </c>
      <c r="AT30" s="62" t="n">
        <v>30</v>
      </c>
      <c r="AU30" s="62" t="n">
        <v>385</v>
      </c>
      <c r="AV30" s="62" t="inlineStr">
        <is>
          <t>常规</t>
        </is>
      </c>
      <c r="AW30" s="62" t="inlineStr">
        <is>
          <t>累计至少385，不机械扩展到2401</t>
        </is>
      </c>
    </row>
    <row r="31" ht="94.15000000000001" customHeight="1" s="58">
      <c r="A31" s="21" t="inlineStr">
        <is>
          <t>A07-F4-W3</t>
        </is>
      </c>
      <c r="B31" s="21" t="inlineStr">
        <is>
          <t>A07</t>
        </is>
      </c>
      <c r="C31" s="21" t="inlineStr">
        <is>
          <t>AGU</t>
        </is>
      </c>
      <c r="D31" s="22" t="inlineStr">
        <is>
          <t>AGU 结果的 address-ready 握手信号与 EA 流水锁存器。ready 告诉下游“本条地址已经可用”，锁存器保存跨周期的 EA；提前 ready 可能让下游读到上一拍旧地址，延后或丢失 ready 会造成停顿或请求丢失。</t>
        </is>
      </c>
      <c r="E31" s="22" t="inlineStr">
        <is>
          <t>时序</t>
        </is>
      </c>
      <c r="F31"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1" s="22" t="inlineStr">
        <is>
          <t>F4</t>
        </is>
      </c>
      <c r="H31" s="22" t="inlineStr">
        <is>
          <t>每 100,000 个 eligible events 触发一次，连续污染 2-4 个 eligible events</t>
        </is>
      </c>
      <c r="I31" s="22" t="inlineStr">
        <is>
          <t>AGU-AddrModes AArch64 寻址模式探针（base+imm、base+index、扩展/移位、pre/post-index、LDP/STP）</t>
        </is>
      </c>
      <c r="J31" s="22" t="inlineStr">
        <is>
          <t>AGU-AddrModes AArch64 寻址模式探针（base+imm、base+index、扩展/移位、pre/post-index、LDP/STP）
执行定义与 oracle：覆盖 base+imm、base+index、LSL、UXTW/SXTW、pre/post-index、LDP/STP、非对齐和页边界；每地址附软件 oracle</t>
        </is>
      </c>
      <c r="K31" s="22" t="inlineStr">
        <is>
          <t>连续相关访存</t>
        </is>
      </c>
      <c r="L31" s="22" t="inlineStr">
        <is>
          <t>L0 eligible/activated；L1 正确EA与故障EA、base/index/extend/shift、size/byte-enable；L2 TLB输入VA与cache request；L3 load返回/store落点；L4 commit首分歧；L5检测层级、控制情况与最终结局；旧EA命中率、stall/replay、请求重复/丢失</t>
        </is>
      </c>
      <c r="M31" s="22" t="inlineStr">
        <is>
          <t>提前最危险，可能复用上一条EA并SDC；延后多为性能下降或Timeout</t>
        </is>
      </c>
      <c r="N31" s="22" t="inlineStr">
        <is>
          <t>覆盖小延迟故障映射到状态事件的后果</t>
        </is>
      </c>
      <c r="O31" s="22" t="inlineStr">
        <is>
          <t>MICRO'24 DelayAVF提供时延故障方法论，非直接AGU结果</t>
        </is>
      </c>
      <c r="P31" s="23" t="n"/>
      <c r="Q31" s="23" t="n"/>
      <c r="R31" s="23" t="n"/>
      <c r="S31" s="23" t="n"/>
      <c r="T31" s="23" t="n"/>
      <c r="U31" s="23" t="n"/>
      <c r="V31" s="23" t="n"/>
      <c r="W31" s="23" t="n"/>
      <c r="X31" s="35">
        <f>IF(OR(R31="",R31-AP31&lt;=0),"",AB31/(R31-AP31))</f>
        <v/>
      </c>
      <c r="Y31" s="35">
        <f>IF(OR(AR31="",AR31=0),"",R31/AR31)</f>
        <v/>
      </c>
      <c r="Z31" s="24" t="inlineStr">
        <is>
          <t>待执行</t>
        </is>
      </c>
      <c r="AA31" s="23" t="n"/>
      <c r="AB31" s="38" t="n"/>
      <c r="AC31" s="38" t="n"/>
      <c r="AD31" s="38" t="n"/>
      <c r="AE31" s="38" t="n"/>
      <c r="AF31" s="38" t="n"/>
      <c r="AG31" s="38" t="n"/>
      <c r="AH31" s="38" t="n"/>
      <c r="AI31" s="38" t="n"/>
      <c r="AJ31" s="38" t="n"/>
      <c r="AK31" s="39" t="n"/>
      <c r="AL31" s="40">
        <f>IF(OR(R31="",R31-AP31&lt;=0),"",AO31/(R31-AP31))</f>
        <v/>
      </c>
      <c r="AM31" s="41">
        <f>IF(R31="","",SUM(AC31:AF31)-(R31-AP31))</f>
        <v/>
      </c>
      <c r="AN31" s="41">
        <f>IF(R31="","",SUM(S31:W31)+AP31-R31)</f>
        <v/>
      </c>
      <c r="AO31" s="44" t="n"/>
      <c r="AP31" s="45" t="n"/>
      <c r="AQ31" s="47" t="inlineStr">
        <is>
          <t>A07-a ready过早并使用旧EA；A07-b ready延迟；A07-c ready丢失</t>
        </is>
      </c>
      <c r="AR31" s="23" t="n"/>
      <c r="AS31" s="35">
        <f>IF(OR(Q31="",Q31=0),"",AR31/Q31)</f>
        <v/>
      </c>
      <c r="AT31" s="62" t="n">
        <v>30</v>
      </c>
      <c r="AU31" s="62" t="n">
        <v>385</v>
      </c>
      <c r="AV31" s="62" t="inlineStr">
        <is>
          <t>常规</t>
        </is>
      </c>
      <c r="AW31" s="62" t="inlineStr">
        <is>
          <t>累计至少385，不机械扩展到2401</t>
        </is>
      </c>
    </row>
    <row r="32" ht="94.15000000000001" customHeight="1" s="58">
      <c r="A32" s="21" t="inlineStr">
        <is>
          <t>A07-F4-W5</t>
        </is>
      </c>
      <c r="B32" s="21" t="inlineStr">
        <is>
          <t>A07</t>
        </is>
      </c>
      <c r="C32" s="21" t="inlineStr">
        <is>
          <t>AGU</t>
        </is>
      </c>
      <c r="D32" s="22" t="inlineStr">
        <is>
          <t>AGU 结果的 address-ready 握手信号与 EA 流水锁存器。ready 告诉下游“本条地址已经可用”，锁存器保存跨周期的 EA；提前 ready 可能让下游读到上一拍旧地址，延后或丢失 ready 会造成停顿或请求丢失。</t>
        </is>
      </c>
      <c r="E32" s="22" t="inlineStr">
        <is>
          <t>时序</t>
        </is>
      </c>
      <c r="F32"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2" s="22" t="inlineStr">
        <is>
          <t>F4</t>
        </is>
      </c>
      <c r="H32" s="22" t="inlineStr">
        <is>
          <t>每 100,000 个 eligible events 触发一次，连续污染 2-4 个 eligible events</t>
        </is>
      </c>
      <c r="I32" s="22" t="inlineStr">
        <is>
          <t>SQ-Forward 转发探针（同地址/部分重叠 store-to-load forwarding、字节掩码、alias、replay）</t>
        </is>
      </c>
      <c r="J32" s="22" t="inlineStr">
        <is>
          <t>SQ-Forward 转发探针（同地址/部分重叠 store-to-load forwarding、字节掩码、alias、replay）
执行定义与 oracle：同地址与部分重叠 store-to-load forwarding、不同字节掩码、地址晚到/数据晚到、alias、replay</t>
        </is>
      </c>
      <c r="K32" s="22" t="inlineStr">
        <is>
          <t>连续相关访存</t>
        </is>
      </c>
      <c r="L32" s="22" t="inlineStr">
        <is>
          <t>L0 eligible/activated；L1 正确EA与故障EA、base/index/extend/shift、size/byte-enable；L2 TLB输入VA与cache request；L3 load返回/store落点；L4 commit首分歧；L5检测层级、控制情况与最终结局；旧EA命中率、stall/replay、请求重复/丢失</t>
        </is>
      </c>
      <c r="M32" s="22" t="inlineStr">
        <is>
          <t>提前最危险，可能复用上一条EA并SDC；延后多为性能下降或Timeout</t>
        </is>
      </c>
      <c r="N32" s="22" t="inlineStr">
        <is>
          <t>覆盖小延迟故障映射到状态事件的后果</t>
        </is>
      </c>
      <c r="O32" s="22" t="inlineStr">
        <is>
          <t>MICRO'24 DelayAVF提供时延故障方法论，非直接AGU结果</t>
        </is>
      </c>
      <c r="P32" s="23" t="n"/>
      <c r="Q32" s="23" t="n"/>
      <c r="R32" s="23" t="n"/>
      <c r="S32" s="23" t="n"/>
      <c r="T32" s="23" t="n"/>
      <c r="U32" s="23" t="n"/>
      <c r="V32" s="23" t="n"/>
      <c r="W32" s="23" t="n"/>
      <c r="X32" s="35">
        <f>IF(OR(R32="",R32-AP32&lt;=0),"",AB32/(R32-AP32))</f>
        <v/>
      </c>
      <c r="Y32" s="35">
        <f>IF(OR(AR32="",AR32=0),"",R32/AR32)</f>
        <v/>
      </c>
      <c r="Z32" s="24" t="inlineStr">
        <is>
          <t>待执行</t>
        </is>
      </c>
      <c r="AA32" s="23" t="n"/>
      <c r="AB32" s="38" t="n"/>
      <c r="AC32" s="38" t="n"/>
      <c r="AD32" s="38" t="n"/>
      <c r="AE32" s="38" t="n"/>
      <c r="AF32" s="38" t="n"/>
      <c r="AG32" s="38" t="n"/>
      <c r="AH32" s="38" t="n"/>
      <c r="AI32" s="38" t="n"/>
      <c r="AJ32" s="38" t="n"/>
      <c r="AK32" s="39" t="n"/>
      <c r="AL32" s="40">
        <f>IF(OR(R32="",R32-AP32&lt;=0),"",AO32/(R32-AP32))</f>
        <v/>
      </c>
      <c r="AM32" s="41">
        <f>IF(R32="","",SUM(AC32:AF32)-(R32-AP32))</f>
        <v/>
      </c>
      <c r="AN32" s="41">
        <f>IF(R32="","",SUM(S32:W32)+AP32-R32)</f>
        <v/>
      </c>
      <c r="AO32" s="44" t="n"/>
      <c r="AP32" s="45" t="n"/>
      <c r="AQ32" s="47" t="inlineStr">
        <is>
          <t>A07-a ready过早并使用旧EA；A07-b ready延迟；A07-c ready丢失</t>
        </is>
      </c>
      <c r="AR32" s="23" t="n"/>
      <c r="AS32" s="35">
        <f>IF(OR(Q32="",Q32=0),"",AR32/Q32)</f>
        <v/>
      </c>
      <c r="AT32" s="62" t="n">
        <v>30</v>
      </c>
      <c r="AU32" s="62" t="n">
        <v>385</v>
      </c>
      <c r="AV32" s="62" t="inlineStr">
        <is>
          <t>常规</t>
        </is>
      </c>
      <c r="AW32" s="62" t="inlineStr">
        <is>
          <t>累计至少385，不机械扩展到2401</t>
        </is>
      </c>
    </row>
    <row r="33" ht="94.15000000000001" customHeight="1" s="58">
      <c r="A33" s="21" t="inlineStr">
        <is>
          <t>A07-F6-W3</t>
        </is>
      </c>
      <c r="B33" s="21" t="inlineStr">
        <is>
          <t>A07</t>
        </is>
      </c>
      <c r="C33" s="21" t="inlineStr">
        <is>
          <t>AGU</t>
        </is>
      </c>
      <c r="D33" s="22" t="inlineStr">
        <is>
          <t>AGU 结果的 address-ready 握手信号与 EA 流水锁存器。ready 告诉下游“本条地址已经可用”，锁存器保存跨周期的 EA；提前 ready 可能让下游读到上一拍旧地址，延后或丢失 ready 会造成停顿或请求丢失。</t>
        </is>
      </c>
      <c r="E33" s="22" t="inlineStr">
        <is>
          <t>时序</t>
        </is>
      </c>
      <c r="F33"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3" s="22" t="inlineStr">
        <is>
          <t>F6</t>
        </is>
      </c>
      <c r="H33" s="22" t="inlineStr">
        <is>
          <t>首次出现指定事件时注入一次，如 TLB hit、SQ forward、dirty eviction、CAS 成功</t>
        </is>
      </c>
      <c r="I33" s="22" t="inlineStr">
        <is>
          <t>AGU-AddrModes AArch64 寻址模式探针（base+imm、base+index、扩展/移位、pre/post-index、LDP/STP）</t>
        </is>
      </c>
      <c r="J33" s="22" t="inlineStr">
        <is>
          <t>AGU-AddrModes AArch64 寻址模式探针（base+imm、base+index、扩展/移位、pre/post-index、LDP/STP）
执行定义与 oracle：覆盖 base+imm、base+index、LSL、UXTW/SXTW、pre/post-index、LDP/STP、非对齐和页边界；每地址附软件 oracle</t>
        </is>
      </c>
      <c r="K33" s="22" t="inlineStr">
        <is>
          <t>连续相关访存</t>
        </is>
      </c>
      <c r="L33" s="22" t="inlineStr">
        <is>
          <t>L0 eligible/activated；L1 正确EA与故障EA、base/index/extend/shift、size/byte-enable；L2 TLB输入VA与cache request；L3 load返回/store落点；L4 commit首分歧；L5检测层级、控制情况与最终结局；旧EA命中率、stall/replay、请求重复/丢失</t>
        </is>
      </c>
      <c r="M33" s="22" t="inlineStr">
        <is>
          <t>提前最危险，可能复用上一条EA并SDC；延后多为性能下降或Timeout</t>
        </is>
      </c>
      <c r="N33" s="22" t="inlineStr">
        <is>
          <t>覆盖小延迟故障映射到状态事件的后果</t>
        </is>
      </c>
      <c r="O33" s="22" t="inlineStr">
        <is>
          <t>MICRO'24 DelayAVF提供时延故障方法论，非直接AGU结果</t>
        </is>
      </c>
      <c r="P33" s="23" t="n"/>
      <c r="Q33" s="23" t="n"/>
      <c r="R33" s="23" t="n"/>
      <c r="S33" s="23" t="n"/>
      <c r="T33" s="23" t="n"/>
      <c r="U33" s="23" t="n"/>
      <c r="V33" s="23" t="n"/>
      <c r="W33" s="23" t="n"/>
      <c r="X33" s="35">
        <f>IF(OR(R33="",R33-AP33&lt;=0),"",AB33/(R33-AP33))</f>
        <v/>
      </c>
      <c r="Y33" s="35">
        <f>IF(OR(AR33="",AR33=0),"",R33/AR33)</f>
        <v/>
      </c>
      <c r="Z33" s="24" t="inlineStr">
        <is>
          <t>待执行</t>
        </is>
      </c>
      <c r="AA33" s="23" t="n"/>
      <c r="AB33" s="38" t="n"/>
      <c r="AC33" s="38" t="n"/>
      <c r="AD33" s="38" t="n"/>
      <c r="AE33" s="38" t="n"/>
      <c r="AF33" s="38" t="n"/>
      <c r="AG33" s="38" t="n"/>
      <c r="AH33" s="38" t="n"/>
      <c r="AI33" s="38" t="n"/>
      <c r="AJ33" s="38" t="n"/>
      <c r="AK33" s="39" t="n"/>
      <c r="AL33" s="40">
        <f>IF(OR(R33="",R33-AP33&lt;=0),"",AO33/(R33-AP33))</f>
        <v/>
      </c>
      <c r="AM33" s="41">
        <f>IF(R33="","",SUM(AC33:AF33)-(R33-AP33))</f>
        <v/>
      </c>
      <c r="AN33" s="41">
        <f>IF(R33="","",SUM(S33:W33)+AP33-R33)</f>
        <v/>
      </c>
      <c r="AO33" s="44" t="n"/>
      <c r="AP33" s="45" t="n"/>
      <c r="AQ33" s="47" t="inlineStr">
        <is>
          <t>A07-a ready过早并使用旧EA；A07-b ready延迟；A07-c ready丢失</t>
        </is>
      </c>
      <c r="AR33" s="23" t="n"/>
      <c r="AS33" s="35">
        <f>IF(OR(Q33="",Q33=0),"",AR33/Q33)</f>
        <v/>
      </c>
      <c r="AT33" s="62" t="n">
        <v>30</v>
      </c>
      <c r="AU33" s="62" t="n">
        <v>385</v>
      </c>
      <c r="AV33" s="62" t="inlineStr">
        <is>
          <t>常规</t>
        </is>
      </c>
      <c r="AW33" s="62" t="inlineStr">
        <is>
          <t>累计至少385，不机械扩展到2401</t>
        </is>
      </c>
    </row>
    <row r="34" ht="94.15000000000001" customHeight="1" s="58">
      <c r="A34" s="21" t="inlineStr">
        <is>
          <t>A07-F6-W5</t>
        </is>
      </c>
      <c r="B34" s="21" t="inlineStr">
        <is>
          <t>A07</t>
        </is>
      </c>
      <c r="C34" s="21" t="inlineStr">
        <is>
          <t>AGU</t>
        </is>
      </c>
      <c r="D34" s="22" t="inlineStr">
        <is>
          <t>AGU 结果的 address-ready 握手信号与 EA 流水锁存器。ready 告诉下游“本条地址已经可用”，锁存器保存跨周期的 EA；提前 ready 可能让下游读到上一拍旧地址，延后或丢失 ready 会造成停顿或请求丢失。</t>
        </is>
      </c>
      <c r="E34" s="22" t="inlineStr">
        <is>
          <t>时序</t>
        </is>
      </c>
      <c r="F34"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4" s="22" t="inlineStr">
        <is>
          <t>F6</t>
        </is>
      </c>
      <c r="H34" s="22" t="inlineStr">
        <is>
          <t>首次出现指定事件时注入一次，如 TLB hit、SQ forward、dirty eviction、CAS 成功</t>
        </is>
      </c>
      <c r="I34" s="22" t="inlineStr">
        <is>
          <t>SQ-Forward 转发探针（同地址/部分重叠 store-to-load forwarding、字节掩码、alias、replay）</t>
        </is>
      </c>
      <c r="J34" s="22" t="inlineStr">
        <is>
          <t>SQ-Forward 转发探针（同地址/部分重叠 store-to-load forwarding、字节掩码、alias、replay）
执行定义与 oracle：同地址与部分重叠 store-to-load forwarding、不同字节掩码、地址晚到/数据晚到、alias、replay</t>
        </is>
      </c>
      <c r="K34" s="22" t="inlineStr">
        <is>
          <t>连续相关访存</t>
        </is>
      </c>
      <c r="L34" s="22" t="inlineStr">
        <is>
          <t>L0 eligible/activated；L1 正确EA与故障EA、base/index/extend/shift、size/byte-enable；L2 TLB输入VA与cache request；L3 load返回/store落点；L4 commit首分歧；L5检测层级、控制情况与最终结局；旧EA命中率、stall/replay、请求重复/丢失</t>
        </is>
      </c>
      <c r="M34" s="22" t="inlineStr">
        <is>
          <t>提前最危险，可能复用上一条EA并SDC；延后多为性能下降或Timeout</t>
        </is>
      </c>
      <c r="N34" s="22" t="inlineStr">
        <is>
          <t>覆盖小延迟故障映射到状态事件的后果</t>
        </is>
      </c>
      <c r="O34" s="22" t="inlineStr">
        <is>
          <t>MICRO'24 DelayAVF提供时延故障方法论，非直接AGU结果</t>
        </is>
      </c>
      <c r="P34" s="23" t="n"/>
      <c r="Q34" s="23" t="n"/>
      <c r="R34" s="23" t="n"/>
      <c r="S34" s="23" t="n"/>
      <c r="T34" s="23" t="n"/>
      <c r="U34" s="23" t="n"/>
      <c r="V34" s="23" t="n"/>
      <c r="W34" s="23" t="n"/>
      <c r="X34" s="35">
        <f>IF(OR(R34="",R34-AP34&lt;=0),"",AB34/(R34-AP34))</f>
        <v/>
      </c>
      <c r="Y34" s="35">
        <f>IF(OR(AR34="",AR34=0),"",R34/AR34)</f>
        <v/>
      </c>
      <c r="Z34" s="24" t="inlineStr">
        <is>
          <t>待执行</t>
        </is>
      </c>
      <c r="AA34" s="23" t="n"/>
      <c r="AB34" s="38" t="n"/>
      <c r="AC34" s="38" t="n"/>
      <c r="AD34" s="38" t="n"/>
      <c r="AE34" s="38" t="n"/>
      <c r="AF34" s="38" t="n"/>
      <c r="AG34" s="38" t="n"/>
      <c r="AH34" s="38" t="n"/>
      <c r="AI34" s="38" t="n"/>
      <c r="AJ34" s="38" t="n"/>
      <c r="AK34" s="39" t="n"/>
      <c r="AL34" s="40">
        <f>IF(OR(R34="",R34-AP34&lt;=0),"",AO34/(R34-AP34))</f>
        <v/>
      </c>
      <c r="AM34" s="41">
        <f>IF(R34="","",SUM(AC34:AF34)-(R34-AP34))</f>
        <v/>
      </c>
      <c r="AN34" s="41">
        <f>IF(R34="","",SUM(S34:W34)+AP34-R34)</f>
        <v/>
      </c>
      <c r="AO34" s="44" t="n"/>
      <c r="AP34" s="45" t="n"/>
      <c r="AQ34" s="47" t="inlineStr">
        <is>
          <t>A07-a ready过早并使用旧EA；A07-b ready延迟；A07-c ready丢失</t>
        </is>
      </c>
      <c r="AR34" s="23" t="n"/>
      <c r="AS34" s="35">
        <f>IF(OR(Q34="",Q34=0),"",AR34/Q34)</f>
        <v/>
      </c>
      <c r="AT34" s="62" t="n">
        <v>30</v>
      </c>
      <c r="AU34" s="62" t="n">
        <v>385</v>
      </c>
      <c r="AV34" s="62" t="inlineStr">
        <is>
          <t>常规</t>
        </is>
      </c>
      <c r="AW34" s="62" t="inlineStr">
        <is>
          <t>累计至少385，不机械扩展到2401</t>
        </is>
      </c>
    </row>
    <row r="35" ht="94.15000000000001" customHeight="1" s="58">
      <c r="A35" s="21" t="inlineStr">
        <is>
          <t>A08-F0-W3</t>
        </is>
      </c>
      <c r="B35" s="21" t="inlineStr">
        <is>
          <t>A08</t>
        </is>
      </c>
      <c r="C35" s="21" t="inlineStr">
        <is>
          <t>AGU</t>
        </is>
      </c>
      <c r="D35" s="22" t="inlineStr">
        <is>
          <t>AGU 到 Load Queue、Store Queue 和 cache 端口之间的请求类型/端口路由。该逻辑把已生成的 EA 绑定到正确的动态指令，并区分 load 与 store；路由错会使合法地址附着到错误请求或错误端口。</t>
        </is>
      </c>
      <c r="E35" s="22" t="inlineStr">
        <is>
          <t>换值</t>
        </is>
      </c>
      <c r="F35"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5" s="22" t="inlineStr">
        <is>
          <t>F0</t>
        </is>
      </c>
      <c r="H35" s="22" t="inlineStr">
        <is>
          <t>每次运行只注入 1 次；在 warm-up 后的 eligible event 中均匀抽样</t>
        </is>
      </c>
      <c r="I35" s="22" t="inlineStr">
        <is>
          <t>AGU-AddrModes AArch64 寻址模式探针（base+imm、base+index、扩展/移位、pre/post-index、LDP/STP）</t>
        </is>
      </c>
      <c r="J35" s="22" t="inlineStr">
        <is>
          <t>AGU-AddrModes AArch64 寻址模式探针（base+imm、base+index、扩展/移位、pre/post-index、LDP/STP）
执行定义与 oracle：覆盖 base+imm、base+index、LSL、UXTW/SXTW、pre/post-index、LDP/STP、非对齐和页边界；每地址附软件 oracle</t>
        </is>
      </c>
      <c r="K35" s="22" t="inlineStr">
        <is>
          <t>同周期存在load与store</t>
        </is>
      </c>
      <c r="L35" s="22" t="inlineStr">
        <is>
          <t>L0 eligible/activated；L1 正确EA与故障EA、base/index/extend/shift、size/byte-enable；L2 TLB输入VA与cache request；L3 load返回/store落点；L4 commit首分歧；L5检测层级、控制情况与最终结局；记录请求ID、dynInst、端口、EA映射一致性</t>
        </is>
      </c>
      <c r="M35" s="22" t="inlineStr">
        <is>
          <t>交换两条合法EA可能通过检查并产生数据/内存SDC；非法路由多触发断言</t>
        </is>
      </c>
      <c r="N35" s="22" t="inlineStr">
        <is>
          <t>B0有独立Load FU和Store FU，需覆盖路由选择而非虚构双load端口</t>
        </is>
      </c>
      <c r="O35" s="22" t="inlineStr">
        <is>
          <t>无直接文献</t>
        </is>
      </c>
      <c r="P35" s="23" t="n"/>
      <c r="Q35" s="23" t="n"/>
      <c r="R35" s="23" t="n"/>
      <c r="S35" s="23" t="n"/>
      <c r="T35" s="23" t="n"/>
      <c r="U35" s="23" t="n"/>
      <c r="V35" s="23" t="n"/>
      <c r="W35" s="23" t="n"/>
      <c r="X35" s="35">
        <f>IF(OR(R35="",R35-AP35&lt;=0),"",AB35/(R35-AP35))</f>
        <v/>
      </c>
      <c r="Y35" s="35">
        <f>IF(OR(AR35="",AR35=0),"",R35/AR35)</f>
        <v/>
      </c>
      <c r="Z35" s="24" t="inlineStr">
        <is>
          <t>待执行</t>
        </is>
      </c>
      <c r="AA35" s="23" t="n"/>
      <c r="AB35" s="38" t="n"/>
      <c r="AC35" s="38" t="n"/>
      <c r="AD35" s="38" t="n"/>
      <c r="AE35" s="38" t="n"/>
      <c r="AF35" s="38" t="n"/>
      <c r="AG35" s="38" t="n"/>
      <c r="AH35" s="38" t="n"/>
      <c r="AI35" s="38" t="n"/>
      <c r="AJ35" s="38" t="n"/>
      <c r="AK35" s="39" t="n"/>
      <c r="AL35" s="40">
        <f>IF(OR(R35="",R35-AP35&lt;=0),"",AO35/(R35-AP35))</f>
        <v/>
      </c>
      <c r="AM35" s="41">
        <f>IF(R35="","",SUM(AC35:AF35)-(R35-AP35))</f>
        <v/>
      </c>
      <c r="AN35" s="41">
        <f>IF(R35="","",SUM(S35:W35)+AP35-R35)</f>
        <v/>
      </c>
      <c r="AO35" s="44" t="n"/>
      <c r="AP35" s="45" t="n"/>
      <c r="AQ35" s="47" t="inlineStr">
        <is>
          <t>A08-a 发往错误load/store通道；A08-b 同周期两条请求的EA互换</t>
        </is>
      </c>
      <c r="AR35" s="23" t="n"/>
      <c r="AS35" s="35">
        <f>IF(OR(Q35="",Q35=0),"",AR35/Q35)</f>
        <v/>
      </c>
      <c r="AT35" s="62" t="n">
        <v>30</v>
      </c>
      <c r="AU35" s="62" t="n">
        <v>385</v>
      </c>
      <c r="AV35" s="62" t="inlineStr">
        <is>
          <t>常规</t>
        </is>
      </c>
      <c r="AW35" s="62" t="inlineStr">
        <is>
          <t>累计至少385，不机械扩展到2401</t>
        </is>
      </c>
    </row>
    <row r="36" ht="94.15000000000001" customHeight="1" s="58">
      <c r="A36" s="21" t="inlineStr">
        <is>
          <t>A08-F0-W5</t>
        </is>
      </c>
      <c r="B36" s="21" t="inlineStr">
        <is>
          <t>A08</t>
        </is>
      </c>
      <c r="C36" s="21" t="inlineStr">
        <is>
          <t>AGU</t>
        </is>
      </c>
      <c r="D36" s="22" t="inlineStr">
        <is>
          <t>AGU 到 Load Queue、Store Queue 和 cache 端口之间的请求类型/端口路由。该逻辑把已生成的 EA 绑定到正确的动态指令，并区分 load 与 store；路由错会使合法地址附着到错误请求或错误端口。</t>
        </is>
      </c>
      <c r="E36" s="22" t="inlineStr">
        <is>
          <t>换值</t>
        </is>
      </c>
      <c r="F36"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6" s="22" t="inlineStr">
        <is>
          <t>F0</t>
        </is>
      </c>
      <c r="H36" s="22" t="inlineStr">
        <is>
          <t>每次运行只注入 1 次；在 warm-up 后的 eligible event 中均匀抽样</t>
        </is>
      </c>
      <c r="I36" s="22" t="inlineStr">
        <is>
          <t>SQ-Forward 转发探针（同地址/部分重叠 store-to-load forwarding、字节掩码、alias、replay）</t>
        </is>
      </c>
      <c r="J36" s="22" t="inlineStr">
        <is>
          <t>SQ-Forward 转发探针（同地址/部分重叠 store-to-load forwarding、字节掩码、alias、replay）
执行定义与 oracle：同地址与部分重叠 store-to-load forwarding、不同字节掩码、地址晚到/数据晚到、alias、replay</t>
        </is>
      </c>
      <c r="K36" s="22" t="inlineStr">
        <is>
          <t>同周期存在load与store</t>
        </is>
      </c>
      <c r="L36" s="22" t="inlineStr">
        <is>
          <t>L0 eligible/activated；L1 正确EA与故障EA、base/index/extend/shift、size/byte-enable；L2 TLB输入VA与cache request；L3 load返回/store落点；L4 commit首分歧；L5检测层级、控制情况与最终结局；记录请求ID、dynInst、端口、EA映射一致性</t>
        </is>
      </c>
      <c r="M36" s="22" t="inlineStr">
        <is>
          <t>交换两条合法EA可能通过检查并产生数据/内存SDC；非法路由多触发断言</t>
        </is>
      </c>
      <c r="N36" s="22" t="inlineStr">
        <is>
          <t>B0有独立Load FU和Store FU，需覆盖路由选择而非虚构双load端口</t>
        </is>
      </c>
      <c r="O36" s="22" t="inlineStr">
        <is>
          <t>无直接文献</t>
        </is>
      </c>
      <c r="P36" s="23" t="n"/>
      <c r="Q36" s="23" t="n"/>
      <c r="R36" s="23" t="n"/>
      <c r="S36" s="23" t="n"/>
      <c r="T36" s="23" t="n"/>
      <c r="U36" s="23" t="n"/>
      <c r="V36" s="23" t="n"/>
      <c r="W36" s="23" t="n"/>
      <c r="X36" s="35">
        <f>IF(OR(R36="",R36-AP36&lt;=0),"",AB36/(R36-AP36))</f>
        <v/>
      </c>
      <c r="Y36" s="35">
        <f>IF(OR(AR36="",AR36=0),"",R36/AR36)</f>
        <v/>
      </c>
      <c r="Z36" s="24" t="inlineStr">
        <is>
          <t>待执行</t>
        </is>
      </c>
      <c r="AA36" s="23" t="n"/>
      <c r="AB36" s="38" t="n"/>
      <c r="AC36" s="38" t="n"/>
      <c r="AD36" s="38" t="n"/>
      <c r="AE36" s="38" t="n"/>
      <c r="AF36" s="38" t="n"/>
      <c r="AG36" s="38" t="n"/>
      <c r="AH36" s="38" t="n"/>
      <c r="AI36" s="38" t="n"/>
      <c r="AJ36" s="38" t="n"/>
      <c r="AK36" s="39" t="n"/>
      <c r="AL36" s="40">
        <f>IF(OR(R36="",R36-AP36&lt;=0),"",AO36/(R36-AP36))</f>
        <v/>
      </c>
      <c r="AM36" s="41">
        <f>IF(R36="","",SUM(AC36:AF36)-(R36-AP36))</f>
        <v/>
      </c>
      <c r="AN36" s="41">
        <f>IF(R36="","",SUM(S36:W36)+AP36-R36)</f>
        <v/>
      </c>
      <c r="AO36" s="44" t="n"/>
      <c r="AP36" s="45" t="n"/>
      <c r="AQ36" s="47" t="inlineStr">
        <is>
          <t>A08-a 发往错误load/store通道；A08-b 同周期两条请求的EA互换</t>
        </is>
      </c>
      <c r="AR36" s="23" t="n"/>
      <c r="AS36" s="35">
        <f>IF(OR(Q36="",Q36=0),"",AR36/Q36)</f>
        <v/>
      </c>
      <c r="AT36" s="62" t="n">
        <v>30</v>
      </c>
      <c r="AU36" s="62" t="n">
        <v>385</v>
      </c>
      <c r="AV36" s="62" t="inlineStr">
        <is>
          <t>常规</t>
        </is>
      </c>
      <c r="AW36" s="62" t="inlineStr">
        <is>
          <t>累计至少385，不机械扩展到2401</t>
        </is>
      </c>
    </row>
    <row r="37" ht="94.15000000000001" customHeight="1" s="58">
      <c r="A37" s="21" t="inlineStr">
        <is>
          <t>A08-F2-W3</t>
        </is>
      </c>
      <c r="B37" s="21" t="inlineStr">
        <is>
          <t>A08</t>
        </is>
      </c>
      <c r="C37" s="21" t="inlineStr">
        <is>
          <t>AGU</t>
        </is>
      </c>
      <c r="D37" s="22" t="inlineStr">
        <is>
          <t>AGU 到 Load Queue、Store Queue 和 cache 端口之间的请求类型/端口路由。该逻辑把已生成的 EA 绑定到正确的动态指令，并区分 load 与 store；路由错会使合法地址附着到错误请求或错误端口。</t>
        </is>
      </c>
      <c r="E37" s="22" t="inlineStr">
        <is>
          <t>换值</t>
        </is>
      </c>
      <c r="F37"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7" s="22" t="inlineStr">
        <is>
          <t>F2</t>
        </is>
      </c>
      <c r="H37" s="22" t="inlineStr">
        <is>
          <t>平均每 100,000 个 eligible events 注入 1 次，间隔加入 ±50% 抖动</t>
        </is>
      </c>
      <c r="I37" s="22" t="inlineStr">
        <is>
          <t>AGU-AddrModes AArch64 寻址模式探针（base+imm、base+index、扩展/移位、pre/post-index、LDP/STP）</t>
        </is>
      </c>
      <c r="J37" s="22" t="inlineStr">
        <is>
          <t>AGU-AddrModes AArch64 寻址模式探针（base+imm、base+index、扩展/移位、pre/post-index、LDP/STP）
执行定义与 oracle：覆盖 base+imm、base+index、LSL、UXTW/SXTW、pre/post-index、LDP/STP、非对齐和页边界；每地址附软件 oracle</t>
        </is>
      </c>
      <c r="K37" s="22" t="inlineStr">
        <is>
          <t>同周期存在load与store</t>
        </is>
      </c>
      <c r="L37" s="22" t="inlineStr">
        <is>
          <t>L0 eligible/activated；L1 正确EA与故障EA、base/index/extend/shift、size/byte-enable；L2 TLB输入VA与cache request；L3 load返回/store落点；L4 commit首分歧；L5检测层级、控制情况与最终结局；记录请求ID、dynInst、端口、EA映射一致性</t>
        </is>
      </c>
      <c r="M37" s="22" t="inlineStr">
        <is>
          <t>交换两条合法EA可能通过检查并产生数据/内存SDC；非法路由多触发断言</t>
        </is>
      </c>
      <c r="N37" s="22" t="inlineStr">
        <is>
          <t>B0有独立Load FU和Store FU，需覆盖路由选择而非虚构双load端口</t>
        </is>
      </c>
      <c r="O37" s="22" t="inlineStr">
        <is>
          <t>无直接文献</t>
        </is>
      </c>
      <c r="P37" s="23" t="n"/>
      <c r="Q37" s="23" t="n"/>
      <c r="R37" s="23" t="n"/>
      <c r="S37" s="23" t="n"/>
      <c r="T37" s="23" t="n"/>
      <c r="U37" s="23" t="n"/>
      <c r="V37" s="23" t="n"/>
      <c r="W37" s="23" t="n"/>
      <c r="X37" s="35">
        <f>IF(OR(R37="",R37-AP37&lt;=0),"",AB37/(R37-AP37))</f>
        <v/>
      </c>
      <c r="Y37" s="35">
        <f>IF(OR(AR37="",AR37=0),"",R37/AR37)</f>
        <v/>
      </c>
      <c r="Z37" s="24" t="inlineStr">
        <is>
          <t>待执行</t>
        </is>
      </c>
      <c r="AA37" s="23" t="n"/>
      <c r="AB37" s="38" t="n"/>
      <c r="AC37" s="38" t="n"/>
      <c r="AD37" s="38" t="n"/>
      <c r="AE37" s="38" t="n"/>
      <c r="AF37" s="38" t="n"/>
      <c r="AG37" s="38" t="n"/>
      <c r="AH37" s="38" t="n"/>
      <c r="AI37" s="38" t="n"/>
      <c r="AJ37" s="38" t="n"/>
      <c r="AK37" s="39" t="n"/>
      <c r="AL37" s="40">
        <f>IF(OR(R37="",R37-AP37&lt;=0),"",AO37/(R37-AP37))</f>
        <v/>
      </c>
      <c r="AM37" s="41">
        <f>IF(R37="","",SUM(AC37:AF37)-(R37-AP37))</f>
        <v/>
      </c>
      <c r="AN37" s="41">
        <f>IF(R37="","",SUM(S37:W37)+AP37-R37)</f>
        <v/>
      </c>
      <c r="AO37" s="44" t="n"/>
      <c r="AP37" s="45" t="n"/>
      <c r="AQ37" s="47" t="inlineStr">
        <is>
          <t>A08-a 发往错误load/store通道；A08-b 同周期两条请求的EA互换</t>
        </is>
      </c>
      <c r="AR37" s="23" t="n"/>
      <c r="AS37" s="35">
        <f>IF(OR(Q37="",Q37=0),"",AR37/Q37)</f>
        <v/>
      </c>
      <c r="AT37" s="62" t="n">
        <v>30</v>
      </c>
      <c r="AU37" s="62" t="n">
        <v>385</v>
      </c>
      <c r="AV37" s="62" t="inlineStr">
        <is>
          <t>常规</t>
        </is>
      </c>
      <c r="AW37" s="62" t="inlineStr">
        <is>
          <t>累计至少385，不机械扩展到2401</t>
        </is>
      </c>
    </row>
    <row r="38" ht="94.15000000000001" customHeight="1" s="58">
      <c r="A38" s="21" t="inlineStr">
        <is>
          <t>A08-F2-W5</t>
        </is>
      </c>
      <c r="B38" s="21" t="inlineStr">
        <is>
          <t>A08</t>
        </is>
      </c>
      <c r="C38" s="21" t="inlineStr">
        <is>
          <t>AGU</t>
        </is>
      </c>
      <c r="D38" s="22" t="inlineStr">
        <is>
          <t>AGU 到 Load Queue、Store Queue 和 cache 端口之间的请求类型/端口路由。该逻辑把已生成的 EA 绑定到正确的动态指令，并区分 load 与 store；路由错会使合法地址附着到错误请求或错误端口。</t>
        </is>
      </c>
      <c r="E38" s="22" t="inlineStr">
        <is>
          <t>换值</t>
        </is>
      </c>
      <c r="F38"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8" s="22" t="inlineStr">
        <is>
          <t>F2</t>
        </is>
      </c>
      <c r="H38" s="22" t="inlineStr">
        <is>
          <t>平均每 100,000 个 eligible events 注入 1 次，间隔加入 ±50% 抖动</t>
        </is>
      </c>
      <c r="I38" s="22" t="inlineStr">
        <is>
          <t>SQ-Forward 转发探针（同地址/部分重叠 store-to-load forwarding、字节掩码、alias、replay）</t>
        </is>
      </c>
      <c r="J38" s="22" t="inlineStr">
        <is>
          <t>SQ-Forward 转发探针（同地址/部分重叠 store-to-load forwarding、字节掩码、alias、replay）
执行定义与 oracle：同地址与部分重叠 store-to-load forwarding、不同字节掩码、地址晚到/数据晚到、alias、replay</t>
        </is>
      </c>
      <c r="K38" s="22" t="inlineStr">
        <is>
          <t>同周期存在load与store</t>
        </is>
      </c>
      <c r="L38" s="22" t="inlineStr">
        <is>
          <t>L0 eligible/activated；L1 正确EA与故障EA、base/index/extend/shift、size/byte-enable；L2 TLB输入VA与cache request；L3 load返回/store落点；L4 commit首分歧；L5检测层级、控制情况与最终结局；记录请求ID、dynInst、端口、EA映射一致性</t>
        </is>
      </c>
      <c r="M38" s="22" t="inlineStr">
        <is>
          <t>交换两条合法EA可能通过检查并产生数据/内存SDC；非法路由多触发断言</t>
        </is>
      </c>
      <c r="N38" s="22" t="inlineStr">
        <is>
          <t>B0有独立Load FU和Store FU，需覆盖路由选择而非虚构双load端口</t>
        </is>
      </c>
      <c r="O38" s="22" t="inlineStr">
        <is>
          <t>无直接文献</t>
        </is>
      </c>
      <c r="P38" s="23" t="n"/>
      <c r="Q38" s="23" t="n"/>
      <c r="R38" s="23" t="n"/>
      <c r="S38" s="23" t="n"/>
      <c r="T38" s="23" t="n"/>
      <c r="U38" s="23" t="n"/>
      <c r="V38" s="23" t="n"/>
      <c r="W38" s="23" t="n"/>
      <c r="X38" s="35">
        <f>IF(OR(R38="",R38-AP38&lt;=0),"",AB38/(R38-AP38))</f>
        <v/>
      </c>
      <c r="Y38" s="35">
        <f>IF(OR(AR38="",AR38=0),"",R38/AR38)</f>
        <v/>
      </c>
      <c r="Z38" s="24" t="inlineStr">
        <is>
          <t>待执行</t>
        </is>
      </c>
      <c r="AA38" s="23" t="n"/>
      <c r="AB38" s="38" t="n"/>
      <c r="AC38" s="38" t="n"/>
      <c r="AD38" s="38" t="n"/>
      <c r="AE38" s="38" t="n"/>
      <c r="AF38" s="38" t="n"/>
      <c r="AG38" s="38" t="n"/>
      <c r="AH38" s="38" t="n"/>
      <c r="AI38" s="38" t="n"/>
      <c r="AJ38" s="38" t="n"/>
      <c r="AK38" s="39" t="n"/>
      <c r="AL38" s="40">
        <f>IF(OR(R38="",R38-AP38&lt;=0),"",AO38/(R38-AP38))</f>
        <v/>
      </c>
      <c r="AM38" s="41">
        <f>IF(R38="","",SUM(AC38:AF38)-(R38-AP38))</f>
        <v/>
      </c>
      <c r="AN38" s="41">
        <f>IF(R38="","",SUM(S38:W38)+AP38-R38)</f>
        <v/>
      </c>
      <c r="AO38" s="44" t="n"/>
      <c r="AP38" s="45" t="n"/>
      <c r="AQ38" s="47" t="inlineStr">
        <is>
          <t>A08-a 发往错误load/store通道；A08-b 同周期两条请求的EA互换</t>
        </is>
      </c>
      <c r="AR38" s="23" t="n"/>
      <c r="AS38" s="35">
        <f>IF(OR(Q38="",Q38=0),"",AR38/Q38)</f>
        <v/>
      </c>
      <c r="AT38" s="62" t="n">
        <v>30</v>
      </c>
      <c r="AU38" s="62" t="n">
        <v>385</v>
      </c>
      <c r="AV38" s="62" t="inlineStr">
        <is>
          <t>常规</t>
        </is>
      </c>
      <c r="AW38" s="62" t="inlineStr">
        <is>
          <t>累计至少385，不机械扩展到2401</t>
        </is>
      </c>
    </row>
    <row r="39" ht="94.15000000000001" customHeight="1" s="58">
      <c r="A39" s="21" t="inlineStr">
        <is>
          <t>A08-F6-W3</t>
        </is>
      </c>
      <c r="B39" s="21" t="inlineStr">
        <is>
          <t>A08</t>
        </is>
      </c>
      <c r="C39" s="21" t="inlineStr">
        <is>
          <t>AGU</t>
        </is>
      </c>
      <c r="D39" s="22" t="inlineStr">
        <is>
          <t>AGU 到 Load Queue、Store Queue 和 cache 端口之间的请求类型/端口路由。该逻辑把已生成的 EA 绑定到正确的动态指令，并区分 load 与 store；路由错会使合法地址附着到错误请求或错误端口。</t>
        </is>
      </c>
      <c r="E39" s="22" t="inlineStr">
        <is>
          <t>换值</t>
        </is>
      </c>
      <c r="F39"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9" s="22" t="inlineStr">
        <is>
          <t>F6</t>
        </is>
      </c>
      <c r="H39" s="22" t="inlineStr">
        <is>
          <t>首次出现指定事件时注入一次，如 TLB hit、SQ forward、dirty eviction、CAS 成功</t>
        </is>
      </c>
      <c r="I39" s="22" t="inlineStr">
        <is>
          <t>AGU-AddrModes AArch64 寻址模式探针（base+imm、base+index、扩展/移位、pre/post-index、LDP/STP）</t>
        </is>
      </c>
      <c r="J39" s="22" t="inlineStr">
        <is>
          <t>AGU-AddrModes AArch64 寻址模式探针（base+imm、base+index、扩展/移位、pre/post-index、LDP/STP）
执行定义与 oracle：覆盖 base+imm、base+index、LSL、UXTW/SXTW、pre/post-index、LDP/STP、非对齐和页边界；每地址附软件 oracle</t>
        </is>
      </c>
      <c r="K39" s="22" t="inlineStr">
        <is>
          <t>同周期存在load与store</t>
        </is>
      </c>
      <c r="L39" s="22" t="inlineStr">
        <is>
          <t>L0 eligible/activated；L1 正确EA与故障EA、base/index/extend/shift、size/byte-enable；L2 TLB输入VA与cache request；L3 load返回/store落点；L4 commit首分歧；L5检测层级、控制情况与最终结局；记录请求ID、dynInst、端口、EA映射一致性</t>
        </is>
      </c>
      <c r="M39" s="22" t="inlineStr">
        <is>
          <t>交换两条合法EA可能通过检查并产生数据/内存SDC；非法路由多触发断言</t>
        </is>
      </c>
      <c r="N39" s="22" t="inlineStr">
        <is>
          <t>B0有独立Load FU和Store FU，需覆盖路由选择而非虚构双load端口</t>
        </is>
      </c>
      <c r="O39" s="22" t="inlineStr">
        <is>
          <t>无直接文献</t>
        </is>
      </c>
      <c r="P39" s="23" t="n"/>
      <c r="Q39" s="23" t="n"/>
      <c r="R39" s="23" t="n"/>
      <c r="S39" s="23" t="n"/>
      <c r="T39" s="23" t="n"/>
      <c r="U39" s="23" t="n"/>
      <c r="V39" s="23" t="n"/>
      <c r="W39" s="23" t="n"/>
      <c r="X39" s="35">
        <f>IF(OR(R39="",R39-AP39&lt;=0),"",AB39/(R39-AP39))</f>
        <v/>
      </c>
      <c r="Y39" s="35">
        <f>IF(OR(AR39="",AR39=0),"",R39/AR39)</f>
        <v/>
      </c>
      <c r="Z39" s="24" t="inlineStr">
        <is>
          <t>待执行</t>
        </is>
      </c>
      <c r="AA39" s="23" t="n"/>
      <c r="AB39" s="38" t="n"/>
      <c r="AC39" s="38" t="n"/>
      <c r="AD39" s="38" t="n"/>
      <c r="AE39" s="38" t="n"/>
      <c r="AF39" s="38" t="n"/>
      <c r="AG39" s="38" t="n"/>
      <c r="AH39" s="38" t="n"/>
      <c r="AI39" s="38" t="n"/>
      <c r="AJ39" s="38" t="n"/>
      <c r="AK39" s="39" t="n"/>
      <c r="AL39" s="40">
        <f>IF(OR(R39="",R39-AP39&lt;=0),"",AO39/(R39-AP39))</f>
        <v/>
      </c>
      <c r="AM39" s="41">
        <f>IF(R39="","",SUM(AC39:AF39)-(R39-AP39))</f>
        <v/>
      </c>
      <c r="AN39" s="41">
        <f>IF(R39="","",SUM(S39:W39)+AP39-R39)</f>
        <v/>
      </c>
      <c r="AO39" s="44" t="n"/>
      <c r="AP39" s="45" t="n"/>
      <c r="AQ39" s="47" t="inlineStr">
        <is>
          <t>A08-a 发往错误load/store通道；A08-b 同周期两条请求的EA互换</t>
        </is>
      </c>
      <c r="AR39" s="23" t="n"/>
      <c r="AS39" s="35">
        <f>IF(OR(Q39="",Q39=0),"",AR39/Q39)</f>
        <v/>
      </c>
      <c r="AT39" s="62" t="n">
        <v>30</v>
      </c>
      <c r="AU39" s="62" t="n">
        <v>385</v>
      </c>
      <c r="AV39" s="62" t="inlineStr">
        <is>
          <t>常规</t>
        </is>
      </c>
      <c r="AW39" s="62" t="inlineStr">
        <is>
          <t>累计至少385，不机械扩展到2401</t>
        </is>
      </c>
    </row>
    <row r="40" ht="94.15000000000001" customHeight="1" s="58">
      <c r="A40" s="21" t="inlineStr">
        <is>
          <t>A08-F6-W5</t>
        </is>
      </c>
      <c r="B40" s="21" t="inlineStr">
        <is>
          <t>A08</t>
        </is>
      </c>
      <c r="C40" s="21" t="inlineStr">
        <is>
          <t>AGU</t>
        </is>
      </c>
      <c r="D40" s="22" t="inlineStr">
        <is>
          <t>AGU 到 Load Queue、Store Queue 和 cache 端口之间的请求类型/端口路由。该逻辑把已生成的 EA 绑定到正确的动态指令，并区分 load 与 store；路由错会使合法地址附着到错误请求或错误端口。</t>
        </is>
      </c>
      <c r="E40" s="22" t="inlineStr">
        <is>
          <t>换值</t>
        </is>
      </c>
      <c r="F40"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40" s="22" t="inlineStr">
        <is>
          <t>F6</t>
        </is>
      </c>
      <c r="H40" s="22" t="inlineStr">
        <is>
          <t>首次出现指定事件时注入一次，如 TLB hit、SQ forward、dirty eviction、CAS 成功</t>
        </is>
      </c>
      <c r="I40" s="22" t="inlineStr">
        <is>
          <t>SQ-Forward 转发探针（同地址/部分重叠 store-to-load forwarding、字节掩码、alias、replay）</t>
        </is>
      </c>
      <c r="J40" s="22" t="inlineStr">
        <is>
          <t>SQ-Forward 转发探针（同地址/部分重叠 store-to-load forwarding、字节掩码、alias、replay）
执行定义与 oracle：同地址与部分重叠 store-to-load forwarding、不同字节掩码、地址晚到/数据晚到、alias、replay</t>
        </is>
      </c>
      <c r="K40" s="22" t="inlineStr">
        <is>
          <t>同周期存在load与store</t>
        </is>
      </c>
      <c r="L40" s="22" t="inlineStr">
        <is>
          <t>L0 eligible/activated；L1 正确EA与故障EA、base/index/extend/shift、size/byte-enable；L2 TLB输入VA与cache request；L3 load返回/store落点；L4 commit首分歧；L5检测层级、控制情况与最终结局；记录请求ID、dynInst、端口、EA映射一致性</t>
        </is>
      </c>
      <c r="M40" s="22" t="inlineStr">
        <is>
          <t>交换两条合法EA可能通过检查并产生数据/内存SDC；非法路由多触发断言</t>
        </is>
      </c>
      <c r="N40" s="22" t="inlineStr">
        <is>
          <t>B0有独立Load FU和Store FU，需覆盖路由选择而非虚构双load端口</t>
        </is>
      </c>
      <c r="O40" s="22" t="inlineStr">
        <is>
          <t>无直接文献</t>
        </is>
      </c>
      <c r="P40" s="23" t="n"/>
      <c r="Q40" s="23" t="n"/>
      <c r="R40" s="23" t="n"/>
      <c r="S40" s="23" t="n"/>
      <c r="T40" s="23" t="n"/>
      <c r="U40" s="23" t="n"/>
      <c r="V40" s="23" t="n"/>
      <c r="W40" s="23" t="n"/>
      <c r="X40" s="35">
        <f>IF(OR(R40="",R40-AP40&lt;=0),"",AB40/(R40-AP40))</f>
        <v/>
      </c>
      <c r="Y40" s="35">
        <f>IF(OR(AR40="",AR40=0),"",R40/AR40)</f>
        <v/>
      </c>
      <c r="Z40" s="24" t="inlineStr">
        <is>
          <t>待执行</t>
        </is>
      </c>
      <c r="AA40" s="23" t="n"/>
      <c r="AB40" s="38" t="n"/>
      <c r="AC40" s="38" t="n"/>
      <c r="AD40" s="38" t="n"/>
      <c r="AE40" s="38" t="n"/>
      <c r="AF40" s="38" t="n"/>
      <c r="AG40" s="38" t="n"/>
      <c r="AH40" s="38" t="n"/>
      <c r="AI40" s="38" t="n"/>
      <c r="AJ40" s="38" t="n"/>
      <c r="AK40" s="39" t="n"/>
      <c r="AL40" s="40">
        <f>IF(OR(R40="",R40-AP40&lt;=0),"",AO40/(R40-AP40))</f>
        <v/>
      </c>
      <c r="AM40" s="41">
        <f>IF(R40="","",SUM(AC40:AF40)-(R40-AP40))</f>
        <v/>
      </c>
      <c r="AN40" s="41">
        <f>IF(R40="","",SUM(S40:W40)+AP40-R40)</f>
        <v/>
      </c>
      <c r="AO40" s="44" t="n"/>
      <c r="AP40" s="45" t="n"/>
      <c r="AQ40" s="47" t="inlineStr">
        <is>
          <t>A08-a 发往错误load/store通道；A08-b 同周期两条请求的EA互换</t>
        </is>
      </c>
      <c r="AR40" s="23" t="n"/>
      <c r="AS40" s="35">
        <f>IF(OR(Q40="",Q40=0),"",AR40/Q40)</f>
        <v/>
      </c>
      <c r="AT40" s="62" t="n">
        <v>30</v>
      </c>
      <c r="AU40" s="62" t="n">
        <v>385</v>
      </c>
      <c r="AV40" s="62" t="inlineStr">
        <is>
          <t>常规</t>
        </is>
      </c>
      <c r="AW40" s="62" t="inlineStr">
        <is>
          <t>累计至少385，不机械扩展到2401</t>
        </is>
      </c>
    </row>
    <row r="41" ht="94.15000000000001" customHeight="1" s="58">
      <c r="A41" s="21" t="inlineStr">
        <is>
          <t>T01-F0-W1</t>
        </is>
      </c>
      <c r="B41" s="21" t="inlineStr">
        <is>
          <t>T01</t>
        </is>
      </c>
      <c r="C41" s="21" t="inlineStr">
        <is>
          <t>L1d-TLB</t>
        </is>
      </c>
      <c r="D41" s="22" t="inlineStr">
        <is>
          <t>L1 d-TLB 表项的 VPN tag（Virtual Page Number 标签）。查 TLB 时用当前虚拟页号和 ASID 与它比较；tag 错误会产生本应命中的 miss，或更危险的错误命中另一条翻译。</t>
        </is>
      </c>
      <c r="E41" s="22" t="inlineStr">
        <is>
          <t>单比特翻转</t>
        </is>
      </c>
      <c r="F41"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1" s="22" t="inlineStr">
        <is>
          <t>F0</t>
        </is>
      </c>
      <c r="H41" s="22" t="inlineStr">
        <is>
          <t>每次运行只注入 1 次；在 warm-up 后的 eligible event 中均匀抽样</t>
        </is>
      </c>
      <c r="I41" s="22" t="inlineStr">
        <is>
          <t>MiBench-TC23 论文负载（blowfish、patricia、fft、gsm、dijkstra、rijndael、sha、bitcount、edge、smooth）</t>
        </is>
      </c>
      <c r="J41" s="22" t="inlineStr">
        <is>
          <t>MiBench-TC23 论文负载（blowfish、patricia、fft、gsm、dijkstra、rijndael、sha、bitcount、edge、smooth）
执行定义与 oracle：blowfish、patricia、fft、gsm、dijkstra、rijndael、sha、bitcount、edge、smooth；最大输入集</t>
        </is>
      </c>
      <c r="K41" s="22" t="inlineStr">
        <is>
          <t>DTLB中存在有效项</t>
        </is>
      </c>
      <c r="L41" s="22" t="inlineStr">
        <is>
          <t>L0 表项是否被命中；L1 VPN/ASID/PPN/权限/valid与多命中；L2 walk/refill/TLBI、送cache的PA；L3 cache行与异常；L4 commit首分歧/错误页访问；L5结局；错hit/miss、walk后是否自愈、错误PA</t>
        </is>
      </c>
      <c r="M41" s="22" t="inlineStr">
        <is>
          <t>多为miss/walk或错误命中；TC'23表明DTLB非benign中SDC可达22.2%</t>
        </is>
      </c>
      <c r="N41" s="22" t="inlineStr">
        <is>
          <t>直接复现文献型瞬态并加入生命周期分母</t>
        </is>
      </c>
      <c r="O41" s="22" t="inlineStr">
        <is>
          <t>TC'22、TC'23直接对照</t>
        </is>
      </c>
      <c r="P41" s="23" t="n"/>
      <c r="Q41" s="23" t="n"/>
      <c r="R41" s="23" t="n"/>
      <c r="S41" s="23" t="n"/>
      <c r="T41" s="23" t="n"/>
      <c r="U41" s="23" t="n"/>
      <c r="V41" s="23" t="n"/>
      <c r="W41" s="23" t="n"/>
      <c r="X41" s="35">
        <f>IF(OR(R41="",R41-AP41&lt;=0),"",AB41/(R41-AP41))</f>
        <v/>
      </c>
      <c r="Y41" s="35">
        <f>IF(OR(AR41="",AR41=0),"",R41/AR41)</f>
        <v/>
      </c>
      <c r="Z41" s="24" t="inlineStr">
        <is>
          <t>待执行</t>
        </is>
      </c>
      <c r="AA41" s="23" t="n"/>
      <c r="AB41" s="38" t="n"/>
      <c r="AC41" s="38" t="n"/>
      <c r="AD41" s="38" t="n"/>
      <c r="AE41" s="38" t="n"/>
      <c r="AF41" s="38" t="n"/>
      <c r="AG41" s="38" t="n"/>
      <c r="AH41" s="38" t="n"/>
      <c r="AI41" s="38" t="n"/>
      <c r="AJ41" s="38" t="n"/>
      <c r="AK41" s="39" t="n"/>
      <c r="AL41" s="40">
        <f>IF(OR(R41="",R41-AP41&lt;=0),"",AO41/(R41-AP41))</f>
        <v/>
      </c>
      <c r="AM41" s="41">
        <f>IF(R41="","",SUM(AC41:AF41)-(R41-AP41))</f>
        <v/>
      </c>
      <c r="AN41" s="41">
        <f>IF(R41="","",SUM(S41:W41)+AP41-R41)</f>
        <v/>
      </c>
      <c r="AO41" s="44" t="n"/>
      <c r="AP41" s="45" t="n"/>
      <c r="AQ41" s="47" t="inlineStr">
        <is>
          <t>T01-a VPN tag低位单bit；T01-b VPN tag中位单bit；T01-c VPN tag高位单bit</t>
        </is>
      </c>
      <c r="AR41" s="23" t="n"/>
      <c r="AS41" s="35">
        <f>IF(OR(Q41="",Q41=0),"",AR41/Q41)</f>
        <v/>
      </c>
      <c r="AT41" s="62" t="n">
        <v>30</v>
      </c>
      <c r="AU41" s="62" t="n">
        <v>385</v>
      </c>
      <c r="AV41" s="62" t="inlineStr">
        <is>
          <t>常规</t>
        </is>
      </c>
      <c r="AW41" s="62" t="inlineStr">
        <is>
          <t>累计至少385，不机械扩展到2401</t>
        </is>
      </c>
    </row>
    <row r="42" ht="94.15000000000001" customHeight="1" s="58">
      <c r="A42" s="21" t="inlineStr">
        <is>
          <t>T01-F0-W4</t>
        </is>
      </c>
      <c r="B42" s="21" t="inlineStr">
        <is>
          <t>T01</t>
        </is>
      </c>
      <c r="C42" s="21" t="inlineStr">
        <is>
          <t>L1d-TLB</t>
        </is>
      </c>
      <c r="D42" s="22" t="inlineStr">
        <is>
          <t>L1 d-TLB 表项的 VPN tag（Virtual Page Number 标签）。查 TLB 时用当前虚拟页号和 ASID 与它比较；tag 错误会产生本应命中的 miss，或更危险的错误命中另一条翻译。</t>
        </is>
      </c>
      <c r="E42" s="22" t="inlineStr">
        <is>
          <t>单比特翻转</t>
        </is>
      </c>
      <c r="F42"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2" s="22" t="inlineStr">
        <is>
          <t>F0</t>
        </is>
      </c>
      <c r="H42" s="22" t="inlineStr">
        <is>
          <t>每次运行只注入 1 次；在 warm-up 后的 eligible event 中均匀抽样</t>
        </is>
      </c>
      <c r="I42" s="22" t="inlineStr">
        <is>
          <t>TLB-AliasPerm 地址翻译探针（4KiB/2MiB 页、ASID、同VA不同PA、权限、TLBI、跨页访问）</t>
        </is>
      </c>
      <c r="J42" s="22" t="inlineStr">
        <is>
          <t>TLB-AliasPerm 地址翻译探针（4KiB/2MiB 页、ASID、同VA不同PA、权限、TLBI、跨页访问）
执行定义与 oracle：4KiB/2MiB 页、ASID 切换、同 VA 不同 PA、只读/不可执行页、TLBI 后重填、跨页 load/store</t>
        </is>
      </c>
      <c r="K42" s="22" t="inlineStr">
        <is>
          <t>DTLB中存在有效项</t>
        </is>
      </c>
      <c r="L42" s="22" t="inlineStr">
        <is>
          <t>L0 表项是否被命中；L1 VPN/ASID/PPN/权限/valid与多命中；L2 walk/refill/TLBI、送cache的PA；L3 cache行与异常；L4 commit首分歧/错误页访问；L5结局；错hit/miss、walk后是否自愈、错误PA</t>
        </is>
      </c>
      <c r="M42" s="22" t="inlineStr">
        <is>
          <t>多为miss/walk或错误命中；TC'23表明DTLB非benign中SDC可达22.2%</t>
        </is>
      </c>
      <c r="N42" s="22" t="inlineStr">
        <is>
          <t>直接复现文献型瞬态并加入生命周期分母</t>
        </is>
      </c>
      <c r="O42" s="22" t="inlineStr">
        <is>
          <t>TC'22、TC'23直接对照</t>
        </is>
      </c>
      <c r="P42" s="23" t="n"/>
      <c r="Q42" s="23" t="n"/>
      <c r="R42" s="23" t="n"/>
      <c r="S42" s="23" t="n"/>
      <c r="T42" s="23" t="n"/>
      <c r="U42" s="23" t="n"/>
      <c r="V42" s="23" t="n"/>
      <c r="W42" s="23" t="n"/>
      <c r="X42" s="35">
        <f>IF(OR(R42="",R42-AP42&lt;=0),"",AB42/(R42-AP42))</f>
        <v/>
      </c>
      <c r="Y42" s="35">
        <f>IF(OR(AR42="",AR42=0),"",R42/AR42)</f>
        <v/>
      </c>
      <c r="Z42" s="24" t="inlineStr">
        <is>
          <t>待执行</t>
        </is>
      </c>
      <c r="AA42" s="23" t="n"/>
      <c r="AB42" s="38" t="n"/>
      <c r="AC42" s="38" t="n"/>
      <c r="AD42" s="38" t="n"/>
      <c r="AE42" s="38" t="n"/>
      <c r="AF42" s="38" t="n"/>
      <c r="AG42" s="38" t="n"/>
      <c r="AH42" s="38" t="n"/>
      <c r="AI42" s="38" t="n"/>
      <c r="AJ42" s="38" t="n"/>
      <c r="AK42" s="39" t="n"/>
      <c r="AL42" s="40">
        <f>IF(OR(R42="",R42-AP42&lt;=0),"",AO42/(R42-AP42))</f>
        <v/>
      </c>
      <c r="AM42" s="41">
        <f>IF(R42="","",SUM(AC42:AF42)-(R42-AP42))</f>
        <v/>
      </c>
      <c r="AN42" s="41">
        <f>IF(R42="","",SUM(S42:W42)+AP42-R42)</f>
        <v/>
      </c>
      <c r="AO42" s="44" t="n"/>
      <c r="AP42" s="45" t="n"/>
      <c r="AQ42" s="47" t="inlineStr">
        <is>
          <t>T01-a VPN tag低位单bit；T01-b VPN tag中位单bit；T01-c VPN tag高位单bit</t>
        </is>
      </c>
      <c r="AR42" s="23" t="n"/>
      <c r="AS42" s="35">
        <f>IF(OR(Q42="",Q42=0),"",AR42/Q42)</f>
        <v/>
      </c>
      <c r="AT42" s="62" t="n">
        <v>30</v>
      </c>
      <c r="AU42" s="62" t="n">
        <v>385</v>
      </c>
      <c r="AV42" s="62" t="inlineStr">
        <is>
          <t>常规</t>
        </is>
      </c>
      <c r="AW42" s="62" t="inlineStr">
        <is>
          <t>累计至少385，不机械扩展到2401</t>
        </is>
      </c>
    </row>
    <row r="43" ht="94.15000000000001" customHeight="1" s="58">
      <c r="A43" s="21" t="inlineStr">
        <is>
          <t>T01-F1-W1</t>
        </is>
      </c>
      <c r="B43" s="21" t="inlineStr">
        <is>
          <t>T01</t>
        </is>
      </c>
      <c r="C43" s="21" t="inlineStr">
        <is>
          <t>L1d-TLB</t>
        </is>
      </c>
      <c r="D43" s="22" t="inlineStr">
        <is>
          <t>L1 d-TLB 表项的 VPN tag（Virtual Page Number 标签）。查 TLB 时用当前虚拟页号和 ASID 与它比较；tag 错误会产生本应命中的 miss，或更危险的错误命中另一条翻译。</t>
        </is>
      </c>
      <c r="E43" s="22" t="inlineStr">
        <is>
          <t>单比特翻转</t>
        </is>
      </c>
      <c r="F43"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3" s="22" t="inlineStr">
        <is>
          <t>F1</t>
        </is>
      </c>
      <c r="H43" s="22" t="inlineStr">
        <is>
          <t>平均每 1,000,000 个 eligible events 注入 1 次，间隔加入 ±50% 抖动</t>
        </is>
      </c>
      <c r="I43" s="22" t="inlineStr">
        <is>
          <t>MiBench-TC23 论文负载（blowfish、patricia、fft、gsm、dijkstra、rijndael、sha、bitcount、edge、smooth）</t>
        </is>
      </c>
      <c r="J43" s="22" t="inlineStr">
        <is>
          <t>MiBench-TC23 论文负载（blowfish、patricia、fft、gsm、dijkstra、rijndael、sha、bitcount、edge、smooth）
执行定义与 oracle：blowfish、patricia、fft、gsm、dijkstra、rijndael、sha、bitcount、edge、smooth；最大输入集</t>
        </is>
      </c>
      <c r="K43" s="22" t="inlineStr">
        <is>
          <t>DTLB中存在有效项</t>
        </is>
      </c>
      <c r="L43" s="22" t="inlineStr">
        <is>
          <t>L0 表项是否被命中；L1 VPN/ASID/PPN/权限/valid与多命中；L2 walk/refill/TLBI、送cache的PA；L3 cache行与异常；L4 commit首分歧/错误页访问；L5结局；错hit/miss、walk后是否自愈、错误PA</t>
        </is>
      </c>
      <c r="M43" s="22" t="inlineStr">
        <is>
          <t>多为miss/walk或错误命中；TC'23表明DTLB非benign中SDC可达22.2%</t>
        </is>
      </c>
      <c r="N43" s="22" t="inlineStr">
        <is>
          <t>直接复现文献型瞬态并加入生命周期分母</t>
        </is>
      </c>
      <c r="O43" s="22" t="inlineStr">
        <is>
          <t>TC'22、TC'23直接对照</t>
        </is>
      </c>
      <c r="P43" s="23" t="n"/>
      <c r="Q43" s="23" t="n"/>
      <c r="R43" s="23" t="n"/>
      <c r="S43" s="23" t="n"/>
      <c r="T43" s="23" t="n"/>
      <c r="U43" s="23" t="n"/>
      <c r="V43" s="23" t="n"/>
      <c r="W43" s="23" t="n"/>
      <c r="X43" s="35">
        <f>IF(OR(R43="",R43-AP43&lt;=0),"",AB43/(R43-AP43))</f>
        <v/>
      </c>
      <c r="Y43" s="35">
        <f>IF(OR(AR43="",AR43=0),"",R43/AR43)</f>
        <v/>
      </c>
      <c r="Z43" s="24" t="inlineStr">
        <is>
          <t>待执行</t>
        </is>
      </c>
      <c r="AA43" s="23" t="n"/>
      <c r="AB43" s="38" t="n"/>
      <c r="AC43" s="38" t="n"/>
      <c r="AD43" s="38" t="n"/>
      <c r="AE43" s="38" t="n"/>
      <c r="AF43" s="38" t="n"/>
      <c r="AG43" s="38" t="n"/>
      <c r="AH43" s="38" t="n"/>
      <c r="AI43" s="38" t="n"/>
      <c r="AJ43" s="38" t="n"/>
      <c r="AK43" s="39" t="n"/>
      <c r="AL43" s="40">
        <f>IF(OR(R43="",R43-AP43&lt;=0),"",AO43/(R43-AP43))</f>
        <v/>
      </c>
      <c r="AM43" s="41">
        <f>IF(R43="","",SUM(AC43:AF43)-(R43-AP43))</f>
        <v/>
      </c>
      <c r="AN43" s="41">
        <f>IF(R43="","",SUM(S43:W43)+AP43-R43)</f>
        <v/>
      </c>
      <c r="AO43" s="44" t="n"/>
      <c r="AP43" s="45" t="n"/>
      <c r="AQ43" s="47" t="inlineStr">
        <is>
          <t>T01-a VPN tag低位单bit；T01-b VPN tag中位单bit；T01-c VPN tag高位单bit</t>
        </is>
      </c>
      <c r="AR43" s="23" t="n"/>
      <c r="AS43" s="35">
        <f>IF(OR(Q43="",Q43=0),"",AR43/Q43)</f>
        <v/>
      </c>
      <c r="AT43" s="62" t="n">
        <v>30</v>
      </c>
      <c r="AU43" s="62" t="n">
        <v>385</v>
      </c>
      <c r="AV43" s="62" t="inlineStr">
        <is>
          <t>常规</t>
        </is>
      </c>
      <c r="AW43" s="62" t="inlineStr">
        <is>
          <t>累计至少385，不机械扩展到2401</t>
        </is>
      </c>
    </row>
    <row r="44" ht="94.15000000000001" customHeight="1" s="58">
      <c r="A44" s="21" t="inlineStr">
        <is>
          <t>T01-F1-W4</t>
        </is>
      </c>
      <c r="B44" s="21" t="inlineStr">
        <is>
          <t>T01</t>
        </is>
      </c>
      <c r="C44" s="21" t="inlineStr">
        <is>
          <t>L1d-TLB</t>
        </is>
      </c>
      <c r="D44" s="22" t="inlineStr">
        <is>
          <t>L1 d-TLB 表项的 VPN tag（Virtual Page Number 标签）。查 TLB 时用当前虚拟页号和 ASID 与它比较；tag 错误会产生本应命中的 miss，或更危险的错误命中另一条翻译。</t>
        </is>
      </c>
      <c r="E44" s="22" t="inlineStr">
        <is>
          <t>单比特翻转</t>
        </is>
      </c>
      <c r="F44"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4" s="22" t="inlineStr">
        <is>
          <t>F1</t>
        </is>
      </c>
      <c r="H44" s="22" t="inlineStr">
        <is>
          <t>平均每 1,000,000 个 eligible events 注入 1 次，间隔加入 ±50% 抖动</t>
        </is>
      </c>
      <c r="I44" s="22" t="inlineStr">
        <is>
          <t>TLB-AliasPerm 地址翻译探针（4KiB/2MiB 页、ASID、同VA不同PA、权限、TLBI、跨页访问）</t>
        </is>
      </c>
      <c r="J44" s="22" t="inlineStr">
        <is>
          <t>TLB-AliasPerm 地址翻译探针（4KiB/2MiB 页、ASID、同VA不同PA、权限、TLBI、跨页访问）
执行定义与 oracle：4KiB/2MiB 页、ASID 切换、同 VA 不同 PA、只读/不可执行页、TLBI 后重填、跨页 load/store</t>
        </is>
      </c>
      <c r="K44" s="22" t="inlineStr">
        <is>
          <t>DTLB中存在有效项</t>
        </is>
      </c>
      <c r="L44" s="22" t="inlineStr">
        <is>
          <t>L0 表项是否被命中；L1 VPN/ASID/PPN/权限/valid与多命中；L2 walk/refill/TLBI、送cache的PA；L3 cache行与异常；L4 commit首分歧/错误页访问；L5结局；错hit/miss、walk后是否自愈、错误PA</t>
        </is>
      </c>
      <c r="M44" s="22" t="inlineStr">
        <is>
          <t>多为miss/walk或错误命中；TC'23表明DTLB非benign中SDC可达22.2%</t>
        </is>
      </c>
      <c r="N44" s="22" t="inlineStr">
        <is>
          <t>直接复现文献型瞬态并加入生命周期分母</t>
        </is>
      </c>
      <c r="O44" s="22" t="inlineStr">
        <is>
          <t>TC'22、TC'23直接对照</t>
        </is>
      </c>
      <c r="P44" s="23" t="n"/>
      <c r="Q44" s="23" t="n"/>
      <c r="R44" s="23" t="n"/>
      <c r="S44" s="23" t="n"/>
      <c r="T44" s="23" t="n"/>
      <c r="U44" s="23" t="n"/>
      <c r="V44" s="23" t="n"/>
      <c r="W44" s="23" t="n"/>
      <c r="X44" s="35">
        <f>IF(OR(R44="",R44-AP44&lt;=0),"",AB44/(R44-AP44))</f>
        <v/>
      </c>
      <c r="Y44" s="35">
        <f>IF(OR(AR44="",AR44=0),"",R44/AR44)</f>
        <v/>
      </c>
      <c r="Z44" s="24" t="inlineStr">
        <is>
          <t>待执行</t>
        </is>
      </c>
      <c r="AA44" s="23" t="n"/>
      <c r="AB44" s="38" t="n"/>
      <c r="AC44" s="38" t="n"/>
      <c r="AD44" s="38" t="n"/>
      <c r="AE44" s="38" t="n"/>
      <c r="AF44" s="38" t="n"/>
      <c r="AG44" s="38" t="n"/>
      <c r="AH44" s="38" t="n"/>
      <c r="AI44" s="38" t="n"/>
      <c r="AJ44" s="38" t="n"/>
      <c r="AK44" s="39" t="n"/>
      <c r="AL44" s="40">
        <f>IF(OR(R44="",R44-AP44&lt;=0),"",AO44/(R44-AP44))</f>
        <v/>
      </c>
      <c r="AM44" s="41">
        <f>IF(R44="","",SUM(AC44:AF44)-(R44-AP44))</f>
        <v/>
      </c>
      <c r="AN44" s="41">
        <f>IF(R44="","",SUM(S44:W44)+AP44-R44)</f>
        <v/>
      </c>
      <c r="AO44" s="44" t="n"/>
      <c r="AP44" s="45" t="n"/>
      <c r="AQ44" s="47" t="inlineStr">
        <is>
          <t>T01-a VPN tag低位单bit；T01-b VPN tag中位单bit；T01-c VPN tag高位单bit</t>
        </is>
      </c>
      <c r="AR44" s="23" t="n"/>
      <c r="AS44" s="35">
        <f>IF(OR(Q44="",Q44=0),"",AR44/Q44)</f>
        <v/>
      </c>
      <c r="AT44" s="62" t="n">
        <v>30</v>
      </c>
      <c r="AU44" s="62" t="n">
        <v>385</v>
      </c>
      <c r="AV44" s="62" t="inlineStr">
        <is>
          <t>常规</t>
        </is>
      </c>
      <c r="AW44" s="62" t="inlineStr">
        <is>
          <t>累计至少385，不机械扩展到2401</t>
        </is>
      </c>
    </row>
    <row r="45" ht="94.15000000000001" customHeight="1" s="58">
      <c r="A45" s="21" t="inlineStr">
        <is>
          <t>T01-F2-W1</t>
        </is>
      </c>
      <c r="B45" s="21" t="inlineStr">
        <is>
          <t>T01</t>
        </is>
      </c>
      <c r="C45" s="21" t="inlineStr">
        <is>
          <t>L1d-TLB</t>
        </is>
      </c>
      <c r="D45" s="22" t="inlineStr">
        <is>
          <t>L1 d-TLB 表项的 VPN tag（Virtual Page Number 标签）。查 TLB 时用当前虚拟页号和 ASID 与它比较；tag 错误会产生本应命中的 miss，或更危险的错误命中另一条翻译。</t>
        </is>
      </c>
      <c r="E45" s="22" t="inlineStr">
        <is>
          <t>单比特翻转</t>
        </is>
      </c>
      <c r="F45"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5" s="22" t="inlineStr">
        <is>
          <t>F2</t>
        </is>
      </c>
      <c r="H45" s="22" t="inlineStr">
        <is>
          <t>平均每 100,000 个 eligible events 注入 1 次，间隔加入 ±50% 抖动</t>
        </is>
      </c>
      <c r="I45" s="22" t="inlineStr">
        <is>
          <t>MiBench-TC23 论文负载（blowfish、patricia、fft、gsm、dijkstra、rijndael、sha、bitcount、edge、smooth）</t>
        </is>
      </c>
      <c r="J45" s="22" t="inlineStr">
        <is>
          <t>MiBench-TC23 论文负载（blowfish、patricia、fft、gsm、dijkstra、rijndael、sha、bitcount、edge、smooth）
执行定义与 oracle：blowfish、patricia、fft、gsm、dijkstra、rijndael、sha、bitcount、edge、smooth；最大输入集</t>
        </is>
      </c>
      <c r="K45" s="22" t="inlineStr">
        <is>
          <t>DTLB中存在有效项</t>
        </is>
      </c>
      <c r="L45" s="22" t="inlineStr">
        <is>
          <t>L0 表项是否被命中；L1 VPN/ASID/PPN/权限/valid与多命中；L2 walk/refill/TLBI、送cache的PA；L3 cache行与异常；L4 commit首分歧/错误页访问；L5结局；错hit/miss、walk后是否自愈、错误PA</t>
        </is>
      </c>
      <c r="M45" s="22" t="inlineStr">
        <is>
          <t>多为miss/walk或错误命中；TC'23表明DTLB非benign中SDC可达22.2%</t>
        </is>
      </c>
      <c r="N45" s="22" t="inlineStr">
        <is>
          <t>直接复现文献型瞬态并加入生命周期分母</t>
        </is>
      </c>
      <c r="O45" s="22" t="inlineStr">
        <is>
          <t>TC'22、TC'23直接对照</t>
        </is>
      </c>
      <c r="P45" s="23" t="n"/>
      <c r="Q45" s="23" t="n"/>
      <c r="R45" s="23" t="n"/>
      <c r="S45" s="23" t="n"/>
      <c r="T45" s="23" t="n"/>
      <c r="U45" s="23" t="n"/>
      <c r="V45" s="23" t="n"/>
      <c r="W45" s="23" t="n"/>
      <c r="X45" s="35">
        <f>IF(OR(R45="",R45-AP45&lt;=0),"",AB45/(R45-AP45))</f>
        <v/>
      </c>
      <c r="Y45" s="35">
        <f>IF(OR(AR45="",AR45=0),"",R45/AR45)</f>
        <v/>
      </c>
      <c r="Z45" s="24" t="inlineStr">
        <is>
          <t>待执行</t>
        </is>
      </c>
      <c r="AA45" s="23" t="n"/>
      <c r="AB45" s="38" t="n"/>
      <c r="AC45" s="38" t="n"/>
      <c r="AD45" s="38" t="n"/>
      <c r="AE45" s="38" t="n"/>
      <c r="AF45" s="38" t="n"/>
      <c r="AG45" s="38" t="n"/>
      <c r="AH45" s="38" t="n"/>
      <c r="AI45" s="38" t="n"/>
      <c r="AJ45" s="38" t="n"/>
      <c r="AK45" s="39" t="n"/>
      <c r="AL45" s="40">
        <f>IF(OR(R45="",R45-AP45&lt;=0),"",AO45/(R45-AP45))</f>
        <v/>
      </c>
      <c r="AM45" s="41">
        <f>IF(R45="","",SUM(AC45:AF45)-(R45-AP45))</f>
        <v/>
      </c>
      <c r="AN45" s="41">
        <f>IF(R45="","",SUM(S45:W45)+AP45-R45)</f>
        <v/>
      </c>
      <c r="AO45" s="44" t="n"/>
      <c r="AP45" s="45" t="n"/>
      <c r="AQ45" s="47" t="inlineStr">
        <is>
          <t>T01-a VPN tag低位单bit；T01-b VPN tag中位单bit；T01-c VPN tag高位单bit</t>
        </is>
      </c>
      <c r="AR45" s="23" t="n"/>
      <c r="AS45" s="35">
        <f>IF(OR(Q45="",Q45=0),"",AR45/Q45)</f>
        <v/>
      </c>
      <c r="AT45" s="62" t="n">
        <v>30</v>
      </c>
      <c r="AU45" s="62" t="n">
        <v>385</v>
      </c>
      <c r="AV45" s="62" t="inlineStr">
        <is>
          <t>常规</t>
        </is>
      </c>
      <c r="AW45" s="62" t="inlineStr">
        <is>
          <t>累计至少385，不机械扩展到2401</t>
        </is>
      </c>
    </row>
    <row r="46" ht="94.15000000000001" customHeight="1" s="58">
      <c r="A46" s="21" t="inlineStr">
        <is>
          <t>T01-F2-W4</t>
        </is>
      </c>
      <c r="B46" s="21" t="inlineStr">
        <is>
          <t>T01</t>
        </is>
      </c>
      <c r="C46" s="21" t="inlineStr">
        <is>
          <t>L1d-TLB</t>
        </is>
      </c>
      <c r="D46" s="22" t="inlineStr">
        <is>
          <t>L1 d-TLB 表项的 VPN tag（Virtual Page Number 标签）。查 TLB 时用当前虚拟页号和 ASID 与它比较；tag 错误会产生本应命中的 miss，或更危险的错误命中另一条翻译。</t>
        </is>
      </c>
      <c r="E46" s="22" t="inlineStr">
        <is>
          <t>单比特翻转</t>
        </is>
      </c>
      <c r="F46"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6" s="22" t="inlineStr">
        <is>
          <t>F2</t>
        </is>
      </c>
      <c r="H46" s="22" t="inlineStr">
        <is>
          <t>平均每 100,000 个 eligible events 注入 1 次，间隔加入 ±50% 抖动</t>
        </is>
      </c>
      <c r="I46" s="22" t="inlineStr">
        <is>
          <t>TLB-AliasPerm 地址翻译探针（4KiB/2MiB 页、ASID、同VA不同PA、权限、TLBI、跨页访问）</t>
        </is>
      </c>
      <c r="J46" s="22" t="inlineStr">
        <is>
          <t>TLB-AliasPerm 地址翻译探针（4KiB/2MiB 页、ASID、同VA不同PA、权限、TLBI、跨页访问）
执行定义与 oracle：4KiB/2MiB 页、ASID 切换、同 VA 不同 PA、只读/不可执行页、TLBI 后重填、跨页 load/store</t>
        </is>
      </c>
      <c r="K46" s="22" t="inlineStr">
        <is>
          <t>DTLB中存在有效项</t>
        </is>
      </c>
      <c r="L46" s="22" t="inlineStr">
        <is>
          <t>L0 表项是否被命中；L1 VPN/ASID/PPN/权限/valid与多命中；L2 walk/refill/TLBI、送cache的PA；L3 cache行与异常；L4 commit首分歧/错误页访问；L5结局；错hit/miss、walk后是否自愈、错误PA</t>
        </is>
      </c>
      <c r="M46" s="22" t="inlineStr">
        <is>
          <t>多为miss/walk或错误命中；TC'23表明DTLB非benign中SDC可达22.2%</t>
        </is>
      </c>
      <c r="N46" s="22" t="inlineStr">
        <is>
          <t>直接复现文献型瞬态并加入生命周期分母</t>
        </is>
      </c>
      <c r="O46" s="22" t="inlineStr">
        <is>
          <t>TC'22、TC'23直接对照</t>
        </is>
      </c>
      <c r="P46" s="23" t="n"/>
      <c r="Q46" s="23" t="n"/>
      <c r="R46" s="23" t="n"/>
      <c r="S46" s="23" t="n"/>
      <c r="T46" s="23" t="n"/>
      <c r="U46" s="23" t="n"/>
      <c r="V46" s="23" t="n"/>
      <c r="W46" s="23" t="n"/>
      <c r="X46" s="35">
        <f>IF(OR(R46="",R46-AP46&lt;=0),"",AB46/(R46-AP46))</f>
        <v/>
      </c>
      <c r="Y46" s="35">
        <f>IF(OR(AR46="",AR46=0),"",R46/AR46)</f>
        <v/>
      </c>
      <c r="Z46" s="24" t="inlineStr">
        <is>
          <t>待执行</t>
        </is>
      </c>
      <c r="AA46" s="23" t="n"/>
      <c r="AB46" s="38" t="n"/>
      <c r="AC46" s="38" t="n"/>
      <c r="AD46" s="38" t="n"/>
      <c r="AE46" s="38" t="n"/>
      <c r="AF46" s="38" t="n"/>
      <c r="AG46" s="38" t="n"/>
      <c r="AH46" s="38" t="n"/>
      <c r="AI46" s="38" t="n"/>
      <c r="AJ46" s="38" t="n"/>
      <c r="AK46" s="39" t="n"/>
      <c r="AL46" s="40">
        <f>IF(OR(R46="",R46-AP46&lt;=0),"",AO46/(R46-AP46))</f>
        <v/>
      </c>
      <c r="AM46" s="41">
        <f>IF(R46="","",SUM(AC46:AF46)-(R46-AP46))</f>
        <v/>
      </c>
      <c r="AN46" s="41">
        <f>IF(R46="","",SUM(S46:W46)+AP46-R46)</f>
        <v/>
      </c>
      <c r="AO46" s="44" t="n"/>
      <c r="AP46" s="45" t="n"/>
      <c r="AQ46" s="47" t="inlineStr">
        <is>
          <t>T01-a VPN tag低位单bit；T01-b VPN tag中位单bit；T01-c VPN tag高位单bit</t>
        </is>
      </c>
      <c r="AR46" s="23" t="n"/>
      <c r="AS46" s="35">
        <f>IF(OR(Q46="",Q46=0),"",AR46/Q46)</f>
        <v/>
      </c>
      <c r="AT46" s="62" t="n">
        <v>30</v>
      </c>
      <c r="AU46" s="62" t="n">
        <v>385</v>
      </c>
      <c r="AV46" s="62" t="inlineStr">
        <is>
          <t>常规</t>
        </is>
      </c>
      <c r="AW46" s="62" t="inlineStr">
        <is>
          <t>累计至少385，不机械扩展到2401</t>
        </is>
      </c>
    </row>
    <row r="47" ht="94.15000000000001" customHeight="1" s="58">
      <c r="A47" s="21" t="inlineStr">
        <is>
          <t>T02-F0-W1</t>
        </is>
      </c>
      <c r="B47" s="21" t="inlineStr">
        <is>
          <t>T02</t>
        </is>
      </c>
      <c r="C47" s="21" t="inlineStr">
        <is>
          <t>L1d-TLB</t>
        </is>
      </c>
      <c r="D47" s="22" t="inlineStr">
        <is>
          <t>L1 d-TLB 表项中的 PPN（Physical Page Number，物理页号）翻译数据。VPN/ASID 命中后，PPN 与页内偏移拼成送往 L1D 的物理地址；这里不包含权限位。</t>
        </is>
      </c>
      <c r="E47" s="22" t="inlineStr">
        <is>
          <t>双比特翻转</t>
        </is>
      </c>
      <c r="F47"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7" s="22" t="inlineStr">
        <is>
          <t>F0</t>
        </is>
      </c>
      <c r="H47" s="22" t="inlineStr">
        <is>
          <t>每次运行只注入 1 次；在 warm-up 后的 eligible event 中均匀抽样</t>
        </is>
      </c>
      <c r="I47" s="22" t="inlineStr">
        <is>
          <t>MiBench-TC23 论文负载（blowfish、patricia、fft、gsm、dijkstra、rijndael、sha、bitcount、edge、smooth）</t>
        </is>
      </c>
      <c r="J47" s="22" t="inlineStr">
        <is>
          <t>MiBench-TC23 论文负载（blowfish、patricia、fft、gsm、dijkstra、rijndael、sha、bitcount、edge、smooth）
执行定义与 oracle：blowfish、patricia、fft、gsm、dijkstra、rijndael、sha、bitcount、edge、smooth；最大输入集</t>
        </is>
      </c>
      <c r="K47" s="22" t="inlineStr">
        <is>
          <t>有效表项且后续复用</t>
        </is>
      </c>
      <c r="L47" s="22" t="inlineStr">
        <is>
          <t>L0 表项是否被命中；L1 VPN/ASID/PPN/权限/valid与多命中；L2 walk/refill/TLBI、送cache的PA；L3 cache行与异常；L4 commit首分歧/错误页访问；L5结局；PA距离、是否命中有效DRAM/设备区、异常类型</t>
        </is>
      </c>
      <c r="M47" s="22" t="inlineStr">
        <is>
          <t>比单bit更易进入未映射PA而Crash；同物理对象别名时可能SDC</t>
        </is>
      </c>
      <c r="N47" s="22" t="inlineStr">
        <is>
          <t>补足文献主要未覆盖的MBU</t>
        </is>
      </c>
      <c r="O47" s="22" t="inlineStr">
        <is>
          <t>TC'23单bit基线；CHAOS多bit规律类比</t>
        </is>
      </c>
      <c r="P47" s="23" t="n"/>
      <c r="Q47" s="23" t="n"/>
      <c r="R47" s="23" t="n"/>
      <c r="S47" s="23" t="n"/>
      <c r="T47" s="23" t="n"/>
      <c r="U47" s="23" t="n"/>
      <c r="V47" s="23" t="n"/>
      <c r="W47" s="23" t="n"/>
      <c r="X47" s="35">
        <f>IF(OR(R47="",R47-AP47&lt;=0),"",AB47/(R47-AP47))</f>
        <v/>
      </c>
      <c r="Y47" s="35">
        <f>IF(OR(AR47="",AR47=0),"",R47/AR47)</f>
        <v/>
      </c>
      <c r="Z47" s="24" t="inlineStr">
        <is>
          <t>待执行</t>
        </is>
      </c>
      <c r="AA47" s="23" t="n"/>
      <c r="AB47" s="38" t="n"/>
      <c r="AC47" s="38" t="n"/>
      <c r="AD47" s="38" t="n"/>
      <c r="AE47" s="38" t="n"/>
      <c r="AF47" s="38" t="n"/>
      <c r="AG47" s="38" t="n"/>
      <c r="AH47" s="38" t="n"/>
      <c r="AI47" s="38" t="n"/>
      <c r="AJ47" s="38" t="n"/>
      <c r="AK47" s="39" t="n"/>
      <c r="AL47" s="40">
        <f>IF(OR(R47="",R47-AP47&lt;=0),"",AO47/(R47-AP47))</f>
        <v/>
      </c>
      <c r="AM47" s="41">
        <f>IF(R47="","",SUM(AC47:AF47)-(R47-AP47))</f>
        <v/>
      </c>
      <c r="AN47" s="41">
        <f>IF(R47="","",SUM(S47:W47)+AP47-R47)</f>
        <v/>
      </c>
      <c r="AO47" s="44" t="n"/>
      <c r="AP47" s="45" t="n"/>
      <c r="AQ47" s="47" t="inlineStr">
        <is>
          <t>T02-a 同一PPN相邻双bit；T02-b 同一PPN非相邻双bit</t>
        </is>
      </c>
      <c r="AR47" s="23" t="n"/>
      <c r="AS47" s="35">
        <f>IF(OR(Q47="",Q47=0),"",AR47/Q47)</f>
        <v/>
      </c>
      <c r="AT47" s="62" t="n">
        <v>30</v>
      </c>
      <c r="AU47" s="62" t="n">
        <v>385</v>
      </c>
      <c r="AV47" s="62" t="inlineStr">
        <is>
          <t>常规</t>
        </is>
      </c>
      <c r="AW47" s="62" t="inlineStr">
        <is>
          <t>累计至少385，不机械扩展到2401</t>
        </is>
      </c>
    </row>
    <row r="48" ht="94.15000000000001" customHeight="1" s="58">
      <c r="A48" s="21" t="inlineStr">
        <is>
          <t>T02-F0-W4</t>
        </is>
      </c>
      <c r="B48" s="21" t="inlineStr">
        <is>
          <t>T02</t>
        </is>
      </c>
      <c r="C48" s="21" t="inlineStr">
        <is>
          <t>L1d-TLB</t>
        </is>
      </c>
      <c r="D48" s="22" t="inlineStr">
        <is>
          <t>L1 d-TLB 表项中的 PPN（Physical Page Number，物理页号）翻译数据。VPN/ASID 命中后，PPN 与页内偏移拼成送往 L1D 的物理地址；这里不包含权限位。</t>
        </is>
      </c>
      <c r="E48" s="22" t="inlineStr">
        <is>
          <t>双比特翻转</t>
        </is>
      </c>
      <c r="F48"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8" s="22" t="inlineStr">
        <is>
          <t>F0</t>
        </is>
      </c>
      <c r="H48" s="22" t="inlineStr">
        <is>
          <t>每次运行只注入 1 次；在 warm-up 后的 eligible event 中均匀抽样</t>
        </is>
      </c>
      <c r="I48" s="22" t="inlineStr">
        <is>
          <t>TLB-AliasPerm 地址翻译探针（4KiB/2MiB 页、ASID、同VA不同PA、权限、TLBI、跨页访问）</t>
        </is>
      </c>
      <c r="J48" s="22" t="inlineStr">
        <is>
          <t>TLB-AliasPerm 地址翻译探针（4KiB/2MiB 页、ASID、同VA不同PA、权限、TLBI、跨页访问）
执行定义与 oracle：4KiB/2MiB 页、ASID 切换、同 VA 不同 PA、只读/不可执行页、TLBI 后重填、跨页 load/store</t>
        </is>
      </c>
      <c r="K48" s="22" t="inlineStr">
        <is>
          <t>有效表项且后续复用</t>
        </is>
      </c>
      <c r="L48" s="22" t="inlineStr">
        <is>
          <t>L0 表项是否被命中；L1 VPN/ASID/PPN/权限/valid与多命中；L2 walk/refill/TLBI、送cache的PA；L3 cache行与异常；L4 commit首分歧/错误页访问；L5结局；PA距离、是否命中有效DRAM/设备区、异常类型</t>
        </is>
      </c>
      <c r="M48" s="22" t="inlineStr">
        <is>
          <t>比单bit更易进入未映射PA而Crash；同物理对象别名时可能SDC</t>
        </is>
      </c>
      <c r="N48" s="22" t="inlineStr">
        <is>
          <t>补足文献主要未覆盖的MBU</t>
        </is>
      </c>
      <c r="O48" s="22" t="inlineStr">
        <is>
          <t>TC'23单bit基线；CHAOS多bit规律类比</t>
        </is>
      </c>
      <c r="P48" s="23" t="n"/>
      <c r="Q48" s="23" t="n"/>
      <c r="R48" s="23" t="n"/>
      <c r="S48" s="23" t="n"/>
      <c r="T48" s="23" t="n"/>
      <c r="U48" s="23" t="n"/>
      <c r="V48" s="23" t="n"/>
      <c r="W48" s="23" t="n"/>
      <c r="X48" s="35">
        <f>IF(OR(R48="",R48-AP48&lt;=0),"",AB48/(R48-AP48))</f>
        <v/>
      </c>
      <c r="Y48" s="35">
        <f>IF(OR(AR48="",AR48=0),"",R48/AR48)</f>
        <v/>
      </c>
      <c r="Z48" s="24" t="inlineStr">
        <is>
          <t>待执行</t>
        </is>
      </c>
      <c r="AA48" s="23" t="n"/>
      <c r="AB48" s="38" t="n"/>
      <c r="AC48" s="38" t="n"/>
      <c r="AD48" s="38" t="n"/>
      <c r="AE48" s="38" t="n"/>
      <c r="AF48" s="38" t="n"/>
      <c r="AG48" s="38" t="n"/>
      <c r="AH48" s="38" t="n"/>
      <c r="AI48" s="38" t="n"/>
      <c r="AJ48" s="38" t="n"/>
      <c r="AK48" s="39" t="n"/>
      <c r="AL48" s="40">
        <f>IF(OR(R48="",R48-AP48&lt;=0),"",AO48/(R48-AP48))</f>
        <v/>
      </c>
      <c r="AM48" s="41">
        <f>IF(R48="","",SUM(AC48:AF48)-(R48-AP48))</f>
        <v/>
      </c>
      <c r="AN48" s="41">
        <f>IF(R48="","",SUM(S48:W48)+AP48-R48)</f>
        <v/>
      </c>
      <c r="AO48" s="44" t="n"/>
      <c r="AP48" s="45" t="n"/>
      <c r="AQ48" s="47" t="inlineStr">
        <is>
          <t>T02-a 同一PPN相邻双bit；T02-b 同一PPN非相邻双bit</t>
        </is>
      </c>
      <c r="AR48" s="23" t="n"/>
      <c r="AS48" s="35">
        <f>IF(OR(Q48="",Q48=0),"",AR48/Q48)</f>
        <v/>
      </c>
      <c r="AT48" s="62" t="n">
        <v>30</v>
      </c>
      <c r="AU48" s="62" t="n">
        <v>385</v>
      </c>
      <c r="AV48" s="62" t="inlineStr">
        <is>
          <t>常规</t>
        </is>
      </c>
      <c r="AW48" s="62" t="inlineStr">
        <is>
          <t>累计至少385，不机械扩展到2401</t>
        </is>
      </c>
    </row>
    <row r="49" ht="94.15000000000001" customHeight="1" s="58">
      <c r="A49" s="21" t="inlineStr">
        <is>
          <t>T02-F2-W1</t>
        </is>
      </c>
      <c r="B49" s="21" t="inlineStr">
        <is>
          <t>T02</t>
        </is>
      </c>
      <c r="C49" s="21" t="inlineStr">
        <is>
          <t>L1d-TLB</t>
        </is>
      </c>
      <c r="D49" s="22" t="inlineStr">
        <is>
          <t>L1 d-TLB 表项中的 PPN（Physical Page Number，物理页号）翻译数据。VPN/ASID 命中后，PPN 与页内偏移拼成送往 L1D 的物理地址；这里不包含权限位。</t>
        </is>
      </c>
      <c r="E49" s="22" t="inlineStr">
        <is>
          <t>双比特翻转</t>
        </is>
      </c>
      <c r="F49"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9" s="22" t="inlineStr">
        <is>
          <t>F2</t>
        </is>
      </c>
      <c r="H49" s="22" t="inlineStr">
        <is>
          <t>平均每 100,000 个 eligible events 注入 1 次，间隔加入 ±50% 抖动</t>
        </is>
      </c>
      <c r="I49" s="22" t="inlineStr">
        <is>
          <t>MiBench-TC23 论文负载（blowfish、patricia、fft、gsm、dijkstra、rijndael、sha、bitcount、edge、smooth）</t>
        </is>
      </c>
      <c r="J49" s="22" t="inlineStr">
        <is>
          <t>MiBench-TC23 论文负载（blowfish、patricia、fft、gsm、dijkstra、rijndael、sha、bitcount、edge、smooth）
执行定义与 oracle：blowfish、patricia、fft、gsm、dijkstra、rijndael、sha、bitcount、edge、smooth；最大输入集</t>
        </is>
      </c>
      <c r="K49" s="22" t="inlineStr">
        <is>
          <t>有效表项且后续复用</t>
        </is>
      </c>
      <c r="L49" s="22" t="inlineStr">
        <is>
          <t>L0 表项是否被命中；L1 VPN/ASID/PPN/权限/valid与多命中；L2 walk/refill/TLBI、送cache的PA；L3 cache行与异常；L4 commit首分歧/错误页访问；L5结局；PA距离、是否命中有效DRAM/设备区、异常类型</t>
        </is>
      </c>
      <c r="M49" s="22" t="inlineStr">
        <is>
          <t>比单bit更易进入未映射PA而Crash；同物理对象别名时可能SDC</t>
        </is>
      </c>
      <c r="N49" s="22" t="inlineStr">
        <is>
          <t>补足文献主要未覆盖的MBU</t>
        </is>
      </c>
      <c r="O49" s="22" t="inlineStr">
        <is>
          <t>TC'23单bit基线；CHAOS多bit规律类比</t>
        </is>
      </c>
      <c r="P49" s="23" t="n"/>
      <c r="Q49" s="23" t="n"/>
      <c r="R49" s="23" t="n"/>
      <c r="S49" s="23" t="n"/>
      <c r="T49" s="23" t="n"/>
      <c r="U49" s="23" t="n"/>
      <c r="V49" s="23" t="n"/>
      <c r="W49" s="23" t="n"/>
      <c r="X49" s="35">
        <f>IF(OR(R49="",R49-AP49&lt;=0),"",AB49/(R49-AP49))</f>
        <v/>
      </c>
      <c r="Y49" s="35">
        <f>IF(OR(AR49="",AR49=0),"",R49/AR49)</f>
        <v/>
      </c>
      <c r="Z49" s="24" t="inlineStr">
        <is>
          <t>待执行</t>
        </is>
      </c>
      <c r="AA49" s="23" t="n"/>
      <c r="AB49" s="38" t="n"/>
      <c r="AC49" s="38" t="n"/>
      <c r="AD49" s="38" t="n"/>
      <c r="AE49" s="38" t="n"/>
      <c r="AF49" s="38" t="n"/>
      <c r="AG49" s="38" t="n"/>
      <c r="AH49" s="38" t="n"/>
      <c r="AI49" s="38" t="n"/>
      <c r="AJ49" s="38" t="n"/>
      <c r="AK49" s="39" t="n"/>
      <c r="AL49" s="40">
        <f>IF(OR(R49="",R49-AP49&lt;=0),"",AO49/(R49-AP49))</f>
        <v/>
      </c>
      <c r="AM49" s="41">
        <f>IF(R49="","",SUM(AC49:AF49)-(R49-AP49))</f>
        <v/>
      </c>
      <c r="AN49" s="41">
        <f>IF(R49="","",SUM(S49:W49)+AP49-R49)</f>
        <v/>
      </c>
      <c r="AO49" s="44" t="n"/>
      <c r="AP49" s="45" t="n"/>
      <c r="AQ49" s="47" t="inlineStr">
        <is>
          <t>T02-a 同一PPN相邻双bit；T02-b 同一PPN非相邻双bit</t>
        </is>
      </c>
      <c r="AR49" s="23" t="n"/>
      <c r="AS49" s="35">
        <f>IF(OR(Q49="",Q49=0),"",AR49/Q49)</f>
        <v/>
      </c>
      <c r="AT49" s="62" t="n">
        <v>30</v>
      </c>
      <c r="AU49" s="62" t="n">
        <v>385</v>
      </c>
      <c r="AV49" s="62" t="inlineStr">
        <is>
          <t>常规</t>
        </is>
      </c>
      <c r="AW49" s="62" t="inlineStr">
        <is>
          <t>累计至少385，不机械扩展到2401</t>
        </is>
      </c>
    </row>
    <row r="50" ht="94.15000000000001" customHeight="1" s="58">
      <c r="A50" s="21" t="inlineStr">
        <is>
          <t>T02-F2-W4</t>
        </is>
      </c>
      <c r="B50" s="21" t="inlineStr">
        <is>
          <t>T02</t>
        </is>
      </c>
      <c r="C50" s="21" t="inlineStr">
        <is>
          <t>L1d-TLB</t>
        </is>
      </c>
      <c r="D50" s="22" t="inlineStr">
        <is>
          <t>L1 d-TLB 表项中的 PPN（Physical Page Number，物理页号）翻译数据。VPN/ASID 命中后，PPN 与页内偏移拼成送往 L1D 的物理地址；这里不包含权限位。</t>
        </is>
      </c>
      <c r="E50" s="22" t="inlineStr">
        <is>
          <t>双比特翻转</t>
        </is>
      </c>
      <c r="F50"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50" s="22" t="inlineStr">
        <is>
          <t>F2</t>
        </is>
      </c>
      <c r="H50" s="22" t="inlineStr">
        <is>
          <t>平均每 100,000 个 eligible events 注入 1 次，间隔加入 ±50% 抖动</t>
        </is>
      </c>
      <c r="I50" s="22" t="inlineStr">
        <is>
          <t>TLB-AliasPerm 地址翻译探针（4KiB/2MiB 页、ASID、同VA不同PA、权限、TLBI、跨页访问）</t>
        </is>
      </c>
      <c r="J50" s="22" t="inlineStr">
        <is>
          <t>TLB-AliasPerm 地址翻译探针（4KiB/2MiB 页、ASID、同VA不同PA、权限、TLBI、跨页访问）
执行定义与 oracle：4KiB/2MiB 页、ASID 切换、同 VA 不同 PA、只读/不可执行页、TLBI 后重填、跨页 load/store</t>
        </is>
      </c>
      <c r="K50" s="22" t="inlineStr">
        <is>
          <t>有效表项且后续复用</t>
        </is>
      </c>
      <c r="L50" s="22" t="inlineStr">
        <is>
          <t>L0 表项是否被命中；L1 VPN/ASID/PPN/权限/valid与多命中；L2 walk/refill/TLBI、送cache的PA；L3 cache行与异常；L4 commit首分歧/错误页访问；L5结局；PA距离、是否命中有效DRAM/设备区、异常类型</t>
        </is>
      </c>
      <c r="M50" s="22" t="inlineStr">
        <is>
          <t>比单bit更易进入未映射PA而Crash；同物理对象别名时可能SDC</t>
        </is>
      </c>
      <c r="N50" s="22" t="inlineStr">
        <is>
          <t>补足文献主要未覆盖的MBU</t>
        </is>
      </c>
      <c r="O50" s="22" t="inlineStr">
        <is>
          <t>TC'23单bit基线；CHAOS多bit规律类比</t>
        </is>
      </c>
      <c r="P50" s="23" t="n"/>
      <c r="Q50" s="23" t="n"/>
      <c r="R50" s="23" t="n"/>
      <c r="S50" s="23" t="n"/>
      <c r="T50" s="23" t="n"/>
      <c r="U50" s="23" t="n"/>
      <c r="V50" s="23" t="n"/>
      <c r="W50" s="23" t="n"/>
      <c r="X50" s="35">
        <f>IF(OR(R50="",R50-AP50&lt;=0),"",AB50/(R50-AP50))</f>
        <v/>
      </c>
      <c r="Y50" s="35">
        <f>IF(OR(AR50="",AR50=0),"",R50/AR50)</f>
        <v/>
      </c>
      <c r="Z50" s="24" t="inlineStr">
        <is>
          <t>待执行</t>
        </is>
      </c>
      <c r="AA50" s="23" t="n"/>
      <c r="AB50" s="38" t="n"/>
      <c r="AC50" s="38" t="n"/>
      <c r="AD50" s="38" t="n"/>
      <c r="AE50" s="38" t="n"/>
      <c r="AF50" s="38" t="n"/>
      <c r="AG50" s="38" t="n"/>
      <c r="AH50" s="38" t="n"/>
      <c r="AI50" s="38" t="n"/>
      <c r="AJ50" s="38" t="n"/>
      <c r="AK50" s="39" t="n"/>
      <c r="AL50" s="40">
        <f>IF(OR(R50="",R50-AP50&lt;=0),"",AO50/(R50-AP50))</f>
        <v/>
      </c>
      <c r="AM50" s="41">
        <f>IF(R50="","",SUM(AC50:AF50)-(R50-AP50))</f>
        <v/>
      </c>
      <c r="AN50" s="41">
        <f>IF(R50="","",SUM(S50:W50)+AP50-R50)</f>
        <v/>
      </c>
      <c r="AO50" s="44" t="n"/>
      <c r="AP50" s="45" t="n"/>
      <c r="AQ50" s="47" t="inlineStr">
        <is>
          <t>T02-a 同一PPN相邻双bit；T02-b 同一PPN非相邻双bit</t>
        </is>
      </c>
      <c r="AR50" s="23" t="n"/>
      <c r="AS50" s="35">
        <f>IF(OR(Q50="",Q50=0),"",AR50/Q50)</f>
        <v/>
      </c>
      <c r="AT50" s="62" t="n">
        <v>30</v>
      </c>
      <c r="AU50" s="62" t="n">
        <v>385</v>
      </c>
      <c r="AV50" s="62" t="inlineStr">
        <is>
          <t>常规</t>
        </is>
      </c>
      <c r="AW50" s="62" t="inlineStr">
        <is>
          <t>累计至少385，不机械扩展到2401</t>
        </is>
      </c>
    </row>
    <row r="51" ht="94.15000000000001" customHeight="1" s="58">
      <c r="A51" s="21" t="inlineStr">
        <is>
          <t>T03-F5-W4</t>
        </is>
      </c>
      <c r="B51" s="21" t="inlineStr">
        <is>
          <t>T03</t>
        </is>
      </c>
      <c r="C51" s="21" t="inlineStr">
        <is>
          <t>L1d-TLB</t>
        </is>
      </c>
      <c r="D51" s="22" t="inlineStr">
        <is>
          <t>L1 d-TLB 的 PPN 读出通路中的一个固定物理位。与 T02 的一次性双翻转不同，卡死模型在每次读出翻译时都强制该位为 0 或 1，因此 refill 后仍可能再次表现同样错误。</t>
        </is>
      </c>
      <c r="E51" s="22" t="inlineStr">
        <is>
          <t>卡死</t>
        </is>
      </c>
      <c r="F51" s="22"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G51" s="22" t="inlineStr">
        <is>
          <t>F5</t>
        </is>
      </c>
      <c r="H51" s="22" t="inlineStr">
        <is>
          <t>warm-up 后第一个 eligible event 起持续到运行结束；每次运行仅选一个 bit/字段</t>
        </is>
      </c>
      <c r="I51" s="22" t="inlineStr">
        <is>
          <t>TLB-AliasPerm 地址翻译探针（4KiB/2MiB 页、ASID、同VA不同PA、权限、TLBI、跨页访问）</t>
        </is>
      </c>
      <c r="J51" s="22" t="inlineStr">
        <is>
          <t>TLB-AliasPerm 地址翻译探针（4KiB/2MiB 页、ASID、同VA不同PA、权限、TLBI、跨页访问）
执行定义与 oracle：4KiB/2MiB 页、ASID 切换、同 VA 不同 PA、只读/不可执行页、TLBI 后重填、跨页 load/store</t>
        </is>
      </c>
      <c r="K51" s="22" t="inlineStr">
        <is>
          <t>首个DTLB hit后持续</t>
        </is>
      </c>
      <c r="L51" s="22" t="inlineStr">
        <is>
          <t>L0 表项是否被命中；L1 VPN/ASID/PPN/权限/valid与多命中；L2 walk/refill/TLBI、送cache的PA；L3 cache行与异常；L4 commit首分歧/错误页访问；L5结局；按VA聚合错误PA、别名矩阵、TLB refill后是否仍错</t>
        </is>
      </c>
      <c r="M51" s="22" t="inlineStr">
        <is>
          <t>重复访问会形成稳定物理别名；高位常Crash，低位可能跨页静默读写</t>
        </is>
      </c>
      <c r="N51" s="22" t="inlineStr">
        <is>
          <t>永久翻译故障与单次瞬态的传播不同</t>
        </is>
      </c>
      <c r="O51" s="22" t="inlineStr">
        <is>
          <t>无直接永久DTLB结果</t>
        </is>
      </c>
      <c r="P51" s="23" t="n"/>
      <c r="Q51" s="23" t="n"/>
      <c r="R51" s="23" t="n"/>
      <c r="S51" s="23" t="n"/>
      <c r="T51" s="23" t="n"/>
      <c r="U51" s="23" t="n"/>
      <c r="V51" s="23" t="n"/>
      <c r="W51" s="23" t="n"/>
      <c r="X51" s="35">
        <f>IF(OR(R51="",R51-AP51&lt;=0),"",AB51/(R51-AP51))</f>
        <v/>
      </c>
      <c r="Y51" s="35">
        <f>IF(OR(AR51="",AR51=0),"",R51/AR51)</f>
        <v/>
      </c>
      <c r="Z51" s="24" t="inlineStr">
        <is>
          <t>待执行</t>
        </is>
      </c>
      <c r="AA51" s="23" t="n"/>
      <c r="AB51" s="38" t="n"/>
      <c r="AC51" s="38" t="n"/>
      <c r="AD51" s="38" t="n"/>
      <c r="AE51" s="38" t="n"/>
      <c r="AF51" s="38" t="n"/>
      <c r="AG51" s="38" t="n"/>
      <c r="AH51" s="38" t="n"/>
      <c r="AI51" s="38" t="n"/>
      <c r="AJ51" s="38" t="n"/>
      <c r="AK51" s="39" t="n"/>
      <c r="AL51" s="40">
        <f>IF(OR(R51="",R51-AP51&lt;=0),"",AO51/(R51-AP51))</f>
        <v/>
      </c>
      <c r="AM51" s="41">
        <f>IF(R51="","",SUM(AC51:AF51)-(R51-AP51))</f>
        <v/>
      </c>
      <c r="AN51" s="41">
        <f>IF(R51="","",SUM(S51:W51)+AP51-R51)</f>
        <v/>
      </c>
      <c r="AO51" s="44" t="n"/>
      <c r="AP51" s="45" t="n"/>
      <c r="AQ51" s="47" t="inlineStr">
        <is>
          <t>T03-a PPN位stuck-at-0；T03-b PPN位stuck-at-1</t>
        </is>
      </c>
      <c r="AR51" s="23" t="n"/>
      <c r="AS51" s="35">
        <f>IF(OR(Q51="",Q51=0),"",AR51/Q51)</f>
        <v/>
      </c>
      <c r="AT51" s="62" t="n">
        <v>30</v>
      </c>
      <c r="AU51" s="62" t="n">
        <v>385</v>
      </c>
      <c r="AV51" s="62" t="inlineStr">
        <is>
          <t>常规</t>
        </is>
      </c>
      <c r="AW51" s="62" t="inlineStr">
        <is>
          <t>累计至少385，不机械扩展到2401</t>
        </is>
      </c>
    </row>
    <row r="52" ht="94.15000000000001" customHeight="1" s="58">
      <c r="A52" s="21" t="inlineStr">
        <is>
          <t>T03-F5-W9</t>
        </is>
      </c>
      <c r="B52" s="21" t="inlineStr">
        <is>
          <t>T03</t>
        </is>
      </c>
      <c r="C52" s="21" t="inlineStr">
        <is>
          <t>L1d-TLB</t>
        </is>
      </c>
      <c r="D52" s="22" t="inlineStr">
        <is>
          <t>L1 d-TLB 的 PPN 读出通路中的一个固定物理位。与 T02 的一次性双翻转不同，卡死模型在每次读出翻译时都强制该位为 0 或 1，因此 refill 后仍可能再次表现同样错误。</t>
        </is>
      </c>
      <c r="E52" s="22" t="inlineStr">
        <is>
          <t>卡死</t>
        </is>
      </c>
      <c r="F52" s="22"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G52" s="22" t="inlineStr">
        <is>
          <t>F5</t>
        </is>
      </c>
      <c r="H52" s="22" t="inlineStr">
        <is>
          <t>warm-up 后第一个 eligible event 起持续到运行结束；每次运行仅选一个 bit/字段</t>
        </is>
      </c>
      <c r="I52" s="22" t="inlineStr">
        <is>
          <t>GAP/Graph500 子集（BFS、SSSP、PageRank，固定图与结果哈希）</t>
        </is>
      </c>
      <c r="J52" s="22" t="inlineStr">
        <is>
          <t>GAP/Graph500 子集（BFS、SSSP、PageRank，固定图与结果哈希）
执行定义与 oracle：BFS/SSSP/PR，使用固定图与结果哈希；强调不规则地址和大 working set</t>
        </is>
      </c>
      <c r="K52" s="22" t="inlineStr">
        <is>
          <t>首个DTLB hit后持续</t>
        </is>
      </c>
      <c r="L52" s="22" t="inlineStr">
        <is>
          <t>L0 表项是否被命中；L1 VPN/ASID/PPN/权限/valid与多命中；L2 walk/refill/TLBI、送cache的PA；L3 cache行与异常；L4 commit首分歧/错误页访问；L5结局；按VA聚合错误PA、别名矩阵、TLB refill后是否仍错</t>
        </is>
      </c>
      <c r="M52" s="22" t="inlineStr">
        <is>
          <t>重复访问会形成稳定物理别名；高位常Crash，低位可能跨页静默读写</t>
        </is>
      </c>
      <c r="N52" s="22" t="inlineStr">
        <is>
          <t>永久翻译故障与单次瞬态的传播不同</t>
        </is>
      </c>
      <c r="O52" s="22" t="inlineStr">
        <is>
          <t>无直接永久DTLB结果</t>
        </is>
      </c>
      <c r="P52" s="23" t="n"/>
      <c r="Q52" s="23" t="n"/>
      <c r="R52" s="23" t="n"/>
      <c r="S52" s="23" t="n"/>
      <c r="T52" s="23" t="n"/>
      <c r="U52" s="23" t="n"/>
      <c r="V52" s="23" t="n"/>
      <c r="W52" s="23" t="n"/>
      <c r="X52" s="35">
        <f>IF(OR(R52="",R52-AP52&lt;=0),"",AB52/(R52-AP52))</f>
        <v/>
      </c>
      <c r="Y52" s="35">
        <f>IF(OR(AR52="",AR52=0),"",R52/AR52)</f>
        <v/>
      </c>
      <c r="Z52" s="24" t="inlineStr">
        <is>
          <t>待执行</t>
        </is>
      </c>
      <c r="AA52" s="23" t="n"/>
      <c r="AB52" s="38" t="n"/>
      <c r="AC52" s="38" t="n"/>
      <c r="AD52" s="38" t="n"/>
      <c r="AE52" s="38" t="n"/>
      <c r="AF52" s="38" t="n"/>
      <c r="AG52" s="38" t="n"/>
      <c r="AH52" s="38" t="n"/>
      <c r="AI52" s="38" t="n"/>
      <c r="AJ52" s="38" t="n"/>
      <c r="AK52" s="39" t="n"/>
      <c r="AL52" s="40">
        <f>IF(OR(R52="",R52-AP52&lt;=0),"",AO52/(R52-AP52))</f>
        <v/>
      </c>
      <c r="AM52" s="41">
        <f>IF(R52="","",SUM(AC52:AF52)-(R52-AP52))</f>
        <v/>
      </c>
      <c r="AN52" s="41">
        <f>IF(R52="","",SUM(S52:W52)+AP52-R52)</f>
        <v/>
      </c>
      <c r="AO52" s="44" t="n"/>
      <c r="AP52" s="45" t="n"/>
      <c r="AQ52" s="47" t="inlineStr">
        <is>
          <t>T03-a PPN位stuck-at-0；T03-b PPN位stuck-at-1</t>
        </is>
      </c>
      <c r="AR52" s="23" t="n"/>
      <c r="AS52" s="35">
        <f>IF(OR(Q52="",Q52=0),"",AR52/Q52)</f>
        <v/>
      </c>
      <c r="AT52" s="62" t="n">
        <v>30</v>
      </c>
      <c r="AU52" s="62" t="n">
        <v>385</v>
      </c>
      <c r="AV52" s="62" t="inlineStr">
        <is>
          <t>常规</t>
        </is>
      </c>
      <c r="AW52" s="62" t="inlineStr">
        <is>
          <t>累计至少385，不机械扩展到2401</t>
        </is>
      </c>
    </row>
    <row r="53" ht="94.15000000000001" customHeight="1" s="58">
      <c r="A53" s="21" t="inlineStr">
        <is>
          <t>T04-F0-W4</t>
        </is>
      </c>
      <c r="B53" s="21" t="inlineStr">
        <is>
          <t>T04</t>
        </is>
      </c>
      <c r="C53" s="21" t="inlineStr">
        <is>
          <t>L1d-TLB</t>
        </is>
      </c>
      <c r="D53" s="22" t="inlineStr">
        <is>
          <t>L1 d-TLB 的整条 VA→PA 映射关系，重点是命中项的 PPN。模型保持 VPN、ASID、页大小和权限编码合法，只把目标物理页换成另一已映射数据页，以排除普通 page fault 的干扰。</t>
        </is>
      </c>
      <c r="E53" s="22" t="inlineStr">
        <is>
          <t>换值</t>
        </is>
      </c>
      <c r="F53"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3" s="22" t="inlineStr">
        <is>
          <t>F0</t>
        </is>
      </c>
      <c r="H53" s="22" t="inlineStr">
        <is>
          <t>每次运行只注入 1 次；在 warm-up 后的 eligible event 中均匀抽样</t>
        </is>
      </c>
      <c r="I53" s="22" t="inlineStr">
        <is>
          <t>TLB-AliasPerm 地址翻译探针（4KiB/2MiB 页、ASID、同VA不同PA、权限、TLBI、跨页访问）</t>
        </is>
      </c>
      <c r="J53" s="22" t="inlineStr">
        <is>
          <t>TLB-AliasPerm 地址翻译探针（4KiB/2MiB 页、ASID、同VA不同PA、权限、TLBI、跨页访问）
执行定义与 oracle：4KiB/2MiB 页、ASID 切换、同 VA 不同 PA、只读/不可执行页、TLBI 后重填、跨页 load/store</t>
        </is>
      </c>
      <c r="K53" s="22" t="inlineStr">
        <is>
          <t>同时存在两个已映射数据页</t>
        </is>
      </c>
      <c r="L53" s="22" t="inlineStr">
        <is>
          <t>L0 表项是否被命中；L1 VPN/ASID/PPN/权限/valid与多命中；L2 walk/refill/TLBI、送cache的PA；L3 cache行与异常；L4 commit首分歧/错误页访问；L5结局；记录源/目标页oracle、错误访问方向、TLBI恢复</t>
        </is>
      </c>
      <c r="M53" s="22" t="inlineStr">
        <is>
          <t>预期比随机PPN翻转更高SDC，且不触发页故障</t>
        </is>
      </c>
      <c r="N53" s="22" t="inlineStr">
        <is>
          <t>构造合法映射以测静默上限</t>
        </is>
      </c>
      <c r="O53" s="22" t="inlineStr">
        <is>
          <t>本方案结构化模型</t>
        </is>
      </c>
      <c r="P53" s="23" t="n"/>
      <c r="Q53" s="23" t="n"/>
      <c r="R53" s="23" t="n"/>
      <c r="S53" s="23" t="n"/>
      <c r="T53" s="23" t="n"/>
      <c r="U53" s="23" t="n"/>
      <c r="V53" s="23" t="n"/>
      <c r="W53" s="23" t="n"/>
      <c r="X53" s="35">
        <f>IF(OR(R53="",R53-AP53&lt;=0),"",AB53/(R53-AP53))</f>
        <v/>
      </c>
      <c r="Y53" s="35">
        <f>IF(OR(AR53="",AR53=0),"",R53/AR53)</f>
        <v/>
      </c>
      <c r="Z53" s="24" t="inlineStr">
        <is>
          <t>待执行</t>
        </is>
      </c>
      <c r="AA53" s="23" t="n"/>
      <c r="AB53" s="38" t="n"/>
      <c r="AC53" s="38" t="n"/>
      <c r="AD53" s="38" t="n"/>
      <c r="AE53" s="38" t="n"/>
      <c r="AF53" s="38" t="n"/>
      <c r="AG53" s="38" t="n"/>
      <c r="AH53" s="38" t="n"/>
      <c r="AI53" s="38" t="n"/>
      <c r="AJ53" s="38" t="n"/>
      <c r="AK53" s="39" t="n"/>
      <c r="AL53" s="40">
        <f>IF(OR(R53="",R53-AP53&lt;=0),"",AO53/(R53-AP53))</f>
        <v/>
      </c>
      <c r="AM53" s="41">
        <f>IF(R53="","",SUM(AC53:AF53)-(R53-AP53))</f>
        <v/>
      </c>
      <c r="AN53" s="41">
        <f>IF(R53="","",SUM(S53:W53)+AP53-R53)</f>
        <v/>
      </c>
      <c r="AO53" s="44" t="n"/>
      <c r="AP53" s="45" t="n"/>
      <c r="AQ53" s="47" t="inlineStr">
        <is>
          <t>T04-a PPN替换为另一合法物理页号</t>
        </is>
      </c>
      <c r="AR53" s="23" t="n"/>
      <c r="AS53" s="35">
        <f>IF(OR(Q53="",Q53=0),"",AR53/Q53)</f>
        <v/>
      </c>
      <c r="AT53" s="62" t="n">
        <v>30</v>
      </c>
      <c r="AU53" s="62" t="n">
        <v>2401</v>
      </c>
      <c r="AV53" s="62" t="inlineStr">
        <is>
          <t>重点（预登记21项）</t>
        </is>
      </c>
      <c r="AW53" s="62" t="inlineStr">
        <is>
          <t>累计到2401（含前385）</t>
        </is>
      </c>
    </row>
    <row r="54" ht="94.15000000000001" customHeight="1" s="58">
      <c r="A54" s="21" t="inlineStr">
        <is>
          <t>T04-F2-W4</t>
        </is>
      </c>
      <c r="B54" s="21" t="inlineStr">
        <is>
          <t>T04</t>
        </is>
      </c>
      <c r="C54" s="21" t="inlineStr">
        <is>
          <t>L1d-TLB</t>
        </is>
      </c>
      <c r="D54" s="22" t="inlineStr">
        <is>
          <t>L1 d-TLB 的整条 VA→PA 映射关系，重点是命中项的 PPN。模型保持 VPN、ASID、页大小和权限编码合法，只把目标物理页换成另一已映射数据页，以排除普通 page fault 的干扰。</t>
        </is>
      </c>
      <c r="E54" s="22" t="inlineStr">
        <is>
          <t>换值</t>
        </is>
      </c>
      <c r="F54"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4" s="22" t="inlineStr">
        <is>
          <t>F2</t>
        </is>
      </c>
      <c r="H54" s="22" t="inlineStr">
        <is>
          <t>平均每 100,000 个 eligible events 注入 1 次，间隔加入 ±50% 抖动</t>
        </is>
      </c>
      <c r="I54" s="22" t="inlineStr">
        <is>
          <t>TLB-AliasPerm 地址翻译探针（4KiB/2MiB 页、ASID、同VA不同PA、权限、TLBI、跨页访问）</t>
        </is>
      </c>
      <c r="J54" s="22" t="inlineStr">
        <is>
          <t>TLB-AliasPerm 地址翻译探针（4KiB/2MiB 页、ASID、同VA不同PA、权限、TLBI、跨页访问）
执行定义与 oracle：4KiB/2MiB 页、ASID 切换、同 VA 不同 PA、只读/不可执行页、TLBI 后重填、跨页 load/store</t>
        </is>
      </c>
      <c r="K54" s="22" t="inlineStr">
        <is>
          <t>同时存在两个已映射数据页</t>
        </is>
      </c>
      <c r="L54" s="22" t="inlineStr">
        <is>
          <t>L0 表项是否被命中；L1 VPN/ASID/PPN/权限/valid与多命中；L2 walk/refill/TLBI、送cache的PA；L3 cache行与异常；L4 commit首分歧/错误页访问；L5结局；记录源/目标页oracle、错误访问方向、TLBI恢复</t>
        </is>
      </c>
      <c r="M54" s="22" t="inlineStr">
        <is>
          <t>预期比随机PPN翻转更高SDC，且不触发页故障</t>
        </is>
      </c>
      <c r="N54" s="22" t="inlineStr">
        <is>
          <t>构造合法映射以测静默上限</t>
        </is>
      </c>
      <c r="O54" s="22" t="inlineStr">
        <is>
          <t>本方案结构化模型</t>
        </is>
      </c>
      <c r="P54" s="23" t="n"/>
      <c r="Q54" s="23" t="n"/>
      <c r="R54" s="23" t="n"/>
      <c r="S54" s="23" t="n"/>
      <c r="T54" s="23" t="n"/>
      <c r="U54" s="23" t="n"/>
      <c r="V54" s="23" t="n"/>
      <c r="W54" s="23" t="n"/>
      <c r="X54" s="35">
        <f>IF(OR(R54="",R54-AP54&lt;=0),"",AB54/(R54-AP54))</f>
        <v/>
      </c>
      <c r="Y54" s="35">
        <f>IF(OR(AR54="",AR54=0),"",R54/AR54)</f>
        <v/>
      </c>
      <c r="Z54" s="24" t="inlineStr">
        <is>
          <t>待执行</t>
        </is>
      </c>
      <c r="AA54" s="23" t="n"/>
      <c r="AB54" s="38" t="n"/>
      <c r="AC54" s="38" t="n"/>
      <c r="AD54" s="38" t="n"/>
      <c r="AE54" s="38" t="n"/>
      <c r="AF54" s="38" t="n"/>
      <c r="AG54" s="38" t="n"/>
      <c r="AH54" s="38" t="n"/>
      <c r="AI54" s="38" t="n"/>
      <c r="AJ54" s="38" t="n"/>
      <c r="AK54" s="39" t="n"/>
      <c r="AL54" s="40">
        <f>IF(OR(R54="",R54-AP54&lt;=0),"",AO54/(R54-AP54))</f>
        <v/>
      </c>
      <c r="AM54" s="41">
        <f>IF(R54="","",SUM(AC54:AF54)-(R54-AP54))</f>
        <v/>
      </c>
      <c r="AN54" s="41">
        <f>IF(R54="","",SUM(S54:W54)+AP54-R54)</f>
        <v/>
      </c>
      <c r="AO54" s="44" t="n"/>
      <c r="AP54" s="45" t="n"/>
      <c r="AQ54" s="47" t="inlineStr">
        <is>
          <t>T04-a PPN替换为另一合法物理页号</t>
        </is>
      </c>
      <c r="AR54" s="23" t="n"/>
      <c r="AS54" s="35">
        <f>IF(OR(Q54="",Q54=0),"",AR54/Q54)</f>
        <v/>
      </c>
      <c r="AT54" s="62" t="n">
        <v>30</v>
      </c>
      <c r="AU54" s="62" t="n">
        <v>385</v>
      </c>
      <c r="AV54" s="62" t="inlineStr">
        <is>
          <t>常规</t>
        </is>
      </c>
      <c r="AW54" s="62" t="inlineStr">
        <is>
          <t>累计至少385，不机械扩展到2401</t>
        </is>
      </c>
    </row>
    <row r="55" ht="94.15000000000001" customHeight="1" s="58">
      <c r="A55" s="21" t="inlineStr">
        <is>
          <t>T04-F6-W4</t>
        </is>
      </c>
      <c r="B55" s="21" t="inlineStr">
        <is>
          <t>T04</t>
        </is>
      </c>
      <c r="C55" s="21" t="inlineStr">
        <is>
          <t>L1d-TLB</t>
        </is>
      </c>
      <c r="D55" s="22" t="inlineStr">
        <is>
          <t>L1 d-TLB 的整条 VA→PA 映射关系，重点是命中项的 PPN。模型保持 VPN、ASID、页大小和权限编码合法，只把目标物理页换成另一已映射数据页，以排除普通 page fault 的干扰。</t>
        </is>
      </c>
      <c r="E55" s="22" t="inlineStr">
        <is>
          <t>换值</t>
        </is>
      </c>
      <c r="F55"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5" s="22" t="inlineStr">
        <is>
          <t>F6</t>
        </is>
      </c>
      <c r="H55" s="22" t="inlineStr">
        <is>
          <t>首次出现指定事件时注入一次，如 TLB hit、SQ forward、dirty eviction、CAS 成功</t>
        </is>
      </c>
      <c r="I55" s="22" t="inlineStr">
        <is>
          <t>TLB-AliasPerm 地址翻译探针（4KiB/2MiB 页、ASID、同VA不同PA、权限、TLBI、跨页访问）</t>
        </is>
      </c>
      <c r="J55" s="22" t="inlineStr">
        <is>
          <t>TLB-AliasPerm 地址翻译探针（4KiB/2MiB 页、ASID、同VA不同PA、权限、TLBI、跨页访问）
执行定义与 oracle：4KiB/2MiB 页、ASID 切换、同 VA 不同 PA、只读/不可执行页、TLBI 后重填、跨页 load/store</t>
        </is>
      </c>
      <c r="K55" s="22" t="inlineStr">
        <is>
          <t>同时存在两个已映射数据页</t>
        </is>
      </c>
      <c r="L55" s="22" t="inlineStr">
        <is>
          <t>L0 表项是否被命中；L1 VPN/ASID/PPN/权限/valid与多命中；L2 walk/refill/TLBI、送cache的PA；L3 cache行与异常；L4 commit首分歧/错误页访问；L5结局；记录源/目标页oracle、错误访问方向、TLBI恢复</t>
        </is>
      </c>
      <c r="M55" s="22" t="inlineStr">
        <is>
          <t>预期比随机PPN翻转更高SDC，且不触发页故障</t>
        </is>
      </c>
      <c r="N55" s="22" t="inlineStr">
        <is>
          <t>构造合法映射以测静默上限</t>
        </is>
      </c>
      <c r="O55" s="22" t="inlineStr">
        <is>
          <t>本方案结构化模型</t>
        </is>
      </c>
      <c r="P55" s="23" t="n"/>
      <c r="Q55" s="23" t="n"/>
      <c r="R55" s="23" t="n"/>
      <c r="S55" s="23" t="n"/>
      <c r="T55" s="23" t="n"/>
      <c r="U55" s="23" t="n"/>
      <c r="V55" s="23" t="n"/>
      <c r="W55" s="23" t="n"/>
      <c r="X55" s="35">
        <f>IF(OR(R55="",R55-AP55&lt;=0),"",AB55/(R55-AP55))</f>
        <v/>
      </c>
      <c r="Y55" s="35">
        <f>IF(OR(AR55="",AR55=0),"",R55/AR55)</f>
        <v/>
      </c>
      <c r="Z55" s="24" t="inlineStr">
        <is>
          <t>待执行</t>
        </is>
      </c>
      <c r="AA55" s="23" t="n"/>
      <c r="AB55" s="38" t="n"/>
      <c r="AC55" s="38" t="n"/>
      <c r="AD55" s="38" t="n"/>
      <c r="AE55" s="38" t="n"/>
      <c r="AF55" s="38" t="n"/>
      <c r="AG55" s="38" t="n"/>
      <c r="AH55" s="38" t="n"/>
      <c r="AI55" s="38" t="n"/>
      <c r="AJ55" s="38" t="n"/>
      <c r="AK55" s="39" t="n"/>
      <c r="AL55" s="40">
        <f>IF(OR(R55="",R55-AP55&lt;=0),"",AO55/(R55-AP55))</f>
        <v/>
      </c>
      <c r="AM55" s="41">
        <f>IF(R55="","",SUM(AC55:AF55)-(R55-AP55))</f>
        <v/>
      </c>
      <c r="AN55" s="41">
        <f>IF(R55="","",SUM(S55:W55)+AP55-R55)</f>
        <v/>
      </c>
      <c r="AO55" s="44" t="n"/>
      <c r="AP55" s="45" t="n"/>
      <c r="AQ55" s="47" t="inlineStr">
        <is>
          <t>T04-a PPN替换为另一合法物理页号</t>
        </is>
      </c>
      <c r="AR55" s="23" t="n"/>
      <c r="AS55" s="35">
        <f>IF(OR(Q55="",Q55=0),"",AR55/Q55)</f>
        <v/>
      </c>
      <c r="AT55" s="62" t="n">
        <v>30</v>
      </c>
      <c r="AU55" s="62" t="n">
        <v>385</v>
      </c>
      <c r="AV55" s="62" t="inlineStr">
        <is>
          <t>常规</t>
        </is>
      </c>
      <c r="AW55" s="62" t="inlineStr">
        <is>
          <t>累计至少385，不机械扩展到2401</t>
        </is>
      </c>
    </row>
    <row r="56" ht="94.15000000000001" customHeight="1" s="58">
      <c r="A56" s="21" t="inlineStr">
        <is>
          <t>T05-F0-W4</t>
        </is>
      </c>
      <c r="B56" s="21" t="inlineStr">
        <is>
          <t>T05</t>
        </is>
      </c>
      <c r="C56" s="21" t="inlineStr">
        <is>
          <t>L1d-TLB</t>
        </is>
      </c>
      <c r="D56" s="22" t="inlineStr">
        <is>
          <t>L1 d-TLB 表项的身份与生命周期状态：valid 决定表项是否可命中，global 决定是否忽略 ASID，ASID 区分地址空间。它们错误时可能产生额外 page walk、陈旧翻译或跨地址空间命中。</t>
        </is>
      </c>
      <c r="E56" s="22" t="inlineStr">
        <is>
          <t>状态</t>
        </is>
      </c>
      <c r="F56"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6" s="22" t="inlineStr">
        <is>
          <t>F0</t>
        </is>
      </c>
      <c r="H56" s="22" t="inlineStr">
        <is>
          <t>每次运行只注入 1 次；在 warm-up 后的 eligible event 中均匀抽样</t>
        </is>
      </c>
      <c r="I56" s="22" t="inlineStr">
        <is>
          <t>TLB-AliasPerm 地址翻译探针（4KiB/2MiB 页、ASID、同VA不同PA、权限、TLBI、跨页访问）</t>
        </is>
      </c>
      <c r="J56" s="22" t="inlineStr">
        <is>
          <t>TLB-AliasPerm 地址翻译探针（4KiB/2MiB 页、ASID、同VA不同PA、权限、TLBI、跨页访问）
执行定义与 oracle：4KiB/2MiB 页、ASID 切换、同 VA 不同 PA、只读/不可执行页、TLBI 后重填、跨页 load/store</t>
        </is>
      </c>
      <c r="K56" s="22" t="inlineStr">
        <is>
          <t>ASID切换或TLBI前后</t>
        </is>
      </c>
      <c r="L56" s="22" t="inlineStr">
        <is>
          <t>L0 表项是否被命中；L1 VPN/ASID/PPN/权限/valid与多命中；L2 walk/refill/TLBI、送cache的PA；L3 cache行与异常；L4 commit首分歧/错误页访问；L5结局；stale translation使用次数、TLBI后残留、跨ASID命中</t>
        </is>
      </c>
      <c r="M56" s="22" t="inlineStr">
        <is>
          <t>valid清零多为额外walk；伪造valid或错ASID可能跨地址空间SDC/安全违规</t>
        </is>
      </c>
      <c r="N56" s="22" t="inlineStr">
        <is>
          <t>覆盖表项身份与生命周期，而不只数据位</t>
        </is>
      </c>
      <c r="O56" s="22" t="inlineStr">
        <is>
          <t>TC'23未细分字段</t>
        </is>
      </c>
      <c r="P56" s="23" t="n"/>
      <c r="Q56" s="23" t="n"/>
      <c r="R56" s="23" t="n"/>
      <c r="S56" s="23" t="n"/>
      <c r="T56" s="23" t="n"/>
      <c r="U56" s="23" t="n"/>
      <c r="V56" s="23" t="n"/>
      <c r="W56" s="23" t="n"/>
      <c r="X56" s="35">
        <f>IF(OR(R56="",R56-AP56&lt;=0),"",AB56/(R56-AP56))</f>
        <v/>
      </c>
      <c r="Y56" s="35">
        <f>IF(OR(AR56="",AR56=0),"",R56/AR56)</f>
        <v/>
      </c>
      <c r="Z56" s="24" t="inlineStr">
        <is>
          <t>待执行</t>
        </is>
      </c>
      <c r="AA56" s="23" t="n"/>
      <c r="AB56" s="38" t="n"/>
      <c r="AC56" s="38" t="n"/>
      <c r="AD56" s="38" t="n"/>
      <c r="AE56" s="38" t="n"/>
      <c r="AF56" s="38" t="n"/>
      <c r="AG56" s="38" t="n"/>
      <c r="AH56" s="38" t="n"/>
      <c r="AI56" s="38" t="n"/>
      <c r="AJ56" s="38" t="n"/>
      <c r="AK56" s="39" t="n"/>
      <c r="AL56" s="40">
        <f>IF(OR(R56="",R56-AP56&lt;=0),"",AO56/(R56-AP56))</f>
        <v/>
      </c>
      <c r="AM56" s="41">
        <f>IF(R56="","",SUM(AC56:AF56)-(R56-AP56))</f>
        <v/>
      </c>
      <c r="AN56" s="41">
        <f>IF(R56="","",SUM(S56:W56)+AP56-R56)</f>
        <v/>
      </c>
      <c r="AO56" s="44" t="n"/>
      <c r="AP56" s="45" t="n"/>
      <c r="AQ56" s="47" t="inlineStr">
        <is>
          <t>T05-a valid清零；T05-b valid伪置位；T05-c global位翻转；T05-d ASID替换</t>
        </is>
      </c>
      <c r="AR56" s="23" t="n"/>
      <c r="AS56" s="35">
        <f>IF(OR(Q56="",Q56=0),"",AR56/Q56)</f>
        <v/>
      </c>
      <c r="AT56" s="62" t="n">
        <v>30</v>
      </c>
      <c r="AU56" s="62" t="n">
        <v>385</v>
      </c>
      <c r="AV56" s="62" t="inlineStr">
        <is>
          <t>常规</t>
        </is>
      </c>
      <c r="AW56" s="62" t="inlineStr">
        <is>
          <t>累计至少385，不机械扩展到2401</t>
        </is>
      </c>
    </row>
    <row r="57" ht="94.15000000000001" customHeight="1" s="58">
      <c r="A57" s="21" t="inlineStr">
        <is>
          <t>T05-F2-W4</t>
        </is>
      </c>
      <c r="B57" s="21" t="inlineStr">
        <is>
          <t>T05</t>
        </is>
      </c>
      <c r="C57" s="21" t="inlineStr">
        <is>
          <t>L1d-TLB</t>
        </is>
      </c>
      <c r="D57" s="22" t="inlineStr">
        <is>
          <t>L1 d-TLB 表项的身份与生命周期状态：valid 决定表项是否可命中，global 决定是否忽略 ASID，ASID 区分地址空间。它们错误时可能产生额外 page walk、陈旧翻译或跨地址空间命中。</t>
        </is>
      </c>
      <c r="E57" s="22" t="inlineStr">
        <is>
          <t>状态</t>
        </is>
      </c>
      <c r="F57"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7" s="22" t="inlineStr">
        <is>
          <t>F2</t>
        </is>
      </c>
      <c r="H57" s="22" t="inlineStr">
        <is>
          <t>平均每 100,000 个 eligible events 注入 1 次，间隔加入 ±50% 抖动</t>
        </is>
      </c>
      <c r="I57" s="22" t="inlineStr">
        <is>
          <t>TLB-AliasPerm 地址翻译探针（4KiB/2MiB 页、ASID、同VA不同PA、权限、TLBI、跨页访问）</t>
        </is>
      </c>
      <c r="J57" s="22" t="inlineStr">
        <is>
          <t>TLB-AliasPerm 地址翻译探针（4KiB/2MiB 页、ASID、同VA不同PA、权限、TLBI、跨页访问）
执行定义与 oracle：4KiB/2MiB 页、ASID 切换、同 VA 不同 PA、只读/不可执行页、TLBI 后重填、跨页 load/store</t>
        </is>
      </c>
      <c r="K57" s="22" t="inlineStr">
        <is>
          <t>ASID切换或TLBI前后</t>
        </is>
      </c>
      <c r="L57" s="22" t="inlineStr">
        <is>
          <t>L0 表项是否被命中；L1 VPN/ASID/PPN/权限/valid与多命中；L2 walk/refill/TLBI、送cache的PA；L3 cache行与异常；L4 commit首分歧/错误页访问；L5结局；stale translation使用次数、TLBI后残留、跨ASID命中</t>
        </is>
      </c>
      <c r="M57" s="22" t="inlineStr">
        <is>
          <t>valid清零多为额外walk；伪造valid或错ASID可能跨地址空间SDC/安全违规</t>
        </is>
      </c>
      <c r="N57" s="22" t="inlineStr">
        <is>
          <t>覆盖表项身份与生命周期，而不只数据位</t>
        </is>
      </c>
      <c r="O57" s="22" t="inlineStr">
        <is>
          <t>TC'23未细分字段</t>
        </is>
      </c>
      <c r="P57" s="23" t="n"/>
      <c r="Q57" s="23" t="n"/>
      <c r="R57" s="23" t="n"/>
      <c r="S57" s="23" t="n"/>
      <c r="T57" s="23" t="n"/>
      <c r="U57" s="23" t="n"/>
      <c r="V57" s="23" t="n"/>
      <c r="W57" s="23" t="n"/>
      <c r="X57" s="35">
        <f>IF(OR(R57="",R57-AP57&lt;=0),"",AB57/(R57-AP57))</f>
        <v/>
      </c>
      <c r="Y57" s="35">
        <f>IF(OR(AR57="",AR57=0),"",R57/AR57)</f>
        <v/>
      </c>
      <c r="Z57" s="24" t="inlineStr">
        <is>
          <t>待执行</t>
        </is>
      </c>
      <c r="AA57" s="23" t="n"/>
      <c r="AB57" s="38" t="n"/>
      <c r="AC57" s="38" t="n"/>
      <c r="AD57" s="38" t="n"/>
      <c r="AE57" s="38" t="n"/>
      <c r="AF57" s="38" t="n"/>
      <c r="AG57" s="38" t="n"/>
      <c r="AH57" s="38" t="n"/>
      <c r="AI57" s="38" t="n"/>
      <c r="AJ57" s="38" t="n"/>
      <c r="AK57" s="39" t="n"/>
      <c r="AL57" s="40">
        <f>IF(OR(R57="",R57-AP57&lt;=0),"",AO57/(R57-AP57))</f>
        <v/>
      </c>
      <c r="AM57" s="41">
        <f>IF(R57="","",SUM(AC57:AF57)-(R57-AP57))</f>
        <v/>
      </c>
      <c r="AN57" s="41">
        <f>IF(R57="","",SUM(S57:W57)+AP57-R57)</f>
        <v/>
      </c>
      <c r="AO57" s="44" t="n"/>
      <c r="AP57" s="45" t="n"/>
      <c r="AQ57" s="47" t="inlineStr">
        <is>
          <t>T05-a valid清零；T05-b valid伪置位；T05-c global位翻转；T05-d ASID替换</t>
        </is>
      </c>
      <c r="AR57" s="23" t="n"/>
      <c r="AS57" s="35">
        <f>IF(OR(Q57="",Q57=0),"",AR57/Q57)</f>
        <v/>
      </c>
      <c r="AT57" s="62" t="n">
        <v>30</v>
      </c>
      <c r="AU57" s="62" t="n">
        <v>385</v>
      </c>
      <c r="AV57" s="62" t="inlineStr">
        <is>
          <t>常规</t>
        </is>
      </c>
      <c r="AW57" s="62" t="inlineStr">
        <is>
          <t>累计至少385，不机械扩展到2401</t>
        </is>
      </c>
    </row>
    <row r="58" ht="94.15000000000001" customHeight="1" s="58">
      <c r="A58" s="21" t="inlineStr">
        <is>
          <t>T05-F6-W4</t>
        </is>
      </c>
      <c r="B58" s="21" t="inlineStr">
        <is>
          <t>T05</t>
        </is>
      </c>
      <c r="C58" s="21" t="inlineStr">
        <is>
          <t>L1d-TLB</t>
        </is>
      </c>
      <c r="D58" s="22" t="inlineStr">
        <is>
          <t>L1 d-TLB 表项的身份与生命周期状态：valid 决定表项是否可命中，global 决定是否忽略 ASID，ASID 区分地址空间。它们错误时可能产生额外 page walk、陈旧翻译或跨地址空间命中。</t>
        </is>
      </c>
      <c r="E58" s="22" t="inlineStr">
        <is>
          <t>状态</t>
        </is>
      </c>
      <c r="F58"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8" s="22" t="inlineStr">
        <is>
          <t>F6</t>
        </is>
      </c>
      <c r="H58" s="22" t="inlineStr">
        <is>
          <t>首次出现指定事件时注入一次，如 TLB hit、SQ forward、dirty eviction、CAS 成功</t>
        </is>
      </c>
      <c r="I58" s="22" t="inlineStr">
        <is>
          <t>TLB-AliasPerm 地址翻译探针（4KiB/2MiB 页、ASID、同VA不同PA、权限、TLBI、跨页访问）</t>
        </is>
      </c>
      <c r="J58" s="22" t="inlineStr">
        <is>
          <t>TLB-AliasPerm 地址翻译探针（4KiB/2MiB 页、ASID、同VA不同PA、权限、TLBI、跨页访问）
执行定义与 oracle：4KiB/2MiB 页、ASID 切换、同 VA 不同 PA、只读/不可执行页、TLBI 后重填、跨页 load/store</t>
        </is>
      </c>
      <c r="K58" s="22" t="inlineStr">
        <is>
          <t>ASID切换或TLBI前后</t>
        </is>
      </c>
      <c r="L58" s="22" t="inlineStr">
        <is>
          <t>L0 表项是否被命中；L1 VPN/ASID/PPN/权限/valid与多命中；L2 walk/refill/TLBI、送cache的PA；L3 cache行与异常；L4 commit首分歧/错误页访问；L5结局；stale translation使用次数、TLBI后残留、跨ASID命中</t>
        </is>
      </c>
      <c r="M58" s="22" t="inlineStr">
        <is>
          <t>valid清零多为额外walk；伪造valid或错ASID可能跨地址空间SDC/安全违规</t>
        </is>
      </c>
      <c r="N58" s="22" t="inlineStr">
        <is>
          <t>覆盖表项身份与生命周期，而不只数据位</t>
        </is>
      </c>
      <c r="O58" s="22" t="inlineStr">
        <is>
          <t>TC'23未细分字段</t>
        </is>
      </c>
      <c r="P58" s="23" t="n"/>
      <c r="Q58" s="23" t="n"/>
      <c r="R58" s="23" t="n"/>
      <c r="S58" s="23" t="n"/>
      <c r="T58" s="23" t="n"/>
      <c r="U58" s="23" t="n"/>
      <c r="V58" s="23" t="n"/>
      <c r="W58" s="23" t="n"/>
      <c r="X58" s="35">
        <f>IF(OR(R58="",R58-AP58&lt;=0),"",AB58/(R58-AP58))</f>
        <v/>
      </c>
      <c r="Y58" s="35">
        <f>IF(OR(AR58="",AR58=0),"",R58/AR58)</f>
        <v/>
      </c>
      <c r="Z58" s="24" t="inlineStr">
        <is>
          <t>待执行</t>
        </is>
      </c>
      <c r="AA58" s="23" t="n"/>
      <c r="AB58" s="38" t="n"/>
      <c r="AC58" s="38" t="n"/>
      <c r="AD58" s="38" t="n"/>
      <c r="AE58" s="38" t="n"/>
      <c r="AF58" s="38" t="n"/>
      <c r="AG58" s="38" t="n"/>
      <c r="AH58" s="38" t="n"/>
      <c r="AI58" s="38" t="n"/>
      <c r="AJ58" s="38" t="n"/>
      <c r="AK58" s="39" t="n"/>
      <c r="AL58" s="40">
        <f>IF(OR(R58="",R58-AP58&lt;=0),"",AO58/(R58-AP58))</f>
        <v/>
      </c>
      <c r="AM58" s="41">
        <f>IF(R58="","",SUM(AC58:AF58)-(R58-AP58))</f>
        <v/>
      </c>
      <c r="AN58" s="41">
        <f>IF(R58="","",SUM(S58:W58)+AP58-R58)</f>
        <v/>
      </c>
      <c r="AO58" s="44" t="n"/>
      <c r="AP58" s="45" t="n"/>
      <c r="AQ58" s="47" t="inlineStr">
        <is>
          <t>T05-a valid清零；T05-b valid伪置位；T05-c global位翻转；T05-d ASID替换</t>
        </is>
      </c>
      <c r="AR58" s="23" t="n"/>
      <c r="AS58" s="35">
        <f>IF(OR(Q58="",Q58=0),"",AR58/Q58)</f>
        <v/>
      </c>
      <c r="AT58" s="62" t="n">
        <v>30</v>
      </c>
      <c r="AU58" s="62" t="n">
        <v>385</v>
      </c>
      <c r="AV58" s="62" t="inlineStr">
        <is>
          <t>常规</t>
        </is>
      </c>
      <c r="AW58" s="62" t="inlineStr">
        <is>
          <t>累计至少385，不机械扩展到2401</t>
        </is>
      </c>
    </row>
    <row r="59" ht="94.15000000000001" customHeight="1" s="58">
      <c r="A59" s="21" t="inlineStr">
        <is>
          <t>T06-F0-W4</t>
        </is>
      </c>
      <c r="B59" s="21" t="inlineStr">
        <is>
          <t>T06</t>
        </is>
      </c>
      <c r="C59" s="21" t="inlineStr">
        <is>
          <t>L1d-TLB</t>
        </is>
      </c>
      <c r="D59" s="22" t="inlineStr">
        <is>
          <t>L1 d-TLB 表项的访问属性控制字段：AP 是读写权限，XN 是禁止执行属性，AttrIndx 选择内存类型，页大小决定 VPN/PPN 与页内偏移如何拼接。它们不改变 PPN 本身，但改变访问是否合法以及地址如何解释。</t>
        </is>
      </c>
      <c r="E59" s="22" t="inlineStr">
        <is>
          <t>换值</t>
        </is>
      </c>
      <c r="F59"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59" s="22" t="inlineStr">
        <is>
          <t>F0</t>
        </is>
      </c>
      <c r="H59" s="22" t="inlineStr">
        <is>
          <t>每次运行只注入 1 次；在 warm-up 后的 eligible event 中均匀抽样</t>
        </is>
      </c>
      <c r="I59" s="22" t="inlineStr">
        <is>
          <t>TLB-AliasPerm 地址翻译探针（4KiB/2MiB 页、ASID、同VA不同PA、权限、TLBI、跨页访问）</t>
        </is>
      </c>
      <c r="J59" s="22" t="inlineStr">
        <is>
          <t>TLB-AliasPerm 地址翻译探针（4KiB/2MiB 页、ASID、同VA不同PA、权限、TLBI、跨页访问）
执行定义与 oracle：4KiB/2MiB 页、ASID 切换、同 VA 不同 PA、只读/不可执行页、TLBI 后重填、跨页 load/store</t>
        </is>
      </c>
      <c r="K59" s="22" t="inlineStr">
        <is>
          <t>访问权限边界或不同memory attribute页</t>
        </is>
      </c>
      <c r="L59" s="22" t="inlineStr">
        <is>
          <t>L0 表项是否被命中；L1 VPN/ASID/PPN/权限/valid与多命中；L2 walk/refill/TLBI、送cache的PA；L3 cache行与异常；L4 commit首分歧/错误页访问；L5结局；权限检查、异常、memory type、地址拼接位</t>
        </is>
      </c>
      <c r="M59" s="22" t="inlineStr">
        <is>
          <t>权限放宽可能静默越权；收紧多Crash；页大小错可产生系统性别名</t>
        </is>
      </c>
      <c r="N59" s="22" t="inlineStr">
        <is>
          <t>结构化控制字段的风险不同于PPN随机翻转</t>
        </is>
      </c>
      <c r="O59" s="22" t="inlineStr">
        <is>
          <t>本方案结构化模型</t>
        </is>
      </c>
      <c r="P59" s="23" t="n"/>
      <c r="Q59" s="23" t="n"/>
      <c r="R59" s="23" t="n"/>
      <c r="S59" s="23" t="n"/>
      <c r="T59" s="23" t="n"/>
      <c r="U59" s="23" t="n"/>
      <c r="V59" s="23" t="n"/>
      <c r="W59" s="23" t="n"/>
      <c r="X59" s="35">
        <f>IF(OR(R59="",R59-AP59&lt;=0),"",AB59/(R59-AP59))</f>
        <v/>
      </c>
      <c r="Y59" s="35">
        <f>IF(OR(AR59="",AR59=0),"",R59/AR59)</f>
        <v/>
      </c>
      <c r="Z59" s="24" t="inlineStr">
        <is>
          <t>待执行</t>
        </is>
      </c>
      <c r="AA59" s="23" t="n"/>
      <c r="AB59" s="38" t="n"/>
      <c r="AC59" s="38" t="n"/>
      <c r="AD59" s="38" t="n"/>
      <c r="AE59" s="38" t="n"/>
      <c r="AF59" s="38" t="n"/>
      <c r="AG59" s="38" t="n"/>
      <c r="AH59" s="38" t="n"/>
      <c r="AI59" s="38" t="n"/>
      <c r="AJ59" s="38" t="n"/>
      <c r="AK59" s="39" t="n"/>
      <c r="AL59" s="40">
        <f>IF(OR(R59="",R59-AP59&lt;=0),"",AO59/(R59-AP59))</f>
        <v/>
      </c>
      <c r="AM59" s="41">
        <f>IF(R59="","",SUM(AC59:AF59)-(R59-AP59))</f>
        <v/>
      </c>
      <c r="AN59" s="41">
        <f>IF(R59="","",SUM(S59:W59)+AP59-R59)</f>
        <v/>
      </c>
      <c r="AO59" s="44" t="n"/>
      <c r="AP59" s="45" t="n"/>
      <c r="AQ59" s="47" t="inlineStr">
        <is>
          <t>T06-a permission替换；T06-b memory type替换；T06-c page size替换</t>
        </is>
      </c>
      <c r="AR59" s="23" t="n"/>
      <c r="AS59" s="35">
        <f>IF(OR(Q59="",Q59=0),"",AR59/Q59)</f>
        <v/>
      </c>
      <c r="AT59" s="62" t="n">
        <v>30</v>
      </c>
      <c r="AU59" s="62" t="n">
        <v>385</v>
      </c>
      <c r="AV59" s="62" t="inlineStr">
        <is>
          <t>常规</t>
        </is>
      </c>
      <c r="AW59" s="62" t="inlineStr">
        <is>
          <t>累计至少385，不机械扩展到2401</t>
        </is>
      </c>
    </row>
    <row r="60" ht="94.15000000000001" customHeight="1" s="58">
      <c r="A60" s="21" t="inlineStr">
        <is>
          <t>T06-F2-W4</t>
        </is>
      </c>
      <c r="B60" s="21" t="inlineStr">
        <is>
          <t>T06</t>
        </is>
      </c>
      <c r="C60" s="21" t="inlineStr">
        <is>
          <t>L1d-TLB</t>
        </is>
      </c>
      <c r="D60" s="22" t="inlineStr">
        <is>
          <t>L1 d-TLB 表项的访问属性控制字段：AP 是读写权限，XN 是禁止执行属性，AttrIndx 选择内存类型，页大小决定 VPN/PPN 与页内偏移如何拼接。它们不改变 PPN 本身，但改变访问是否合法以及地址如何解释。</t>
        </is>
      </c>
      <c r="E60" s="22" t="inlineStr">
        <is>
          <t>换值</t>
        </is>
      </c>
      <c r="F60"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60" s="22" t="inlineStr">
        <is>
          <t>F2</t>
        </is>
      </c>
      <c r="H60" s="22" t="inlineStr">
        <is>
          <t>平均每 100,000 个 eligible events 注入 1 次，间隔加入 ±50% 抖动</t>
        </is>
      </c>
      <c r="I60" s="22" t="inlineStr">
        <is>
          <t>TLB-AliasPerm 地址翻译探针（4KiB/2MiB 页、ASID、同VA不同PA、权限、TLBI、跨页访问）</t>
        </is>
      </c>
      <c r="J60" s="22" t="inlineStr">
        <is>
          <t>TLB-AliasPerm 地址翻译探针（4KiB/2MiB 页、ASID、同VA不同PA、权限、TLBI、跨页访问）
执行定义与 oracle：4KiB/2MiB 页、ASID 切换、同 VA 不同 PA、只读/不可执行页、TLBI 后重填、跨页 load/store</t>
        </is>
      </c>
      <c r="K60" s="22" t="inlineStr">
        <is>
          <t>访问权限边界或不同memory attribute页</t>
        </is>
      </c>
      <c r="L60" s="22" t="inlineStr">
        <is>
          <t>L0 表项是否被命中；L1 VPN/ASID/PPN/权限/valid与多命中；L2 walk/refill/TLBI、送cache的PA；L3 cache行与异常；L4 commit首分歧/错误页访问；L5结局；权限检查、异常、memory type、地址拼接位</t>
        </is>
      </c>
      <c r="M60" s="22" t="inlineStr">
        <is>
          <t>权限放宽可能静默越权；收紧多Crash；页大小错可产生系统性别名</t>
        </is>
      </c>
      <c r="N60" s="22" t="inlineStr">
        <is>
          <t>结构化控制字段的风险不同于PPN随机翻转</t>
        </is>
      </c>
      <c r="O60" s="22" t="inlineStr">
        <is>
          <t>本方案结构化模型</t>
        </is>
      </c>
      <c r="P60" s="23" t="n"/>
      <c r="Q60" s="23" t="n"/>
      <c r="R60" s="23" t="n"/>
      <c r="S60" s="23" t="n"/>
      <c r="T60" s="23" t="n"/>
      <c r="U60" s="23" t="n"/>
      <c r="V60" s="23" t="n"/>
      <c r="W60" s="23" t="n"/>
      <c r="X60" s="35">
        <f>IF(OR(R60="",R60-AP60&lt;=0),"",AB60/(R60-AP60))</f>
        <v/>
      </c>
      <c r="Y60" s="35">
        <f>IF(OR(AR60="",AR60=0),"",R60/AR60)</f>
        <v/>
      </c>
      <c r="Z60" s="24" t="inlineStr">
        <is>
          <t>待执行</t>
        </is>
      </c>
      <c r="AA60" s="23" t="n"/>
      <c r="AB60" s="38" t="n"/>
      <c r="AC60" s="38" t="n"/>
      <c r="AD60" s="38" t="n"/>
      <c r="AE60" s="38" t="n"/>
      <c r="AF60" s="38" t="n"/>
      <c r="AG60" s="38" t="n"/>
      <c r="AH60" s="38" t="n"/>
      <c r="AI60" s="38" t="n"/>
      <c r="AJ60" s="38" t="n"/>
      <c r="AK60" s="39" t="n"/>
      <c r="AL60" s="40">
        <f>IF(OR(R60="",R60-AP60&lt;=0),"",AO60/(R60-AP60))</f>
        <v/>
      </c>
      <c r="AM60" s="41">
        <f>IF(R60="","",SUM(AC60:AF60)-(R60-AP60))</f>
        <v/>
      </c>
      <c r="AN60" s="41">
        <f>IF(R60="","",SUM(S60:W60)+AP60-R60)</f>
        <v/>
      </c>
      <c r="AO60" s="44" t="n"/>
      <c r="AP60" s="45" t="n"/>
      <c r="AQ60" s="47" t="inlineStr">
        <is>
          <t>T06-a permission替换；T06-b memory type替换；T06-c page size替换</t>
        </is>
      </c>
      <c r="AR60" s="23" t="n"/>
      <c r="AS60" s="35">
        <f>IF(OR(Q60="",Q60=0),"",AR60/Q60)</f>
        <v/>
      </c>
      <c r="AT60" s="62" t="n">
        <v>30</v>
      </c>
      <c r="AU60" s="62" t="n">
        <v>385</v>
      </c>
      <c r="AV60" s="62" t="inlineStr">
        <is>
          <t>常规</t>
        </is>
      </c>
      <c r="AW60" s="62" t="inlineStr">
        <is>
          <t>累计至少385，不机械扩展到2401</t>
        </is>
      </c>
    </row>
    <row r="61" ht="94.15000000000001" customHeight="1" s="58">
      <c r="A61" s="21" t="inlineStr">
        <is>
          <t>T06-F6-W4</t>
        </is>
      </c>
      <c r="B61" s="21" t="inlineStr">
        <is>
          <t>T06</t>
        </is>
      </c>
      <c r="C61" s="21" t="inlineStr">
        <is>
          <t>L1d-TLB</t>
        </is>
      </c>
      <c r="D61" s="22" t="inlineStr">
        <is>
          <t>L1 d-TLB 表项的访问属性控制字段：AP 是读写权限，XN 是禁止执行属性，AttrIndx 选择内存类型，页大小决定 VPN/PPN 与页内偏移如何拼接。它们不改变 PPN 本身，但改变访问是否合法以及地址如何解释。</t>
        </is>
      </c>
      <c r="E61" s="22" t="inlineStr">
        <is>
          <t>换值</t>
        </is>
      </c>
      <c r="F61"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61" s="22" t="inlineStr">
        <is>
          <t>F6</t>
        </is>
      </c>
      <c r="H61" s="22" t="inlineStr">
        <is>
          <t>首次出现指定事件时注入一次，如 TLB hit、SQ forward、dirty eviction、CAS 成功</t>
        </is>
      </c>
      <c r="I61" s="22" t="inlineStr">
        <is>
          <t>TLB-AliasPerm 地址翻译探针（4KiB/2MiB 页、ASID、同VA不同PA、权限、TLBI、跨页访问）</t>
        </is>
      </c>
      <c r="J61" s="22" t="inlineStr">
        <is>
          <t>TLB-AliasPerm 地址翻译探针（4KiB/2MiB 页、ASID、同VA不同PA、权限、TLBI、跨页访问）
执行定义与 oracle：4KiB/2MiB 页、ASID 切换、同 VA 不同 PA、只读/不可执行页、TLBI 后重填、跨页 load/store</t>
        </is>
      </c>
      <c r="K61" s="22" t="inlineStr">
        <is>
          <t>访问权限边界或不同memory attribute页</t>
        </is>
      </c>
      <c r="L61" s="22" t="inlineStr">
        <is>
          <t>L0 表项是否被命中；L1 VPN/ASID/PPN/权限/valid与多命中；L2 walk/refill/TLBI、送cache的PA；L3 cache行与异常；L4 commit首分歧/错误页访问；L5结局；权限检查、异常、memory type、地址拼接位</t>
        </is>
      </c>
      <c r="M61" s="22" t="inlineStr">
        <is>
          <t>权限放宽可能静默越权；收紧多Crash；页大小错可产生系统性别名</t>
        </is>
      </c>
      <c r="N61" s="22" t="inlineStr">
        <is>
          <t>结构化控制字段的风险不同于PPN随机翻转</t>
        </is>
      </c>
      <c r="O61" s="22" t="inlineStr">
        <is>
          <t>本方案结构化模型</t>
        </is>
      </c>
      <c r="P61" s="23" t="n"/>
      <c r="Q61" s="23" t="n"/>
      <c r="R61" s="23" t="n"/>
      <c r="S61" s="23" t="n"/>
      <c r="T61" s="23" t="n"/>
      <c r="U61" s="23" t="n"/>
      <c r="V61" s="23" t="n"/>
      <c r="W61" s="23" t="n"/>
      <c r="X61" s="35">
        <f>IF(OR(R61="",R61-AP61&lt;=0),"",AB61/(R61-AP61))</f>
        <v/>
      </c>
      <c r="Y61" s="35">
        <f>IF(OR(AR61="",AR61=0),"",R61/AR61)</f>
        <v/>
      </c>
      <c r="Z61" s="24" t="inlineStr">
        <is>
          <t>待执行</t>
        </is>
      </c>
      <c r="AA61" s="23" t="n"/>
      <c r="AB61" s="38" t="n"/>
      <c r="AC61" s="38" t="n"/>
      <c r="AD61" s="38" t="n"/>
      <c r="AE61" s="38" t="n"/>
      <c r="AF61" s="38" t="n"/>
      <c r="AG61" s="38" t="n"/>
      <c r="AH61" s="38" t="n"/>
      <c r="AI61" s="38" t="n"/>
      <c r="AJ61" s="38" t="n"/>
      <c r="AK61" s="39" t="n"/>
      <c r="AL61" s="40">
        <f>IF(OR(R61="",R61-AP61&lt;=0),"",AO61/(R61-AP61))</f>
        <v/>
      </c>
      <c r="AM61" s="41">
        <f>IF(R61="","",SUM(AC61:AF61)-(R61-AP61))</f>
        <v/>
      </c>
      <c r="AN61" s="41">
        <f>IF(R61="","",SUM(S61:W61)+AP61-R61)</f>
        <v/>
      </c>
      <c r="AO61" s="44" t="n"/>
      <c r="AP61" s="45" t="n"/>
      <c r="AQ61" s="47" t="inlineStr">
        <is>
          <t>T06-a permission替换；T06-b memory type替换；T06-c page size替换</t>
        </is>
      </c>
      <c r="AR61" s="23" t="n"/>
      <c r="AS61" s="35">
        <f>IF(OR(Q61="",Q61=0),"",AR61/Q61)</f>
        <v/>
      </c>
      <c r="AT61" s="62" t="n">
        <v>30</v>
      </c>
      <c r="AU61" s="62" t="n">
        <v>385</v>
      </c>
      <c r="AV61" s="62" t="inlineStr">
        <is>
          <t>常规</t>
        </is>
      </c>
      <c r="AW61" s="62" t="inlineStr">
        <is>
          <t>累计至少385，不机械扩展到2401</t>
        </is>
      </c>
    </row>
    <row r="62" ht="94.15000000000001" customHeight="1" s="58">
      <c r="A62" s="21" t="inlineStr">
        <is>
          <t>T07-F0-W4</t>
        </is>
      </c>
      <c r="B62" s="21" t="inlineStr">
        <is>
          <t>T07</t>
        </is>
      </c>
      <c r="C62" s="21" t="inlineStr">
        <is>
          <t>L1d-TLB</t>
        </is>
      </c>
      <c r="D62" s="22" t="inlineStr">
        <is>
          <t>L1 d-TLB 的 CAM 比较结果 match vector 与 way-select 选择器。match vector 表示哪些表项的 VPN/ASID 匹配，way-select 从匹配项中选出翻译；伪造零命中、双命中或错选 way 都属于比较/选择逻辑故障。</t>
        </is>
      </c>
      <c r="E62" s="22" t="inlineStr">
        <is>
          <t>状态</t>
        </is>
      </c>
      <c r="F62"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2" s="22" t="inlineStr">
        <is>
          <t>F0</t>
        </is>
      </c>
      <c r="H62" s="22" t="inlineStr">
        <is>
          <t>每次运行只注入 1 次；在 warm-up 后的 eligible event 中均匀抽样</t>
        </is>
      </c>
      <c r="I62" s="22" t="inlineStr">
        <is>
          <t>TLB-AliasPerm 地址翻译探针（4KiB/2MiB 页、ASID、同VA不同PA、权限、TLBI、跨页访问）</t>
        </is>
      </c>
      <c r="J62" s="22" t="inlineStr">
        <is>
          <t>TLB-AliasPerm 地址翻译探针（4KiB/2MiB 页、ASID、同VA不同PA、权限、TLBI、跨页访问）
执行定义与 oracle：4KiB/2MiB 页、ASID 切换、同 VA 不同 PA、只读/不可执行页、TLBI 后重填、跨页 load/store</t>
        </is>
      </c>
      <c r="K62" s="22" t="inlineStr">
        <is>
          <t>DTLB lookup</t>
        </is>
      </c>
      <c r="L62" s="22" t="inlineStr">
        <is>
          <t>L0 表项是否被命中；L1 VPN/ASID/PPN/权限/valid与多命中；L2 walk/refill/TLBI、送cache的PA；L3 cache行与异常；L4 commit首分歧/错误页访问；L5结局；match vector popcount、选择way、walk数量、断言</t>
        </is>
      </c>
      <c r="M62" s="22" t="inlineStr">
        <is>
          <t>0命中多为性能；错误way且合法可能SDC；双命中应被监控/断言检出</t>
        </is>
      </c>
      <c r="N62" s="22" t="inlineStr">
        <is>
          <t>覆盖CAM比较和选择逻辑</t>
        </is>
      </c>
      <c r="O62" s="22" t="inlineStr">
        <is>
          <t>无直接文献</t>
        </is>
      </c>
      <c r="P62" s="23" t="n"/>
      <c r="Q62" s="23" t="n"/>
      <c r="R62" s="23" t="n"/>
      <c r="S62" s="23" t="n"/>
      <c r="T62" s="23" t="n"/>
      <c r="U62" s="23" t="n"/>
      <c r="V62" s="23" t="n"/>
      <c r="W62" s="23" t="n"/>
      <c r="X62" s="35">
        <f>IF(OR(R62="",R62-AP62&lt;=0),"",AB62/(R62-AP62))</f>
        <v/>
      </c>
      <c r="Y62" s="35">
        <f>IF(OR(AR62="",AR62=0),"",R62/AR62)</f>
        <v/>
      </c>
      <c r="Z62" s="24" t="inlineStr">
        <is>
          <t>待执行</t>
        </is>
      </c>
      <c r="AA62" s="23" t="n"/>
      <c r="AB62" s="38" t="n"/>
      <c r="AC62" s="38" t="n"/>
      <c r="AD62" s="38" t="n"/>
      <c r="AE62" s="38" t="n"/>
      <c r="AF62" s="38" t="n"/>
      <c r="AG62" s="38" t="n"/>
      <c r="AH62" s="38" t="n"/>
      <c r="AI62" s="38" t="n"/>
      <c r="AJ62" s="38" t="n"/>
      <c r="AK62" s="39" t="n"/>
      <c r="AL62" s="40">
        <f>IF(OR(R62="",R62-AP62&lt;=0),"",AO62/(R62-AP62))</f>
        <v/>
      </c>
      <c r="AM62" s="41">
        <f>IF(R62="","",SUM(AC62:AF62)-(R62-AP62))</f>
        <v/>
      </c>
      <c r="AN62" s="41">
        <f>IF(R62="","",SUM(S62:W62)+AP62-R62)</f>
        <v/>
      </c>
      <c r="AO62" s="44" t="n"/>
      <c r="AP62" s="45" t="n"/>
      <c r="AQ62" s="47" t="inlineStr">
        <is>
          <t>T07-a false hit；T07-b double hit；T07-c wrong-way选择</t>
        </is>
      </c>
      <c r="AR62" s="23" t="n"/>
      <c r="AS62" s="35">
        <f>IF(OR(Q62="",Q62=0),"",AR62/Q62)</f>
        <v/>
      </c>
      <c r="AT62" s="62" t="n">
        <v>30</v>
      </c>
      <c r="AU62" s="62" t="n">
        <v>385</v>
      </c>
      <c r="AV62" s="62" t="inlineStr">
        <is>
          <t>常规</t>
        </is>
      </c>
      <c r="AW62" s="62" t="inlineStr">
        <is>
          <t>累计至少385，不机械扩展到2401</t>
        </is>
      </c>
    </row>
    <row r="63" ht="94.15000000000001" customHeight="1" s="58">
      <c r="A63" s="21" t="inlineStr">
        <is>
          <t>T07-F4-W4</t>
        </is>
      </c>
      <c r="B63" s="21" t="inlineStr">
        <is>
          <t>T07</t>
        </is>
      </c>
      <c r="C63" s="21" t="inlineStr">
        <is>
          <t>L1d-TLB</t>
        </is>
      </c>
      <c r="D63" s="22" t="inlineStr">
        <is>
          <t>L1 d-TLB 的 CAM 比较结果 match vector 与 way-select 选择器。match vector 表示哪些表项的 VPN/ASID 匹配，way-select 从匹配项中选出翻译；伪造零命中、双命中或错选 way 都属于比较/选择逻辑故障。</t>
        </is>
      </c>
      <c r="E63" s="22" t="inlineStr">
        <is>
          <t>状态</t>
        </is>
      </c>
      <c r="F63"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3" s="22" t="inlineStr">
        <is>
          <t>F4</t>
        </is>
      </c>
      <c r="H63" s="22" t="inlineStr">
        <is>
          <t>每 100,000 个 eligible events 触发一次，连续污染 2-4 个 eligible events</t>
        </is>
      </c>
      <c r="I63" s="22" t="inlineStr">
        <is>
          <t>TLB-AliasPerm 地址翻译探针（4KiB/2MiB 页、ASID、同VA不同PA、权限、TLBI、跨页访问）</t>
        </is>
      </c>
      <c r="J63" s="22" t="inlineStr">
        <is>
          <t>TLB-AliasPerm 地址翻译探针（4KiB/2MiB 页、ASID、同VA不同PA、权限、TLBI、跨页访问）
执行定义与 oracle：4KiB/2MiB 页、ASID 切换、同 VA 不同 PA、只读/不可执行页、TLBI 后重填、跨页 load/store</t>
        </is>
      </c>
      <c r="K63" s="22" t="inlineStr">
        <is>
          <t>DTLB lookup</t>
        </is>
      </c>
      <c r="L63" s="22" t="inlineStr">
        <is>
          <t>L0 表项是否被命中；L1 VPN/ASID/PPN/权限/valid与多命中；L2 walk/refill/TLBI、送cache的PA；L3 cache行与异常；L4 commit首分歧/错误页访问；L5结局；match vector popcount、选择way、walk数量、断言</t>
        </is>
      </c>
      <c r="M63" s="22" t="inlineStr">
        <is>
          <t>0命中多为性能；错误way且合法可能SDC；双命中应被监控/断言检出</t>
        </is>
      </c>
      <c r="N63" s="22" t="inlineStr">
        <is>
          <t>覆盖CAM比较和选择逻辑</t>
        </is>
      </c>
      <c r="O63" s="22" t="inlineStr">
        <is>
          <t>无直接文献</t>
        </is>
      </c>
      <c r="P63" s="23" t="n"/>
      <c r="Q63" s="23" t="n"/>
      <c r="R63" s="23" t="n"/>
      <c r="S63" s="23" t="n"/>
      <c r="T63" s="23" t="n"/>
      <c r="U63" s="23" t="n"/>
      <c r="V63" s="23" t="n"/>
      <c r="W63" s="23" t="n"/>
      <c r="X63" s="35">
        <f>IF(OR(R63="",R63-AP63&lt;=0),"",AB63/(R63-AP63))</f>
        <v/>
      </c>
      <c r="Y63" s="35">
        <f>IF(OR(AR63="",AR63=0),"",R63/AR63)</f>
        <v/>
      </c>
      <c r="Z63" s="24" t="inlineStr">
        <is>
          <t>待执行</t>
        </is>
      </c>
      <c r="AA63" s="23" t="n"/>
      <c r="AB63" s="38" t="n"/>
      <c r="AC63" s="38" t="n"/>
      <c r="AD63" s="38" t="n"/>
      <c r="AE63" s="38" t="n"/>
      <c r="AF63" s="38" t="n"/>
      <c r="AG63" s="38" t="n"/>
      <c r="AH63" s="38" t="n"/>
      <c r="AI63" s="38" t="n"/>
      <c r="AJ63" s="38" t="n"/>
      <c r="AK63" s="39" t="n"/>
      <c r="AL63" s="40">
        <f>IF(OR(R63="",R63-AP63&lt;=0),"",AO63/(R63-AP63))</f>
        <v/>
      </c>
      <c r="AM63" s="41">
        <f>IF(R63="","",SUM(AC63:AF63)-(R63-AP63))</f>
        <v/>
      </c>
      <c r="AN63" s="41">
        <f>IF(R63="","",SUM(S63:W63)+AP63-R63)</f>
        <v/>
      </c>
      <c r="AO63" s="44" t="n"/>
      <c r="AP63" s="45" t="n"/>
      <c r="AQ63" s="47" t="inlineStr">
        <is>
          <t>T07-a false hit；T07-b double hit；T07-c wrong-way选择</t>
        </is>
      </c>
      <c r="AR63" s="23" t="n"/>
      <c r="AS63" s="35">
        <f>IF(OR(Q63="",Q63=0),"",AR63/Q63)</f>
        <v/>
      </c>
      <c r="AT63" s="62" t="n">
        <v>30</v>
      </c>
      <c r="AU63" s="62" t="n">
        <v>385</v>
      </c>
      <c r="AV63" s="62" t="inlineStr">
        <is>
          <t>常规</t>
        </is>
      </c>
      <c r="AW63" s="62" t="inlineStr">
        <is>
          <t>累计至少385，不机械扩展到2401</t>
        </is>
      </c>
    </row>
    <row r="64" ht="94.15000000000001" customHeight="1" s="58">
      <c r="A64" s="21" t="inlineStr">
        <is>
          <t>T07-F6-W4</t>
        </is>
      </c>
      <c r="B64" s="21" t="inlineStr">
        <is>
          <t>T07</t>
        </is>
      </c>
      <c r="C64" s="21" t="inlineStr">
        <is>
          <t>L1d-TLB</t>
        </is>
      </c>
      <c r="D64" s="22" t="inlineStr">
        <is>
          <t>L1 d-TLB 的 CAM 比较结果 match vector 与 way-select 选择器。match vector 表示哪些表项的 VPN/ASID 匹配，way-select 从匹配项中选出翻译；伪造零命中、双命中或错选 way 都属于比较/选择逻辑故障。</t>
        </is>
      </c>
      <c r="E64" s="22" t="inlineStr">
        <is>
          <t>状态</t>
        </is>
      </c>
      <c r="F64"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4" s="22" t="inlineStr">
        <is>
          <t>F6</t>
        </is>
      </c>
      <c r="H64" s="22" t="inlineStr">
        <is>
          <t>首次出现指定事件时注入一次，如 TLB hit、SQ forward、dirty eviction、CAS 成功</t>
        </is>
      </c>
      <c r="I64" s="22" t="inlineStr">
        <is>
          <t>TLB-AliasPerm 地址翻译探针（4KiB/2MiB 页、ASID、同VA不同PA、权限、TLBI、跨页访问）</t>
        </is>
      </c>
      <c r="J64" s="22" t="inlineStr">
        <is>
          <t>TLB-AliasPerm 地址翻译探针（4KiB/2MiB 页、ASID、同VA不同PA、权限、TLBI、跨页访问）
执行定义与 oracle：4KiB/2MiB 页、ASID 切换、同 VA 不同 PA、只读/不可执行页、TLBI 后重填、跨页 load/store</t>
        </is>
      </c>
      <c r="K64" s="22" t="inlineStr">
        <is>
          <t>DTLB lookup</t>
        </is>
      </c>
      <c r="L64" s="22" t="inlineStr">
        <is>
          <t>L0 表项是否被命中；L1 VPN/ASID/PPN/权限/valid与多命中；L2 walk/refill/TLBI、送cache的PA；L3 cache行与异常；L4 commit首分歧/错误页访问；L5结局；match vector popcount、选择way、walk数量、断言</t>
        </is>
      </c>
      <c r="M64" s="22" t="inlineStr">
        <is>
          <t>0命中多为性能；错误way且合法可能SDC；双命中应被监控/断言检出</t>
        </is>
      </c>
      <c r="N64" s="22" t="inlineStr">
        <is>
          <t>覆盖CAM比较和选择逻辑</t>
        </is>
      </c>
      <c r="O64" s="22" t="inlineStr">
        <is>
          <t>无直接文献</t>
        </is>
      </c>
      <c r="P64" s="23" t="n"/>
      <c r="Q64" s="23" t="n"/>
      <c r="R64" s="23" t="n"/>
      <c r="S64" s="23" t="n"/>
      <c r="T64" s="23" t="n"/>
      <c r="U64" s="23" t="n"/>
      <c r="V64" s="23" t="n"/>
      <c r="W64" s="23" t="n"/>
      <c r="X64" s="35">
        <f>IF(OR(R64="",R64-AP64&lt;=0),"",AB64/(R64-AP64))</f>
        <v/>
      </c>
      <c r="Y64" s="35">
        <f>IF(OR(AR64="",AR64=0),"",R64/AR64)</f>
        <v/>
      </c>
      <c r="Z64" s="24" t="inlineStr">
        <is>
          <t>待执行</t>
        </is>
      </c>
      <c r="AA64" s="23" t="n"/>
      <c r="AB64" s="38" t="n"/>
      <c r="AC64" s="38" t="n"/>
      <c r="AD64" s="38" t="n"/>
      <c r="AE64" s="38" t="n"/>
      <c r="AF64" s="38" t="n"/>
      <c r="AG64" s="38" t="n"/>
      <c r="AH64" s="38" t="n"/>
      <c r="AI64" s="38" t="n"/>
      <c r="AJ64" s="38" t="n"/>
      <c r="AK64" s="39" t="n"/>
      <c r="AL64" s="40">
        <f>IF(OR(R64="",R64-AP64&lt;=0),"",AO64/(R64-AP64))</f>
        <v/>
      </c>
      <c r="AM64" s="41">
        <f>IF(R64="","",SUM(AC64:AF64)-(R64-AP64))</f>
        <v/>
      </c>
      <c r="AN64" s="41">
        <f>IF(R64="","",SUM(S64:W64)+AP64-R64)</f>
        <v/>
      </c>
      <c r="AO64" s="44" t="n"/>
      <c r="AP64" s="45" t="n"/>
      <c r="AQ64" s="47" t="inlineStr">
        <is>
          <t>T07-a false hit；T07-b double hit；T07-c wrong-way选择</t>
        </is>
      </c>
      <c r="AR64" s="23" t="n"/>
      <c r="AS64" s="35">
        <f>IF(OR(Q64="",Q64=0),"",AR64/Q64)</f>
        <v/>
      </c>
      <c r="AT64" s="62" t="n">
        <v>30</v>
      </c>
      <c r="AU64" s="62" t="n">
        <v>385</v>
      </c>
      <c r="AV64" s="62" t="inlineStr">
        <is>
          <t>常规</t>
        </is>
      </c>
      <c r="AW64" s="62" t="inlineStr">
        <is>
          <t>累计至少385，不机械扩展到2401</t>
        </is>
      </c>
    </row>
    <row r="65" ht="94.15000000000001" customHeight="1" s="58">
      <c r="A65" s="21" t="inlineStr">
        <is>
          <t>T08-F0-W4</t>
        </is>
      </c>
      <c r="B65" s="21" t="inlineStr">
        <is>
          <t>T08</t>
        </is>
      </c>
      <c r="C65" s="21" t="inlineStr">
        <is>
          <t>L1d-TLB</t>
        </is>
      </c>
      <c r="D65" s="22" t="inlineStr">
        <is>
          <t>d-TLB miss 后的 page-table walk 返回与 refill 通路。walker 根据页表得到 PTE，refill 逻辑再把 VPN、PPN、权限和状态写入某个 TLB 槽；事务 ID 或完成时序错误会把上一条 walk 的结果填给当前请求。</t>
        </is>
      </c>
      <c r="E65" s="22" t="inlineStr">
        <is>
          <t>时序</t>
        </is>
      </c>
      <c r="F65"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5" s="22" t="inlineStr">
        <is>
          <t>F0</t>
        </is>
      </c>
      <c r="H65" s="22" t="inlineStr">
        <is>
          <t>每次运行只注入 1 次；在 warm-up 后的 eligible event 中均匀抽样</t>
        </is>
      </c>
      <c r="I65" s="22" t="inlineStr">
        <is>
          <t>TLB-AliasPerm 地址翻译探针（4KiB/2MiB 页、ASID、同VA不同PA、权限、TLBI、跨页访问）</t>
        </is>
      </c>
      <c r="J65" s="22" t="inlineStr">
        <is>
          <t>TLB-AliasPerm 地址翻译探针（4KiB/2MiB 页、ASID、同VA不同PA、权限、TLBI、跨页访问）
执行定义与 oracle：4KiB/2MiB 页、ASID 切换、同 VA 不同 PA、只读/不可执行页、TLBI 后重填、跨页 load/store</t>
        </is>
      </c>
      <c r="K65" s="22" t="inlineStr">
        <is>
          <t>DTLB miss并启动walk</t>
        </is>
      </c>
      <c r="L65" s="22" t="inlineStr">
        <is>
          <t>L0 表项是否被命中；L1 VPN/ASID/PPN/权限/valid与多命中；L2 walk/refill/TLBI、送cache的PA；L3 cache行与异常；L4 commit首分歧/错误页访问；L5结局；walk ID、VA、返回PTE、refill槽、完成次序</t>
        </is>
      </c>
      <c r="M65" s="22" t="inlineStr">
        <is>
          <t>旧结果错配最可能静默；丢失多Timeout；重复可能污染替换状态</t>
        </is>
      </c>
      <c r="N65" s="22" t="inlineStr">
        <is>
          <t>TLB风险不仅在阵列，也在refill事务配对</t>
        </is>
      </c>
      <c r="O65" s="22" t="inlineStr">
        <is>
          <t>本方案结构化模型</t>
        </is>
      </c>
      <c r="P65" s="23" t="n"/>
      <c r="Q65" s="23" t="n"/>
      <c r="R65" s="23" t="n"/>
      <c r="S65" s="23" t="n"/>
      <c r="T65" s="23" t="n"/>
      <c r="U65" s="23" t="n"/>
      <c r="V65" s="23" t="n"/>
      <c r="W65" s="23" t="n"/>
      <c r="X65" s="35">
        <f>IF(OR(R65="",R65-AP65&lt;=0),"",AB65/(R65-AP65))</f>
        <v/>
      </c>
      <c r="Y65" s="35">
        <f>IF(OR(AR65="",AR65=0),"",R65/AR65)</f>
        <v/>
      </c>
      <c r="Z65" s="24" t="inlineStr">
        <is>
          <t>待执行</t>
        </is>
      </c>
      <c r="AA65" s="23" t="n"/>
      <c r="AB65" s="38" t="n"/>
      <c r="AC65" s="38" t="n"/>
      <c r="AD65" s="38" t="n"/>
      <c r="AE65" s="38" t="n"/>
      <c r="AF65" s="38" t="n"/>
      <c r="AG65" s="38" t="n"/>
      <c r="AH65" s="38" t="n"/>
      <c r="AI65" s="38" t="n"/>
      <c r="AJ65" s="38" t="n"/>
      <c r="AK65" s="39" t="n"/>
      <c r="AL65" s="40">
        <f>IF(OR(R65="",R65-AP65&lt;=0),"",AO65/(R65-AP65))</f>
        <v/>
      </c>
      <c r="AM65" s="41">
        <f>IF(R65="","",SUM(AC65:AF65)-(R65-AP65))</f>
        <v/>
      </c>
      <c r="AN65" s="41">
        <f>IF(R65="","",SUM(S65:W65)+AP65-R65)</f>
        <v/>
      </c>
      <c r="AO65" s="44" t="n"/>
      <c r="AP65" s="45" t="n"/>
      <c r="AQ65" s="47" t="inlineStr">
        <is>
          <t>T08-a walk/fill丢失；T08-b walk/fill重复；T08-c done过早；T08-d 旧walk结果写入</t>
        </is>
      </c>
      <c r="AR65" s="23" t="n"/>
      <c r="AS65" s="35">
        <f>IF(OR(Q65="",Q65=0),"",AR65/Q65)</f>
        <v/>
      </c>
      <c r="AT65" s="62" t="n">
        <v>30</v>
      </c>
      <c r="AU65" s="62" t="n">
        <v>385</v>
      </c>
      <c r="AV65" s="62" t="inlineStr">
        <is>
          <t>常规</t>
        </is>
      </c>
      <c r="AW65" s="62" t="inlineStr">
        <is>
          <t>累计至少385，不机械扩展到2401</t>
        </is>
      </c>
    </row>
    <row r="66" ht="94.15000000000001" customHeight="1" s="58">
      <c r="A66" s="21" t="inlineStr">
        <is>
          <t>T08-F0-W9</t>
        </is>
      </c>
      <c r="B66" s="21" t="inlineStr">
        <is>
          <t>T08</t>
        </is>
      </c>
      <c r="C66" s="21" t="inlineStr">
        <is>
          <t>L1d-TLB</t>
        </is>
      </c>
      <c r="D66" s="22" t="inlineStr">
        <is>
          <t>d-TLB miss 后的 page-table walk 返回与 refill 通路。walker 根据页表得到 PTE，refill 逻辑再把 VPN、PPN、权限和状态写入某个 TLB 槽；事务 ID 或完成时序错误会把上一条 walk 的结果填给当前请求。</t>
        </is>
      </c>
      <c r="E66" s="22" t="inlineStr">
        <is>
          <t>时序</t>
        </is>
      </c>
      <c r="F66"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6" s="22" t="inlineStr">
        <is>
          <t>F0</t>
        </is>
      </c>
      <c r="H66" s="22" t="inlineStr">
        <is>
          <t>每次运行只注入 1 次；在 warm-up 后的 eligible event 中均匀抽样</t>
        </is>
      </c>
      <c r="I66" s="22" t="inlineStr">
        <is>
          <t>GAP/Graph500 子集（BFS、SSSP、PageRank，固定图与结果哈希）</t>
        </is>
      </c>
      <c r="J66" s="22" t="inlineStr">
        <is>
          <t>GAP/Graph500 子集（BFS、SSSP、PageRank，固定图与结果哈希）
执行定义与 oracle：BFS/SSSP/PR，使用固定图与结果哈希；强调不规则地址和大 working set</t>
        </is>
      </c>
      <c r="K66" s="22" t="inlineStr">
        <is>
          <t>DTLB miss并启动walk</t>
        </is>
      </c>
      <c r="L66" s="22" t="inlineStr">
        <is>
          <t>L0 表项是否被命中；L1 VPN/ASID/PPN/权限/valid与多命中；L2 walk/refill/TLBI、送cache的PA；L3 cache行与异常；L4 commit首分歧/错误页访问；L5结局；walk ID、VA、返回PTE、refill槽、完成次序</t>
        </is>
      </c>
      <c r="M66" s="22" t="inlineStr">
        <is>
          <t>旧结果错配最可能静默；丢失多Timeout；重复可能污染替换状态</t>
        </is>
      </c>
      <c r="N66" s="22" t="inlineStr">
        <is>
          <t>TLB风险不仅在阵列，也在refill事务配对</t>
        </is>
      </c>
      <c r="O66" s="22" t="inlineStr">
        <is>
          <t>本方案结构化模型</t>
        </is>
      </c>
      <c r="P66" s="23" t="n"/>
      <c r="Q66" s="23" t="n"/>
      <c r="R66" s="23" t="n"/>
      <c r="S66" s="23" t="n"/>
      <c r="T66" s="23" t="n"/>
      <c r="U66" s="23" t="n"/>
      <c r="V66" s="23" t="n"/>
      <c r="W66" s="23" t="n"/>
      <c r="X66" s="35">
        <f>IF(OR(R66="",R66-AP66&lt;=0),"",AB66/(R66-AP66))</f>
        <v/>
      </c>
      <c r="Y66" s="35">
        <f>IF(OR(AR66="",AR66=0),"",R66/AR66)</f>
        <v/>
      </c>
      <c r="Z66" s="24" t="inlineStr">
        <is>
          <t>待执行</t>
        </is>
      </c>
      <c r="AA66" s="23" t="n"/>
      <c r="AB66" s="38" t="n"/>
      <c r="AC66" s="38" t="n"/>
      <c r="AD66" s="38" t="n"/>
      <c r="AE66" s="38" t="n"/>
      <c r="AF66" s="38" t="n"/>
      <c r="AG66" s="38" t="n"/>
      <c r="AH66" s="38" t="n"/>
      <c r="AI66" s="38" t="n"/>
      <c r="AJ66" s="38" t="n"/>
      <c r="AK66" s="39" t="n"/>
      <c r="AL66" s="40">
        <f>IF(OR(R66="",R66-AP66&lt;=0),"",AO66/(R66-AP66))</f>
        <v/>
      </c>
      <c r="AM66" s="41">
        <f>IF(R66="","",SUM(AC66:AF66)-(R66-AP66))</f>
        <v/>
      </c>
      <c r="AN66" s="41">
        <f>IF(R66="","",SUM(S66:W66)+AP66-R66)</f>
        <v/>
      </c>
      <c r="AO66" s="44" t="n"/>
      <c r="AP66" s="45" t="n"/>
      <c r="AQ66" s="47" t="inlineStr">
        <is>
          <t>T08-a walk/fill丢失；T08-b walk/fill重复；T08-c done过早；T08-d 旧walk结果写入</t>
        </is>
      </c>
      <c r="AR66" s="23" t="n"/>
      <c r="AS66" s="35">
        <f>IF(OR(Q66="",Q66=0),"",AR66/Q66)</f>
        <v/>
      </c>
      <c r="AT66" s="62" t="n">
        <v>30</v>
      </c>
      <c r="AU66" s="62" t="n">
        <v>385</v>
      </c>
      <c r="AV66" s="62" t="inlineStr">
        <is>
          <t>常规</t>
        </is>
      </c>
      <c r="AW66" s="62" t="inlineStr">
        <is>
          <t>累计至少385，不机械扩展到2401</t>
        </is>
      </c>
    </row>
    <row r="67" ht="94.15000000000001" customHeight="1" s="58">
      <c r="A67" s="21" t="inlineStr">
        <is>
          <t>T08-F4-W4</t>
        </is>
      </c>
      <c r="B67" s="21" t="inlineStr">
        <is>
          <t>T08</t>
        </is>
      </c>
      <c r="C67" s="21" t="inlineStr">
        <is>
          <t>L1d-TLB</t>
        </is>
      </c>
      <c r="D67" s="22" t="inlineStr">
        <is>
          <t>d-TLB miss 后的 page-table walk 返回与 refill 通路。walker 根据页表得到 PTE，refill 逻辑再把 VPN、PPN、权限和状态写入某个 TLB 槽；事务 ID 或完成时序错误会把上一条 walk 的结果填给当前请求。</t>
        </is>
      </c>
      <c r="E67" s="22" t="inlineStr">
        <is>
          <t>时序</t>
        </is>
      </c>
      <c r="F67"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7" s="22" t="inlineStr">
        <is>
          <t>F4</t>
        </is>
      </c>
      <c r="H67" s="22" t="inlineStr">
        <is>
          <t>每 100,000 个 eligible events 触发一次，连续污染 2-4 个 eligible events</t>
        </is>
      </c>
      <c r="I67" s="22" t="inlineStr">
        <is>
          <t>TLB-AliasPerm 地址翻译探针（4KiB/2MiB 页、ASID、同VA不同PA、权限、TLBI、跨页访问）</t>
        </is>
      </c>
      <c r="J67" s="22" t="inlineStr">
        <is>
          <t>TLB-AliasPerm 地址翻译探针（4KiB/2MiB 页、ASID、同VA不同PA、权限、TLBI、跨页访问）
执行定义与 oracle：4KiB/2MiB 页、ASID 切换、同 VA 不同 PA、只读/不可执行页、TLBI 后重填、跨页 load/store</t>
        </is>
      </c>
      <c r="K67" s="22" t="inlineStr">
        <is>
          <t>DTLB miss并启动walk</t>
        </is>
      </c>
      <c r="L67" s="22" t="inlineStr">
        <is>
          <t>L0 表项是否被命中；L1 VPN/ASID/PPN/权限/valid与多命中；L2 walk/refill/TLBI、送cache的PA；L3 cache行与异常；L4 commit首分歧/错误页访问；L5结局；walk ID、VA、返回PTE、refill槽、完成次序</t>
        </is>
      </c>
      <c r="M67" s="22" t="inlineStr">
        <is>
          <t>旧结果错配最可能静默；丢失多Timeout；重复可能污染替换状态</t>
        </is>
      </c>
      <c r="N67" s="22" t="inlineStr">
        <is>
          <t>TLB风险不仅在阵列，也在refill事务配对</t>
        </is>
      </c>
      <c r="O67" s="22" t="inlineStr">
        <is>
          <t>本方案结构化模型</t>
        </is>
      </c>
      <c r="P67" s="23" t="n"/>
      <c r="Q67" s="23" t="n"/>
      <c r="R67" s="23" t="n"/>
      <c r="S67" s="23" t="n"/>
      <c r="T67" s="23" t="n"/>
      <c r="U67" s="23" t="n"/>
      <c r="V67" s="23" t="n"/>
      <c r="W67" s="23" t="n"/>
      <c r="X67" s="35">
        <f>IF(OR(R67="",R67-AP67&lt;=0),"",AB67/(R67-AP67))</f>
        <v/>
      </c>
      <c r="Y67" s="35">
        <f>IF(OR(AR67="",AR67=0),"",R67/AR67)</f>
        <v/>
      </c>
      <c r="Z67" s="24" t="inlineStr">
        <is>
          <t>待执行</t>
        </is>
      </c>
      <c r="AA67" s="23" t="n"/>
      <c r="AB67" s="38" t="n"/>
      <c r="AC67" s="38" t="n"/>
      <c r="AD67" s="38" t="n"/>
      <c r="AE67" s="38" t="n"/>
      <c r="AF67" s="38" t="n"/>
      <c r="AG67" s="38" t="n"/>
      <c r="AH67" s="38" t="n"/>
      <c r="AI67" s="38" t="n"/>
      <c r="AJ67" s="38" t="n"/>
      <c r="AK67" s="39" t="n"/>
      <c r="AL67" s="40">
        <f>IF(OR(R67="",R67-AP67&lt;=0),"",AO67/(R67-AP67))</f>
        <v/>
      </c>
      <c r="AM67" s="41">
        <f>IF(R67="","",SUM(AC67:AF67)-(R67-AP67))</f>
        <v/>
      </c>
      <c r="AN67" s="41">
        <f>IF(R67="","",SUM(S67:W67)+AP67-R67)</f>
        <v/>
      </c>
      <c r="AO67" s="44" t="n"/>
      <c r="AP67" s="45" t="n"/>
      <c r="AQ67" s="47" t="inlineStr">
        <is>
          <t>T08-a walk/fill丢失；T08-b walk/fill重复；T08-c done过早；T08-d 旧walk结果写入</t>
        </is>
      </c>
      <c r="AR67" s="23" t="n"/>
      <c r="AS67" s="35">
        <f>IF(OR(Q67="",Q67=0),"",AR67/Q67)</f>
        <v/>
      </c>
      <c r="AT67" s="62" t="n">
        <v>30</v>
      </c>
      <c r="AU67" s="62" t="n">
        <v>385</v>
      </c>
      <c r="AV67" s="62" t="inlineStr">
        <is>
          <t>常规</t>
        </is>
      </c>
      <c r="AW67" s="62" t="inlineStr">
        <is>
          <t>累计至少385，不机械扩展到2401</t>
        </is>
      </c>
    </row>
    <row r="68" ht="94.15000000000001" customHeight="1" s="58">
      <c r="A68" s="21" t="inlineStr">
        <is>
          <t>T08-F4-W9</t>
        </is>
      </c>
      <c r="B68" s="21" t="inlineStr">
        <is>
          <t>T08</t>
        </is>
      </c>
      <c r="C68" s="21" t="inlineStr">
        <is>
          <t>L1d-TLB</t>
        </is>
      </c>
      <c r="D68" s="22" t="inlineStr">
        <is>
          <t>d-TLB miss 后的 page-table walk 返回与 refill 通路。walker 根据页表得到 PTE，refill 逻辑再把 VPN、PPN、权限和状态写入某个 TLB 槽；事务 ID 或完成时序错误会把上一条 walk 的结果填给当前请求。</t>
        </is>
      </c>
      <c r="E68" s="22" t="inlineStr">
        <is>
          <t>时序</t>
        </is>
      </c>
      <c r="F68"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8" s="22" t="inlineStr">
        <is>
          <t>F4</t>
        </is>
      </c>
      <c r="H68" s="22" t="inlineStr">
        <is>
          <t>每 100,000 个 eligible events 触发一次，连续污染 2-4 个 eligible events</t>
        </is>
      </c>
      <c r="I68" s="22" t="inlineStr">
        <is>
          <t>GAP/Graph500 子集（BFS、SSSP、PageRank，固定图与结果哈希）</t>
        </is>
      </c>
      <c r="J68" s="22" t="inlineStr">
        <is>
          <t>GAP/Graph500 子集（BFS、SSSP、PageRank，固定图与结果哈希）
执行定义与 oracle：BFS/SSSP/PR，使用固定图与结果哈希；强调不规则地址和大 working set</t>
        </is>
      </c>
      <c r="K68" s="22" t="inlineStr">
        <is>
          <t>DTLB miss并启动walk</t>
        </is>
      </c>
      <c r="L68" s="22" t="inlineStr">
        <is>
          <t>L0 表项是否被命中；L1 VPN/ASID/PPN/权限/valid与多命中；L2 walk/refill/TLBI、送cache的PA；L3 cache行与异常；L4 commit首分歧/错误页访问；L5结局；walk ID、VA、返回PTE、refill槽、完成次序</t>
        </is>
      </c>
      <c r="M68" s="22" t="inlineStr">
        <is>
          <t>旧结果错配最可能静默；丢失多Timeout；重复可能污染替换状态</t>
        </is>
      </c>
      <c r="N68" s="22" t="inlineStr">
        <is>
          <t>TLB风险不仅在阵列，也在refill事务配对</t>
        </is>
      </c>
      <c r="O68" s="22" t="inlineStr">
        <is>
          <t>本方案结构化模型</t>
        </is>
      </c>
      <c r="P68" s="23" t="n"/>
      <c r="Q68" s="23" t="n"/>
      <c r="R68" s="23" t="n"/>
      <c r="S68" s="23" t="n"/>
      <c r="T68" s="23" t="n"/>
      <c r="U68" s="23" t="n"/>
      <c r="V68" s="23" t="n"/>
      <c r="W68" s="23" t="n"/>
      <c r="X68" s="35">
        <f>IF(OR(R68="",R68-AP68&lt;=0),"",AB68/(R68-AP68))</f>
        <v/>
      </c>
      <c r="Y68" s="35">
        <f>IF(OR(AR68="",AR68=0),"",R68/AR68)</f>
        <v/>
      </c>
      <c r="Z68" s="24" t="inlineStr">
        <is>
          <t>待执行</t>
        </is>
      </c>
      <c r="AA68" s="23" t="n"/>
      <c r="AB68" s="38" t="n"/>
      <c r="AC68" s="38" t="n"/>
      <c r="AD68" s="38" t="n"/>
      <c r="AE68" s="38" t="n"/>
      <c r="AF68" s="38" t="n"/>
      <c r="AG68" s="38" t="n"/>
      <c r="AH68" s="38" t="n"/>
      <c r="AI68" s="38" t="n"/>
      <c r="AJ68" s="38" t="n"/>
      <c r="AK68" s="39" t="n"/>
      <c r="AL68" s="40">
        <f>IF(OR(R68="",R68-AP68&lt;=0),"",AO68/(R68-AP68))</f>
        <v/>
      </c>
      <c r="AM68" s="41">
        <f>IF(R68="","",SUM(AC68:AF68)-(R68-AP68))</f>
        <v/>
      </c>
      <c r="AN68" s="41">
        <f>IF(R68="","",SUM(S68:W68)+AP68-R68)</f>
        <v/>
      </c>
      <c r="AO68" s="44" t="n"/>
      <c r="AP68" s="45" t="n"/>
      <c r="AQ68" s="47" t="inlineStr">
        <is>
          <t>T08-a walk/fill丢失；T08-b walk/fill重复；T08-c done过早；T08-d 旧walk结果写入</t>
        </is>
      </c>
      <c r="AR68" s="23" t="n"/>
      <c r="AS68" s="35">
        <f>IF(OR(Q68="",Q68=0),"",AR68/Q68)</f>
        <v/>
      </c>
      <c r="AT68" s="62" t="n">
        <v>30</v>
      </c>
      <c r="AU68" s="62" t="n">
        <v>385</v>
      </c>
      <c r="AV68" s="62" t="inlineStr">
        <is>
          <t>常规</t>
        </is>
      </c>
      <c r="AW68" s="62" t="inlineStr">
        <is>
          <t>累计至少385，不机械扩展到2401</t>
        </is>
      </c>
    </row>
    <row r="69" ht="94.15000000000001" customHeight="1" s="58">
      <c r="A69" s="21" t="inlineStr">
        <is>
          <t>T08-F6-W4</t>
        </is>
      </c>
      <c r="B69" s="21" t="inlineStr">
        <is>
          <t>T08</t>
        </is>
      </c>
      <c r="C69" s="21" t="inlineStr">
        <is>
          <t>L1d-TLB</t>
        </is>
      </c>
      <c r="D69" s="22" t="inlineStr">
        <is>
          <t>d-TLB miss 后的 page-table walk 返回与 refill 通路。walker 根据页表得到 PTE，refill 逻辑再把 VPN、PPN、权限和状态写入某个 TLB 槽；事务 ID 或完成时序错误会把上一条 walk 的结果填给当前请求。</t>
        </is>
      </c>
      <c r="E69" s="22" t="inlineStr">
        <is>
          <t>时序</t>
        </is>
      </c>
      <c r="F69"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9" s="22" t="inlineStr">
        <is>
          <t>F6</t>
        </is>
      </c>
      <c r="H69" s="22" t="inlineStr">
        <is>
          <t>首次出现指定事件时注入一次，如 TLB hit、SQ forward、dirty eviction、CAS 成功</t>
        </is>
      </c>
      <c r="I69" s="22" t="inlineStr">
        <is>
          <t>TLB-AliasPerm 地址翻译探针（4KiB/2MiB 页、ASID、同VA不同PA、权限、TLBI、跨页访问）</t>
        </is>
      </c>
      <c r="J69" s="22" t="inlineStr">
        <is>
          <t>TLB-AliasPerm 地址翻译探针（4KiB/2MiB 页、ASID、同VA不同PA、权限、TLBI、跨页访问）
执行定义与 oracle：4KiB/2MiB 页、ASID 切换、同 VA 不同 PA、只读/不可执行页、TLBI 后重填、跨页 load/store</t>
        </is>
      </c>
      <c r="K69" s="22" t="inlineStr">
        <is>
          <t>DTLB miss并启动walk</t>
        </is>
      </c>
      <c r="L69" s="22" t="inlineStr">
        <is>
          <t>L0 表项是否被命中；L1 VPN/ASID/PPN/权限/valid与多命中；L2 walk/refill/TLBI、送cache的PA；L3 cache行与异常；L4 commit首分歧/错误页访问；L5结局；walk ID、VA、返回PTE、refill槽、完成次序</t>
        </is>
      </c>
      <c r="M69" s="22" t="inlineStr">
        <is>
          <t>旧结果错配最可能静默；丢失多Timeout；重复可能污染替换状态</t>
        </is>
      </c>
      <c r="N69" s="22" t="inlineStr">
        <is>
          <t>TLB风险不仅在阵列，也在refill事务配对</t>
        </is>
      </c>
      <c r="O69" s="22" t="inlineStr">
        <is>
          <t>本方案结构化模型</t>
        </is>
      </c>
      <c r="P69" s="23" t="n"/>
      <c r="Q69" s="23" t="n"/>
      <c r="R69" s="23" t="n"/>
      <c r="S69" s="23" t="n"/>
      <c r="T69" s="23" t="n"/>
      <c r="U69" s="23" t="n"/>
      <c r="V69" s="23" t="n"/>
      <c r="W69" s="23" t="n"/>
      <c r="X69" s="35">
        <f>IF(OR(R69="",R69-AP69&lt;=0),"",AB69/(R69-AP69))</f>
        <v/>
      </c>
      <c r="Y69" s="35">
        <f>IF(OR(AR69="",AR69=0),"",R69/AR69)</f>
        <v/>
      </c>
      <c r="Z69" s="24" t="inlineStr">
        <is>
          <t>待执行</t>
        </is>
      </c>
      <c r="AA69" s="23" t="n"/>
      <c r="AB69" s="38" t="n"/>
      <c r="AC69" s="38" t="n"/>
      <c r="AD69" s="38" t="n"/>
      <c r="AE69" s="38" t="n"/>
      <c r="AF69" s="38" t="n"/>
      <c r="AG69" s="38" t="n"/>
      <c r="AH69" s="38" t="n"/>
      <c r="AI69" s="38" t="n"/>
      <c r="AJ69" s="38" t="n"/>
      <c r="AK69" s="39" t="n"/>
      <c r="AL69" s="40">
        <f>IF(OR(R69="",R69-AP69&lt;=0),"",AO69/(R69-AP69))</f>
        <v/>
      </c>
      <c r="AM69" s="41">
        <f>IF(R69="","",SUM(AC69:AF69)-(R69-AP69))</f>
        <v/>
      </c>
      <c r="AN69" s="41">
        <f>IF(R69="","",SUM(S69:W69)+AP69-R69)</f>
        <v/>
      </c>
      <c r="AO69" s="44" t="n"/>
      <c r="AP69" s="45" t="n"/>
      <c r="AQ69" s="47" t="inlineStr">
        <is>
          <t>T08-a walk/fill丢失；T08-b walk/fill重复；T08-c done过早；T08-d 旧walk结果写入</t>
        </is>
      </c>
      <c r="AR69" s="23" t="n"/>
      <c r="AS69" s="35">
        <f>IF(OR(Q69="",Q69=0),"",AR69/Q69)</f>
        <v/>
      </c>
      <c r="AT69" s="62" t="n">
        <v>30</v>
      </c>
      <c r="AU69" s="62" t="n">
        <v>385</v>
      </c>
      <c r="AV69" s="62" t="inlineStr">
        <is>
          <t>常规</t>
        </is>
      </c>
      <c r="AW69" s="62" t="inlineStr">
        <is>
          <t>累计至少385，不机械扩展到2401</t>
        </is>
      </c>
    </row>
    <row r="70" ht="94.15000000000001" customHeight="1" s="58">
      <c r="A70" s="21" t="inlineStr">
        <is>
          <t>T08-F6-W9</t>
        </is>
      </c>
      <c r="B70" s="21" t="inlineStr">
        <is>
          <t>T08</t>
        </is>
      </c>
      <c r="C70" s="21" t="inlineStr">
        <is>
          <t>L1d-TLB</t>
        </is>
      </c>
      <c r="D70" s="22" t="inlineStr">
        <is>
          <t>d-TLB miss 后的 page-table walk 返回与 refill 通路。walker 根据页表得到 PTE，refill 逻辑再把 VPN、PPN、权限和状态写入某个 TLB 槽；事务 ID 或完成时序错误会把上一条 walk 的结果填给当前请求。</t>
        </is>
      </c>
      <c r="E70" s="22" t="inlineStr">
        <is>
          <t>时序</t>
        </is>
      </c>
      <c r="F70"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70" s="22" t="inlineStr">
        <is>
          <t>F6</t>
        </is>
      </c>
      <c r="H70" s="22" t="inlineStr">
        <is>
          <t>首次出现指定事件时注入一次，如 TLB hit、SQ forward、dirty eviction、CAS 成功</t>
        </is>
      </c>
      <c r="I70" s="22" t="inlineStr">
        <is>
          <t>GAP/Graph500 子集（BFS、SSSP、PageRank，固定图与结果哈希）</t>
        </is>
      </c>
      <c r="J70" s="22" t="inlineStr">
        <is>
          <t>GAP/Graph500 子集（BFS、SSSP、PageRank，固定图与结果哈希）
执行定义与 oracle：BFS/SSSP/PR，使用固定图与结果哈希；强调不规则地址和大 working set</t>
        </is>
      </c>
      <c r="K70" s="22" t="inlineStr">
        <is>
          <t>DTLB miss并启动walk</t>
        </is>
      </c>
      <c r="L70" s="22" t="inlineStr">
        <is>
          <t>L0 表项是否被命中；L1 VPN/ASID/PPN/权限/valid与多命中；L2 walk/refill/TLBI、送cache的PA；L3 cache行与异常；L4 commit首分歧/错误页访问；L5结局；walk ID、VA、返回PTE、refill槽、完成次序</t>
        </is>
      </c>
      <c r="M70" s="22" t="inlineStr">
        <is>
          <t>旧结果错配最可能静默；丢失多Timeout；重复可能污染替换状态</t>
        </is>
      </c>
      <c r="N70" s="22" t="inlineStr">
        <is>
          <t>TLB风险不仅在阵列，也在refill事务配对</t>
        </is>
      </c>
      <c r="O70" s="22" t="inlineStr">
        <is>
          <t>本方案结构化模型</t>
        </is>
      </c>
      <c r="P70" s="23" t="n"/>
      <c r="Q70" s="23" t="n"/>
      <c r="R70" s="23" t="n"/>
      <c r="S70" s="23" t="n"/>
      <c r="T70" s="23" t="n"/>
      <c r="U70" s="23" t="n"/>
      <c r="V70" s="23" t="n"/>
      <c r="W70" s="23" t="n"/>
      <c r="X70" s="35">
        <f>IF(OR(R70="",R70-AP70&lt;=0),"",AB70/(R70-AP70))</f>
        <v/>
      </c>
      <c r="Y70" s="35">
        <f>IF(OR(AR70="",AR70=0),"",R70/AR70)</f>
        <v/>
      </c>
      <c r="Z70" s="24" t="inlineStr">
        <is>
          <t>待执行</t>
        </is>
      </c>
      <c r="AA70" s="23" t="n"/>
      <c r="AB70" s="38" t="n"/>
      <c r="AC70" s="38" t="n"/>
      <c r="AD70" s="38" t="n"/>
      <c r="AE70" s="38" t="n"/>
      <c r="AF70" s="38" t="n"/>
      <c r="AG70" s="38" t="n"/>
      <c r="AH70" s="38" t="n"/>
      <c r="AI70" s="38" t="n"/>
      <c r="AJ70" s="38" t="n"/>
      <c r="AK70" s="39" t="n"/>
      <c r="AL70" s="40">
        <f>IF(OR(R70="",R70-AP70&lt;=0),"",AO70/(R70-AP70))</f>
        <v/>
      </c>
      <c r="AM70" s="41">
        <f>IF(R70="","",SUM(AC70:AF70)-(R70-AP70))</f>
        <v/>
      </c>
      <c r="AN70" s="41">
        <f>IF(R70="","",SUM(S70:W70)+AP70-R70)</f>
        <v/>
      </c>
      <c r="AO70" s="44" t="n"/>
      <c r="AP70" s="45" t="n"/>
      <c r="AQ70" s="47" t="inlineStr">
        <is>
          <t>T08-a walk/fill丢失；T08-b walk/fill重复；T08-c done过早；T08-d 旧walk结果写入</t>
        </is>
      </c>
      <c r="AR70" s="23" t="n"/>
      <c r="AS70" s="35">
        <f>IF(OR(Q70="",Q70=0),"",AR70/Q70)</f>
        <v/>
      </c>
      <c r="AT70" s="62" t="n">
        <v>30</v>
      </c>
      <c r="AU70" s="62" t="n">
        <v>385</v>
      </c>
      <c r="AV70" s="62" t="inlineStr">
        <is>
          <t>常规</t>
        </is>
      </c>
      <c r="AW70" s="62" t="inlineStr">
        <is>
          <t>累计至少385，不机械扩展到2401</t>
        </is>
      </c>
    </row>
    <row r="71" ht="94.15000000000001" customHeight="1" s="58">
      <c r="A71" s="21" t="inlineStr">
        <is>
          <t>S01-F0-W1</t>
        </is>
      </c>
      <c r="B71" s="21" t="inlineStr">
        <is>
          <t>S01</t>
        </is>
      </c>
      <c r="C71" s="21" t="inlineStr">
        <is>
          <t>Store Queue</t>
        </is>
      </c>
      <c r="D71" s="22" t="inlineStr">
        <is>
          <t>Store Queue 有效表项中的 store data 数据域。store 在提交前把将写入内存的数据暂存在这里；后续可能直接转发给年轻 load，也可能在提交后写入 L1D。</t>
        </is>
      </c>
      <c r="E71" s="22" t="inlineStr">
        <is>
          <t>单比特翻转</t>
        </is>
      </c>
      <c r="F71"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1" s="22" t="inlineStr">
        <is>
          <t>F0</t>
        </is>
      </c>
      <c r="H71" s="22" t="inlineStr">
        <is>
          <t>每次运行只注入 1 次；在 warm-up 后的 eligible event 中均匀抽样</t>
        </is>
      </c>
      <c r="I71" s="22" t="inlineStr">
        <is>
          <t>MiBench-TC23 论文负载（blowfish、patricia、fft、gsm、dijkstra、rijndael、sha、bitcount、edge、smooth）</t>
        </is>
      </c>
      <c r="J71" s="22" t="inlineStr">
        <is>
          <t>MiBench-TC23 论文负载（blowfish、patricia、fft、gsm、dijkstra、rijndael、sha、bitcount、edge、smooth）
执行定义与 oracle：blowfish、patricia、fft、gsm、dijkstra、rijndael、sha、bitcount、edge、smooth；最大输入集</t>
        </is>
      </c>
      <c r="K71" s="22" t="inlineStr">
        <is>
          <t>SQ中存在未提交store</t>
        </is>
      </c>
      <c r="L71" s="22" t="inlineStr">
        <is>
          <t>L0 项是否被读/转发/提交；L1 addr/data/mask/valid/age与影子SQ；L2 forwarding/replay/violation/SSIT-LFST；L3 cache写请求与ack；L4 commit及内存写日志；L5结局；区分forward传播与cache写出传播、数据bit位置</t>
        </is>
      </c>
      <c r="M71" s="22" t="inlineStr">
        <is>
          <t>可能在写回或forward时SDC；IISWC'15总体非掩蔽多低于3%</t>
        </is>
      </c>
      <c r="N71" s="22" t="inlineStr">
        <is>
          <t>复现IISWC/Harpocrates数据域注入并修正分母</t>
        </is>
      </c>
      <c r="O71" s="22" t="inlineStr">
        <is>
          <t>IISWC'15、Harpocrates++直接对照</t>
        </is>
      </c>
      <c r="P71" s="23" t="n"/>
      <c r="Q71" s="23" t="n"/>
      <c r="R71" s="23" t="n"/>
      <c r="S71" s="23" t="n"/>
      <c r="T71" s="23" t="n"/>
      <c r="U71" s="23" t="n"/>
      <c r="V71" s="23" t="n"/>
      <c r="W71" s="23" t="n"/>
      <c r="X71" s="35">
        <f>IF(OR(R71="",R71-AP71&lt;=0),"",AB71/(R71-AP71))</f>
        <v/>
      </c>
      <c r="Y71" s="35">
        <f>IF(OR(AR71="",AR71=0),"",R71/AR71)</f>
        <v/>
      </c>
      <c r="Z71" s="24" t="inlineStr">
        <is>
          <t>待执行</t>
        </is>
      </c>
      <c r="AA71" s="23" t="n"/>
      <c r="AB71" s="38" t="n"/>
      <c r="AC71" s="38" t="n"/>
      <c r="AD71" s="38" t="n"/>
      <c r="AE71" s="38" t="n"/>
      <c r="AF71" s="38" t="n"/>
      <c r="AG71" s="38" t="n"/>
      <c r="AH71" s="38" t="n"/>
      <c r="AI71" s="38" t="n"/>
      <c r="AJ71" s="38" t="n"/>
      <c r="AK71" s="39" t="n"/>
      <c r="AL71" s="40">
        <f>IF(OR(R71="",R71-AP71&lt;=0),"",AO71/(R71-AP71))</f>
        <v/>
      </c>
      <c r="AM71" s="41">
        <f>IF(R71="","",SUM(AC71:AF71)-(R71-AP71))</f>
        <v/>
      </c>
      <c r="AN71" s="41">
        <f>IF(R71="","",SUM(S71:W71)+AP71-R71)</f>
        <v/>
      </c>
      <c r="AO71" s="44" t="n"/>
      <c r="AP71" s="45" t="n"/>
      <c r="AQ71" s="47" t="inlineStr">
        <is>
          <t>S01-a SQ data低位单bit；S01-b SQ data中位单bit；S01-c SQ data高位单bit</t>
        </is>
      </c>
      <c r="AR71" s="23" t="n"/>
      <c r="AS71" s="35">
        <f>IF(OR(Q71="",Q71=0),"",AR71/Q71)</f>
        <v/>
      </c>
      <c r="AT71" s="62" t="n">
        <v>30</v>
      </c>
      <c r="AU71" s="62" t="n">
        <v>385</v>
      </c>
      <c r="AV71" s="62" t="inlineStr">
        <is>
          <t>常规</t>
        </is>
      </c>
      <c r="AW71" s="62" t="inlineStr">
        <is>
          <t>累计至少385，不机械扩展到2401</t>
        </is>
      </c>
    </row>
    <row r="72" ht="94.15000000000001" customHeight="1" s="58">
      <c r="A72" s="21" t="inlineStr">
        <is>
          <t>S01-F0-W5</t>
        </is>
      </c>
      <c r="B72" s="21" t="inlineStr">
        <is>
          <t>S01</t>
        </is>
      </c>
      <c r="C72" s="21" t="inlineStr">
        <is>
          <t>Store Queue</t>
        </is>
      </c>
      <c r="D72" s="22" t="inlineStr">
        <is>
          <t>Store Queue 有效表项中的 store data 数据域。store 在提交前把将写入内存的数据暂存在这里；后续可能直接转发给年轻 load，也可能在提交后写入 L1D。</t>
        </is>
      </c>
      <c r="E72" s="22" t="inlineStr">
        <is>
          <t>单比特翻转</t>
        </is>
      </c>
      <c r="F72"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2" s="22" t="inlineStr">
        <is>
          <t>F0</t>
        </is>
      </c>
      <c r="H72" s="22" t="inlineStr">
        <is>
          <t>每次运行只注入 1 次；在 warm-up 后的 eligible event 中均匀抽样</t>
        </is>
      </c>
      <c r="I72" s="22" t="inlineStr">
        <is>
          <t>SQ-Forward 转发探针（同地址/部分重叠 store-to-load forwarding、字节掩码、alias、replay）</t>
        </is>
      </c>
      <c r="J72" s="22" t="inlineStr">
        <is>
          <t>SQ-Forward 转发探针（同地址/部分重叠 store-to-load forwarding、字节掩码、alias、replay）
执行定义与 oracle：同地址与部分重叠 store-to-load forwarding、不同字节掩码、地址晚到/数据晚到、alias、replay</t>
        </is>
      </c>
      <c r="K72" s="22" t="inlineStr">
        <is>
          <t>SQ中存在未提交store</t>
        </is>
      </c>
      <c r="L72" s="22" t="inlineStr">
        <is>
          <t>L0 项是否被读/转发/提交；L1 addr/data/mask/valid/age与影子SQ；L2 forwarding/replay/violation/SSIT-LFST；L3 cache写请求与ack；L4 commit及内存写日志；L5结局；区分forward传播与cache写出传播、数据bit位置</t>
        </is>
      </c>
      <c r="M72" s="22" t="inlineStr">
        <is>
          <t>可能在写回或forward时SDC；IISWC'15总体非掩蔽多低于3%</t>
        </is>
      </c>
      <c r="N72" s="22" t="inlineStr">
        <is>
          <t>复现IISWC/Harpocrates数据域注入并修正分母</t>
        </is>
      </c>
      <c r="O72" s="22" t="inlineStr">
        <is>
          <t>IISWC'15、Harpocrates++直接对照</t>
        </is>
      </c>
      <c r="P72" s="23" t="n"/>
      <c r="Q72" s="23" t="n"/>
      <c r="R72" s="23" t="n"/>
      <c r="S72" s="23" t="n"/>
      <c r="T72" s="23" t="n"/>
      <c r="U72" s="23" t="n"/>
      <c r="V72" s="23" t="n"/>
      <c r="W72" s="23" t="n"/>
      <c r="X72" s="35">
        <f>IF(OR(R72="",R72-AP72&lt;=0),"",AB72/(R72-AP72))</f>
        <v/>
      </c>
      <c r="Y72" s="35">
        <f>IF(OR(AR72="",AR72=0),"",R72/AR72)</f>
        <v/>
      </c>
      <c r="Z72" s="24" t="inlineStr">
        <is>
          <t>待执行</t>
        </is>
      </c>
      <c r="AA72" s="23" t="n"/>
      <c r="AB72" s="38" t="n"/>
      <c r="AC72" s="38" t="n"/>
      <c r="AD72" s="38" t="n"/>
      <c r="AE72" s="38" t="n"/>
      <c r="AF72" s="38" t="n"/>
      <c r="AG72" s="38" t="n"/>
      <c r="AH72" s="38" t="n"/>
      <c r="AI72" s="38" t="n"/>
      <c r="AJ72" s="38" t="n"/>
      <c r="AK72" s="39" t="n"/>
      <c r="AL72" s="40">
        <f>IF(OR(R72="",R72-AP72&lt;=0),"",AO72/(R72-AP72))</f>
        <v/>
      </c>
      <c r="AM72" s="41">
        <f>IF(R72="","",SUM(AC72:AF72)-(R72-AP72))</f>
        <v/>
      </c>
      <c r="AN72" s="41">
        <f>IF(R72="","",SUM(S72:W72)+AP72-R72)</f>
        <v/>
      </c>
      <c r="AO72" s="44" t="n"/>
      <c r="AP72" s="45" t="n"/>
      <c r="AQ72" s="47" t="inlineStr">
        <is>
          <t>S01-a SQ data低位单bit；S01-b SQ data中位单bit；S01-c SQ data高位单bit</t>
        </is>
      </c>
      <c r="AR72" s="23" t="n"/>
      <c r="AS72" s="35">
        <f>IF(OR(Q72="",Q72=0),"",AR72/Q72)</f>
        <v/>
      </c>
      <c r="AT72" s="62" t="n">
        <v>30</v>
      </c>
      <c r="AU72" s="62" t="n">
        <v>385</v>
      </c>
      <c r="AV72" s="62" t="inlineStr">
        <is>
          <t>常规</t>
        </is>
      </c>
      <c r="AW72" s="62" t="inlineStr">
        <is>
          <t>累计至少385，不机械扩展到2401</t>
        </is>
      </c>
    </row>
    <row r="73" ht="94.15000000000001" customHeight="1" s="58">
      <c r="A73" s="21" t="inlineStr">
        <is>
          <t>S01-F1-W1</t>
        </is>
      </c>
      <c r="B73" s="21" t="inlineStr">
        <is>
          <t>S01</t>
        </is>
      </c>
      <c r="C73" s="21" t="inlineStr">
        <is>
          <t>Store Queue</t>
        </is>
      </c>
      <c r="D73" s="22" t="inlineStr">
        <is>
          <t>Store Queue 有效表项中的 store data 数据域。store 在提交前把将写入内存的数据暂存在这里；后续可能直接转发给年轻 load，也可能在提交后写入 L1D。</t>
        </is>
      </c>
      <c r="E73" s="22" t="inlineStr">
        <is>
          <t>单比特翻转</t>
        </is>
      </c>
      <c r="F73"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3" s="22" t="inlineStr">
        <is>
          <t>F1</t>
        </is>
      </c>
      <c r="H73" s="22" t="inlineStr">
        <is>
          <t>平均每 1,000,000 个 eligible events 注入 1 次，间隔加入 ±50% 抖动</t>
        </is>
      </c>
      <c r="I73" s="22" t="inlineStr">
        <is>
          <t>MiBench-TC23 论文负载（blowfish、patricia、fft、gsm、dijkstra、rijndael、sha、bitcount、edge、smooth）</t>
        </is>
      </c>
      <c r="J73" s="22" t="inlineStr">
        <is>
          <t>MiBench-TC23 论文负载（blowfish、patricia、fft、gsm、dijkstra、rijndael、sha、bitcount、edge、smooth）
执行定义与 oracle：blowfish、patricia、fft、gsm、dijkstra、rijndael、sha、bitcount、edge、smooth；最大输入集</t>
        </is>
      </c>
      <c r="K73" s="22" t="inlineStr">
        <is>
          <t>SQ中存在未提交store</t>
        </is>
      </c>
      <c r="L73" s="22" t="inlineStr">
        <is>
          <t>L0 项是否被读/转发/提交；L1 addr/data/mask/valid/age与影子SQ；L2 forwarding/replay/violation/SSIT-LFST；L3 cache写请求与ack；L4 commit及内存写日志；L5结局；区分forward传播与cache写出传播、数据bit位置</t>
        </is>
      </c>
      <c r="M73" s="22" t="inlineStr">
        <is>
          <t>可能在写回或forward时SDC；IISWC'15总体非掩蔽多低于3%</t>
        </is>
      </c>
      <c r="N73" s="22" t="inlineStr">
        <is>
          <t>复现IISWC/Harpocrates数据域注入并修正分母</t>
        </is>
      </c>
      <c r="O73" s="22" t="inlineStr">
        <is>
          <t>IISWC'15、Harpocrates++直接对照</t>
        </is>
      </c>
      <c r="P73" s="23" t="n"/>
      <c r="Q73" s="23" t="n"/>
      <c r="R73" s="23" t="n"/>
      <c r="S73" s="23" t="n"/>
      <c r="T73" s="23" t="n"/>
      <c r="U73" s="23" t="n"/>
      <c r="V73" s="23" t="n"/>
      <c r="W73" s="23" t="n"/>
      <c r="X73" s="35">
        <f>IF(OR(R73="",R73-AP73&lt;=0),"",AB73/(R73-AP73))</f>
        <v/>
      </c>
      <c r="Y73" s="35">
        <f>IF(OR(AR73="",AR73=0),"",R73/AR73)</f>
        <v/>
      </c>
      <c r="Z73" s="24" t="inlineStr">
        <is>
          <t>待执行</t>
        </is>
      </c>
      <c r="AA73" s="23" t="n"/>
      <c r="AB73" s="38" t="n"/>
      <c r="AC73" s="38" t="n"/>
      <c r="AD73" s="38" t="n"/>
      <c r="AE73" s="38" t="n"/>
      <c r="AF73" s="38" t="n"/>
      <c r="AG73" s="38" t="n"/>
      <c r="AH73" s="38" t="n"/>
      <c r="AI73" s="38" t="n"/>
      <c r="AJ73" s="38" t="n"/>
      <c r="AK73" s="39" t="n"/>
      <c r="AL73" s="40">
        <f>IF(OR(R73="",R73-AP73&lt;=0),"",AO73/(R73-AP73))</f>
        <v/>
      </c>
      <c r="AM73" s="41">
        <f>IF(R73="","",SUM(AC73:AF73)-(R73-AP73))</f>
        <v/>
      </c>
      <c r="AN73" s="41">
        <f>IF(R73="","",SUM(S73:W73)+AP73-R73)</f>
        <v/>
      </c>
      <c r="AO73" s="44" t="n"/>
      <c r="AP73" s="45" t="n"/>
      <c r="AQ73" s="47" t="inlineStr">
        <is>
          <t>S01-a SQ data低位单bit；S01-b SQ data中位单bit；S01-c SQ data高位单bit</t>
        </is>
      </c>
      <c r="AR73" s="23" t="n"/>
      <c r="AS73" s="35">
        <f>IF(OR(Q73="",Q73=0),"",AR73/Q73)</f>
        <v/>
      </c>
      <c r="AT73" s="62" t="n">
        <v>30</v>
      </c>
      <c r="AU73" s="62" t="n">
        <v>385</v>
      </c>
      <c r="AV73" s="62" t="inlineStr">
        <is>
          <t>常规</t>
        </is>
      </c>
      <c r="AW73" s="62" t="inlineStr">
        <is>
          <t>累计至少385，不机械扩展到2401</t>
        </is>
      </c>
    </row>
    <row r="74" ht="94.15000000000001" customHeight="1" s="58">
      <c r="A74" s="21" t="inlineStr">
        <is>
          <t>S01-F1-W5</t>
        </is>
      </c>
      <c r="B74" s="21" t="inlineStr">
        <is>
          <t>S01</t>
        </is>
      </c>
      <c r="C74" s="21" t="inlineStr">
        <is>
          <t>Store Queue</t>
        </is>
      </c>
      <c r="D74" s="22" t="inlineStr">
        <is>
          <t>Store Queue 有效表项中的 store data 数据域。store 在提交前把将写入内存的数据暂存在这里；后续可能直接转发给年轻 load，也可能在提交后写入 L1D。</t>
        </is>
      </c>
      <c r="E74" s="22" t="inlineStr">
        <is>
          <t>单比特翻转</t>
        </is>
      </c>
      <c r="F74"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4" s="22" t="inlineStr">
        <is>
          <t>F1</t>
        </is>
      </c>
      <c r="H74" s="22" t="inlineStr">
        <is>
          <t>平均每 1,000,000 个 eligible events 注入 1 次，间隔加入 ±50% 抖动</t>
        </is>
      </c>
      <c r="I74" s="22" t="inlineStr">
        <is>
          <t>SQ-Forward 转发探针（同地址/部分重叠 store-to-load forwarding、字节掩码、alias、replay）</t>
        </is>
      </c>
      <c r="J74" s="22" t="inlineStr">
        <is>
          <t>SQ-Forward 转发探针（同地址/部分重叠 store-to-load forwarding、字节掩码、alias、replay）
执行定义与 oracle：同地址与部分重叠 store-to-load forwarding、不同字节掩码、地址晚到/数据晚到、alias、replay</t>
        </is>
      </c>
      <c r="K74" s="22" t="inlineStr">
        <is>
          <t>SQ中存在未提交store</t>
        </is>
      </c>
      <c r="L74" s="22" t="inlineStr">
        <is>
          <t>L0 项是否被读/转发/提交；L1 addr/data/mask/valid/age与影子SQ；L2 forwarding/replay/violation/SSIT-LFST；L3 cache写请求与ack；L4 commit及内存写日志；L5结局；区分forward传播与cache写出传播、数据bit位置</t>
        </is>
      </c>
      <c r="M74" s="22" t="inlineStr">
        <is>
          <t>可能在写回或forward时SDC；IISWC'15总体非掩蔽多低于3%</t>
        </is>
      </c>
      <c r="N74" s="22" t="inlineStr">
        <is>
          <t>复现IISWC/Harpocrates数据域注入并修正分母</t>
        </is>
      </c>
      <c r="O74" s="22" t="inlineStr">
        <is>
          <t>IISWC'15、Harpocrates++直接对照</t>
        </is>
      </c>
      <c r="P74" s="23" t="n"/>
      <c r="Q74" s="23" t="n"/>
      <c r="R74" s="23" t="n"/>
      <c r="S74" s="23" t="n"/>
      <c r="T74" s="23" t="n"/>
      <c r="U74" s="23" t="n"/>
      <c r="V74" s="23" t="n"/>
      <c r="W74" s="23" t="n"/>
      <c r="X74" s="35">
        <f>IF(OR(R74="",R74-AP74&lt;=0),"",AB74/(R74-AP74))</f>
        <v/>
      </c>
      <c r="Y74" s="35">
        <f>IF(OR(AR74="",AR74=0),"",R74/AR74)</f>
        <v/>
      </c>
      <c r="Z74" s="24" t="inlineStr">
        <is>
          <t>待执行</t>
        </is>
      </c>
      <c r="AA74" s="23" t="n"/>
      <c r="AB74" s="38" t="n"/>
      <c r="AC74" s="38" t="n"/>
      <c r="AD74" s="38" t="n"/>
      <c r="AE74" s="38" t="n"/>
      <c r="AF74" s="38" t="n"/>
      <c r="AG74" s="38" t="n"/>
      <c r="AH74" s="38" t="n"/>
      <c r="AI74" s="38" t="n"/>
      <c r="AJ74" s="38" t="n"/>
      <c r="AK74" s="39" t="n"/>
      <c r="AL74" s="40">
        <f>IF(OR(R74="",R74-AP74&lt;=0),"",AO74/(R74-AP74))</f>
        <v/>
      </c>
      <c r="AM74" s="41">
        <f>IF(R74="","",SUM(AC74:AF74)-(R74-AP74))</f>
        <v/>
      </c>
      <c r="AN74" s="41">
        <f>IF(R74="","",SUM(S74:W74)+AP74-R74)</f>
        <v/>
      </c>
      <c r="AO74" s="44" t="n"/>
      <c r="AP74" s="45" t="n"/>
      <c r="AQ74" s="47" t="inlineStr">
        <is>
          <t>S01-a SQ data低位单bit；S01-b SQ data中位单bit；S01-c SQ data高位单bit</t>
        </is>
      </c>
      <c r="AR74" s="23" t="n"/>
      <c r="AS74" s="35">
        <f>IF(OR(Q74="",Q74=0),"",AR74/Q74)</f>
        <v/>
      </c>
      <c r="AT74" s="62" t="n">
        <v>30</v>
      </c>
      <c r="AU74" s="62" t="n">
        <v>385</v>
      </c>
      <c r="AV74" s="62" t="inlineStr">
        <is>
          <t>常规</t>
        </is>
      </c>
      <c r="AW74" s="62" t="inlineStr">
        <is>
          <t>累计至少385，不机械扩展到2401</t>
        </is>
      </c>
    </row>
    <row r="75" ht="94.15000000000001" customHeight="1" s="58">
      <c r="A75" s="21" t="inlineStr">
        <is>
          <t>S01-F2-W1</t>
        </is>
      </c>
      <c r="B75" s="21" t="inlineStr">
        <is>
          <t>S01</t>
        </is>
      </c>
      <c r="C75" s="21" t="inlineStr">
        <is>
          <t>Store Queue</t>
        </is>
      </c>
      <c r="D75" s="22" t="inlineStr">
        <is>
          <t>Store Queue 有效表项中的 store data 数据域。store 在提交前把将写入内存的数据暂存在这里；后续可能直接转发给年轻 load，也可能在提交后写入 L1D。</t>
        </is>
      </c>
      <c r="E75" s="22" t="inlineStr">
        <is>
          <t>单比特翻转</t>
        </is>
      </c>
      <c r="F75"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5" s="22" t="inlineStr">
        <is>
          <t>F2</t>
        </is>
      </c>
      <c r="H75" s="22" t="inlineStr">
        <is>
          <t>平均每 100,000 个 eligible events 注入 1 次，间隔加入 ±50% 抖动</t>
        </is>
      </c>
      <c r="I75" s="22" t="inlineStr">
        <is>
          <t>MiBench-TC23 论文负载（blowfish、patricia、fft、gsm、dijkstra、rijndael、sha、bitcount、edge、smooth）</t>
        </is>
      </c>
      <c r="J75" s="22" t="inlineStr">
        <is>
          <t>MiBench-TC23 论文负载（blowfish、patricia、fft、gsm、dijkstra、rijndael、sha、bitcount、edge、smooth）
执行定义与 oracle：blowfish、patricia、fft、gsm、dijkstra、rijndael、sha、bitcount、edge、smooth；最大输入集</t>
        </is>
      </c>
      <c r="K75" s="22" t="inlineStr">
        <is>
          <t>SQ中存在未提交store</t>
        </is>
      </c>
      <c r="L75" s="22" t="inlineStr">
        <is>
          <t>L0 项是否被读/转发/提交；L1 addr/data/mask/valid/age与影子SQ；L2 forwarding/replay/violation/SSIT-LFST；L3 cache写请求与ack；L4 commit及内存写日志；L5结局；区分forward传播与cache写出传播、数据bit位置</t>
        </is>
      </c>
      <c r="M75" s="22" t="inlineStr">
        <is>
          <t>可能在写回或forward时SDC；IISWC'15总体非掩蔽多低于3%</t>
        </is>
      </c>
      <c r="N75" s="22" t="inlineStr">
        <is>
          <t>复现IISWC/Harpocrates数据域注入并修正分母</t>
        </is>
      </c>
      <c r="O75" s="22" t="inlineStr">
        <is>
          <t>IISWC'15、Harpocrates++直接对照</t>
        </is>
      </c>
      <c r="P75" s="23" t="n"/>
      <c r="Q75" s="23" t="n"/>
      <c r="R75" s="23" t="n"/>
      <c r="S75" s="23" t="n"/>
      <c r="T75" s="23" t="n"/>
      <c r="U75" s="23" t="n"/>
      <c r="V75" s="23" t="n"/>
      <c r="W75" s="23" t="n"/>
      <c r="X75" s="35">
        <f>IF(OR(R75="",R75-AP75&lt;=0),"",AB75/(R75-AP75))</f>
        <v/>
      </c>
      <c r="Y75" s="35">
        <f>IF(OR(AR75="",AR75=0),"",R75/AR75)</f>
        <v/>
      </c>
      <c r="Z75" s="24" t="inlineStr">
        <is>
          <t>待执行</t>
        </is>
      </c>
      <c r="AA75" s="23" t="n"/>
      <c r="AB75" s="38" t="n"/>
      <c r="AC75" s="38" t="n"/>
      <c r="AD75" s="38" t="n"/>
      <c r="AE75" s="38" t="n"/>
      <c r="AF75" s="38" t="n"/>
      <c r="AG75" s="38" t="n"/>
      <c r="AH75" s="38" t="n"/>
      <c r="AI75" s="38" t="n"/>
      <c r="AJ75" s="38" t="n"/>
      <c r="AK75" s="39" t="n"/>
      <c r="AL75" s="40">
        <f>IF(OR(R75="",R75-AP75&lt;=0),"",AO75/(R75-AP75))</f>
        <v/>
      </c>
      <c r="AM75" s="41">
        <f>IF(R75="","",SUM(AC75:AF75)-(R75-AP75))</f>
        <v/>
      </c>
      <c r="AN75" s="41">
        <f>IF(R75="","",SUM(S75:W75)+AP75-R75)</f>
        <v/>
      </c>
      <c r="AO75" s="44" t="n"/>
      <c r="AP75" s="45" t="n"/>
      <c r="AQ75" s="47" t="inlineStr">
        <is>
          <t>S01-a SQ data低位单bit；S01-b SQ data中位单bit；S01-c SQ data高位单bit</t>
        </is>
      </c>
      <c r="AR75" s="23" t="n"/>
      <c r="AS75" s="35">
        <f>IF(OR(Q75="",Q75=0),"",AR75/Q75)</f>
        <v/>
      </c>
      <c r="AT75" s="62" t="n">
        <v>30</v>
      </c>
      <c r="AU75" s="62" t="n">
        <v>385</v>
      </c>
      <c r="AV75" s="62" t="inlineStr">
        <is>
          <t>常规</t>
        </is>
      </c>
      <c r="AW75" s="62" t="inlineStr">
        <is>
          <t>累计至少385，不机械扩展到2401</t>
        </is>
      </c>
    </row>
    <row r="76" ht="94.15000000000001" customHeight="1" s="58">
      <c r="A76" s="21" t="inlineStr">
        <is>
          <t>S01-F2-W5</t>
        </is>
      </c>
      <c r="B76" s="21" t="inlineStr">
        <is>
          <t>S01</t>
        </is>
      </c>
      <c r="C76" s="21" t="inlineStr">
        <is>
          <t>Store Queue</t>
        </is>
      </c>
      <c r="D76" s="22" t="inlineStr">
        <is>
          <t>Store Queue 有效表项中的 store data 数据域。store 在提交前把将写入内存的数据暂存在这里；后续可能直接转发给年轻 load，也可能在提交后写入 L1D。</t>
        </is>
      </c>
      <c r="E76" s="22" t="inlineStr">
        <is>
          <t>单比特翻转</t>
        </is>
      </c>
      <c r="F76"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6" s="22" t="inlineStr">
        <is>
          <t>F2</t>
        </is>
      </c>
      <c r="H76" s="22" t="inlineStr">
        <is>
          <t>平均每 100,000 个 eligible events 注入 1 次，间隔加入 ±50% 抖动</t>
        </is>
      </c>
      <c r="I76" s="22" t="inlineStr">
        <is>
          <t>SQ-Forward 转发探针（同地址/部分重叠 store-to-load forwarding、字节掩码、alias、replay）</t>
        </is>
      </c>
      <c r="J76" s="22" t="inlineStr">
        <is>
          <t>SQ-Forward 转发探针（同地址/部分重叠 store-to-load forwarding、字节掩码、alias、replay）
执行定义与 oracle：同地址与部分重叠 store-to-load forwarding、不同字节掩码、地址晚到/数据晚到、alias、replay</t>
        </is>
      </c>
      <c r="K76" s="22" t="inlineStr">
        <is>
          <t>SQ中存在未提交store</t>
        </is>
      </c>
      <c r="L76" s="22" t="inlineStr">
        <is>
          <t>L0 项是否被读/转发/提交；L1 addr/data/mask/valid/age与影子SQ；L2 forwarding/replay/violation/SSIT-LFST；L3 cache写请求与ack；L4 commit及内存写日志；L5结局；区分forward传播与cache写出传播、数据bit位置</t>
        </is>
      </c>
      <c r="M76" s="22" t="inlineStr">
        <is>
          <t>可能在写回或forward时SDC；IISWC'15总体非掩蔽多低于3%</t>
        </is>
      </c>
      <c r="N76" s="22" t="inlineStr">
        <is>
          <t>复现IISWC/Harpocrates数据域注入并修正分母</t>
        </is>
      </c>
      <c r="O76" s="22" t="inlineStr">
        <is>
          <t>IISWC'15、Harpocrates++直接对照</t>
        </is>
      </c>
      <c r="P76" s="23" t="n"/>
      <c r="Q76" s="23" t="n"/>
      <c r="R76" s="23" t="n"/>
      <c r="S76" s="23" t="n"/>
      <c r="T76" s="23" t="n"/>
      <c r="U76" s="23" t="n"/>
      <c r="V76" s="23" t="n"/>
      <c r="W76" s="23" t="n"/>
      <c r="X76" s="35">
        <f>IF(OR(R76="",R76-AP76&lt;=0),"",AB76/(R76-AP76))</f>
        <v/>
      </c>
      <c r="Y76" s="35">
        <f>IF(OR(AR76="",AR76=0),"",R76/AR76)</f>
        <v/>
      </c>
      <c r="Z76" s="24" t="inlineStr">
        <is>
          <t>待执行</t>
        </is>
      </c>
      <c r="AA76" s="23" t="n"/>
      <c r="AB76" s="38" t="n"/>
      <c r="AC76" s="38" t="n"/>
      <c r="AD76" s="38" t="n"/>
      <c r="AE76" s="38" t="n"/>
      <c r="AF76" s="38" t="n"/>
      <c r="AG76" s="38" t="n"/>
      <c r="AH76" s="38" t="n"/>
      <c r="AI76" s="38" t="n"/>
      <c r="AJ76" s="38" t="n"/>
      <c r="AK76" s="39" t="n"/>
      <c r="AL76" s="40">
        <f>IF(OR(R76="",R76-AP76&lt;=0),"",AO76/(R76-AP76))</f>
        <v/>
      </c>
      <c r="AM76" s="41">
        <f>IF(R76="","",SUM(AC76:AF76)-(R76-AP76))</f>
        <v/>
      </c>
      <c r="AN76" s="41">
        <f>IF(R76="","",SUM(S76:W76)+AP76-R76)</f>
        <v/>
      </c>
      <c r="AO76" s="44" t="n"/>
      <c r="AP76" s="45" t="n"/>
      <c r="AQ76" s="47" t="inlineStr">
        <is>
          <t>S01-a SQ data低位单bit；S01-b SQ data中位单bit；S01-c SQ data高位单bit</t>
        </is>
      </c>
      <c r="AR76" s="23" t="n"/>
      <c r="AS76" s="35">
        <f>IF(OR(Q76="",Q76=0),"",AR76/Q76)</f>
        <v/>
      </c>
      <c r="AT76" s="62" t="n">
        <v>30</v>
      </c>
      <c r="AU76" s="62" t="n">
        <v>385</v>
      </c>
      <c r="AV76" s="62" t="inlineStr">
        <is>
          <t>常规</t>
        </is>
      </c>
      <c r="AW76" s="62" t="inlineStr">
        <is>
          <t>累计至少385，不机械扩展到2401</t>
        </is>
      </c>
    </row>
    <row r="77" ht="94.15000000000001" customHeight="1" s="58">
      <c r="A77" s="21" t="inlineStr">
        <is>
          <t>S02-F0-W5</t>
        </is>
      </c>
      <c r="B77" s="21" t="inlineStr">
        <is>
          <t>S02</t>
        </is>
      </c>
      <c r="C77" s="21" t="inlineStr">
        <is>
          <t>Store Queue</t>
        </is>
      </c>
      <c r="D77" s="22" t="inlineStr">
        <is>
          <t>Store Queue 有效表项中的 store data 数据域，双比特同时位于同一条 store 的数据载荷内。该位置不包括地址、byte mask 或队列状态，因此能单独比较单比特和 MBU 的数据传播。</t>
        </is>
      </c>
      <c r="E77" s="22" t="inlineStr">
        <is>
          <t>双比特翻转</t>
        </is>
      </c>
      <c r="F77"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7" s="22" t="inlineStr">
        <is>
          <t>F0</t>
        </is>
      </c>
      <c r="H77" s="22" t="inlineStr">
        <is>
          <t>每次运行只注入 1 次；在 warm-up 后的 eligible event 中均匀抽样</t>
        </is>
      </c>
      <c r="I77" s="22" t="inlineStr">
        <is>
          <t>SQ-Forward 转发探针（同地址/部分重叠 store-to-load forwarding、字节掩码、alias、replay）</t>
        </is>
      </c>
      <c r="J77" s="22" t="inlineStr">
        <is>
          <t>SQ-Forward 转发探针（同地址/部分重叠 store-to-load forwarding、字节掩码、alias、replay）
执行定义与 oracle：同地址与部分重叠 store-to-load forwarding、不同字节掩码、地址晚到/数据晚到、alias、replay</t>
        </is>
      </c>
      <c r="K77" s="22" t="inlineStr">
        <is>
          <t>有效SQ数据项</t>
        </is>
      </c>
      <c r="L77" s="22" t="inlineStr">
        <is>
          <t>L0 项是否被读/转发/提交；L1 addr/data/mask/valid/age与影子SQ；L2 forwarding/replay/violation/SSIT-LFST；L3 cache写请求与ack；L4 commit及内存写日志；L5结局；bit距离、forward/writeback路径</t>
        </is>
      </c>
      <c r="M77" s="22" t="inlineStr">
        <is>
          <t>双比特翻转后通常仍是合法数据，SDC不一定低于单比特；需按比特距离和字节位置分层统计</t>
        </is>
      </c>
      <c r="N77" s="22" t="inlineStr">
        <is>
          <t>数据字段没有非法编码门槛，需与地址/状态字段对照</t>
        </is>
      </c>
      <c r="O77" s="22" t="inlineStr">
        <is>
          <t>CHAOS多bit规律性对照</t>
        </is>
      </c>
      <c r="P77" s="23" t="n"/>
      <c r="Q77" s="23" t="n"/>
      <c r="R77" s="23" t="n"/>
      <c r="S77" s="23" t="n"/>
      <c r="T77" s="23" t="n"/>
      <c r="U77" s="23" t="n"/>
      <c r="V77" s="23" t="n"/>
      <c r="W77" s="23" t="n"/>
      <c r="X77" s="35">
        <f>IF(OR(R77="",R77-AP77&lt;=0),"",AB77/(R77-AP77))</f>
        <v/>
      </c>
      <c r="Y77" s="35">
        <f>IF(OR(AR77="",AR77=0),"",R77/AR77)</f>
        <v/>
      </c>
      <c r="Z77" s="24" t="inlineStr">
        <is>
          <t>待执行</t>
        </is>
      </c>
      <c r="AA77" s="23" t="n"/>
      <c r="AB77" s="38" t="n"/>
      <c r="AC77" s="38" t="n"/>
      <c r="AD77" s="38" t="n"/>
      <c r="AE77" s="38" t="n"/>
      <c r="AF77" s="38" t="n"/>
      <c r="AG77" s="38" t="n"/>
      <c r="AH77" s="38" t="n"/>
      <c r="AI77" s="38" t="n"/>
      <c r="AJ77" s="38" t="n"/>
      <c r="AK77" s="39" t="n"/>
      <c r="AL77" s="40">
        <f>IF(OR(R77="",R77-AP77&lt;=0),"",AO77/(R77-AP77))</f>
        <v/>
      </c>
      <c r="AM77" s="41">
        <f>IF(R77="","",SUM(AC77:AF77)-(R77-AP77))</f>
        <v/>
      </c>
      <c r="AN77" s="41">
        <f>IF(R77="","",SUM(S77:W77)+AP77-R77)</f>
        <v/>
      </c>
      <c r="AO77" s="44" t="n"/>
      <c r="AP77" s="45" t="n"/>
      <c r="AQ77" s="47" t="inlineStr">
        <is>
          <t>S02-a 同一8B字相邻双bit；S02-b 同一8B字非相邻双bit</t>
        </is>
      </c>
      <c r="AR77" s="23" t="n"/>
      <c r="AS77" s="35">
        <f>IF(OR(Q77="",Q77=0),"",AR77/Q77)</f>
        <v/>
      </c>
      <c r="AT77" s="62" t="n">
        <v>30</v>
      </c>
      <c r="AU77" s="62" t="n">
        <v>385</v>
      </c>
      <c r="AV77" s="62" t="inlineStr">
        <is>
          <t>常规</t>
        </is>
      </c>
      <c r="AW77" s="62" t="inlineStr">
        <is>
          <t>累计至少385，不机械扩展到2401</t>
        </is>
      </c>
    </row>
    <row r="78" ht="94.15000000000001" customHeight="1" s="58">
      <c r="A78" s="21" t="inlineStr">
        <is>
          <t>S02-F0-W1</t>
        </is>
      </c>
      <c r="B78" s="21" t="inlineStr">
        <is>
          <t>S02</t>
        </is>
      </c>
      <c r="C78" s="21" t="inlineStr">
        <is>
          <t>Store Queue</t>
        </is>
      </c>
      <c r="D78" s="22" t="inlineStr">
        <is>
          <t>Store Queue 有效表项中的 store data 数据域，双比特同时位于同一条 store 的数据载荷内。该位置不包括地址、byte mask 或队列状态，因此能单独比较单比特和 MBU 的数据传播。</t>
        </is>
      </c>
      <c r="E78" s="22" t="inlineStr">
        <is>
          <t>双比特翻转</t>
        </is>
      </c>
      <c r="F78"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8" s="22" t="inlineStr">
        <is>
          <t>F0</t>
        </is>
      </c>
      <c r="H78" s="22" t="inlineStr">
        <is>
          <t>每次运行只注入 1 次；在 warm-up 后的 eligible event 中均匀抽样</t>
        </is>
      </c>
      <c r="I78" s="22" t="inlineStr">
        <is>
          <t>MiBench-TC23 论文负载（blowfish、patricia、fft、gsm、dijkstra、rijndael、sha、bitcount、edge、smooth）</t>
        </is>
      </c>
      <c r="J78" s="22" t="inlineStr">
        <is>
          <t>MiBench-TC23 论文负载（blowfish、patricia、fft、gsm、dijkstra、rijndael、sha、bitcount、edge、smooth）
执行定义与 oracle：blowfish、patricia、fft、gsm、dijkstra、rijndael、sha、bitcount、edge、smooth；最大输入集</t>
        </is>
      </c>
      <c r="K78" s="22" t="inlineStr">
        <is>
          <t>有效SQ数据项</t>
        </is>
      </c>
      <c r="L78" s="22" t="inlineStr">
        <is>
          <t>L0 项是否被读/转发/提交；L1 addr/data/mask/valid/age与影子SQ；L2 forwarding/replay/violation/SSIT-LFST；L3 cache写请求与ack；L4 commit及内存写日志；L5结局；bit距离、forward/writeback路径</t>
        </is>
      </c>
      <c r="M78" s="22" t="inlineStr">
        <is>
          <t>双比特翻转后通常仍是合法数据，SDC不一定低于单比特；需按比特距离和字节位置分层统计</t>
        </is>
      </c>
      <c r="N78" s="22" t="inlineStr">
        <is>
          <t>数据字段没有非法编码门槛，需与地址/状态字段对照</t>
        </is>
      </c>
      <c r="O78" s="22" t="inlineStr">
        <is>
          <t>CHAOS多bit规律性对照</t>
        </is>
      </c>
      <c r="P78" s="23" t="n"/>
      <c r="Q78" s="23" t="n"/>
      <c r="R78" s="23" t="n"/>
      <c r="S78" s="23" t="n"/>
      <c r="T78" s="23" t="n"/>
      <c r="U78" s="23" t="n"/>
      <c r="V78" s="23" t="n"/>
      <c r="W78" s="23" t="n"/>
      <c r="X78" s="35">
        <f>IF(OR(R78="",R78-AP78&lt;=0),"",AB78/(R78-AP78))</f>
        <v/>
      </c>
      <c r="Y78" s="35">
        <f>IF(OR(AR78="",AR78=0),"",R78/AR78)</f>
        <v/>
      </c>
      <c r="Z78" s="24" t="inlineStr">
        <is>
          <t>待执行</t>
        </is>
      </c>
      <c r="AA78" s="23" t="n"/>
      <c r="AB78" s="38" t="n"/>
      <c r="AC78" s="38" t="n"/>
      <c r="AD78" s="38" t="n"/>
      <c r="AE78" s="38" t="n"/>
      <c r="AF78" s="38" t="n"/>
      <c r="AG78" s="38" t="n"/>
      <c r="AH78" s="38" t="n"/>
      <c r="AI78" s="38" t="n"/>
      <c r="AJ78" s="38" t="n"/>
      <c r="AK78" s="39" t="n"/>
      <c r="AL78" s="40">
        <f>IF(OR(R78="",R78-AP78&lt;=0),"",AO78/(R78-AP78))</f>
        <v/>
      </c>
      <c r="AM78" s="41">
        <f>IF(R78="","",SUM(AC78:AF78)-(R78-AP78))</f>
        <v/>
      </c>
      <c r="AN78" s="41">
        <f>IF(R78="","",SUM(S78:W78)+AP78-R78)</f>
        <v/>
      </c>
      <c r="AO78" s="44" t="n"/>
      <c r="AP78" s="45" t="n"/>
      <c r="AQ78" s="47" t="inlineStr">
        <is>
          <t>S02-a 同一8B字相邻双bit；S02-b 同一8B字非相邻双bit</t>
        </is>
      </c>
      <c r="AR78" s="23" t="n"/>
      <c r="AS78" s="35">
        <f>IF(OR(Q78="",Q78=0),"",AR78/Q78)</f>
        <v/>
      </c>
      <c r="AT78" s="62" t="n">
        <v>30</v>
      </c>
      <c r="AU78" s="62" t="n">
        <v>385</v>
      </c>
      <c r="AV78" s="62" t="inlineStr">
        <is>
          <t>常规</t>
        </is>
      </c>
      <c r="AW78" s="62" t="inlineStr">
        <is>
          <t>累计至少385，不机械扩展到2401</t>
        </is>
      </c>
    </row>
    <row r="79" ht="94.15000000000001" customHeight="1" s="58">
      <c r="A79" s="21" t="inlineStr">
        <is>
          <t>S02-F2-W5</t>
        </is>
      </c>
      <c r="B79" s="21" t="inlineStr">
        <is>
          <t>S02</t>
        </is>
      </c>
      <c r="C79" s="21" t="inlineStr">
        <is>
          <t>Store Queue</t>
        </is>
      </c>
      <c r="D79" s="22" t="inlineStr">
        <is>
          <t>Store Queue 有效表项中的 store data 数据域，双比特同时位于同一条 store 的数据载荷内。该位置不包括地址、byte mask 或队列状态，因此能单独比较单比特和 MBU 的数据传播。</t>
        </is>
      </c>
      <c r="E79" s="22" t="inlineStr">
        <is>
          <t>双比特翻转</t>
        </is>
      </c>
      <c r="F79"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9" s="22" t="inlineStr">
        <is>
          <t>F2</t>
        </is>
      </c>
      <c r="H79" s="22" t="inlineStr">
        <is>
          <t>平均每 100,000 个 eligible events 注入 1 次，间隔加入 ±50% 抖动</t>
        </is>
      </c>
      <c r="I79" s="22" t="inlineStr">
        <is>
          <t>SQ-Forward 转发探针（同地址/部分重叠 store-to-load forwarding、字节掩码、alias、replay）</t>
        </is>
      </c>
      <c r="J79" s="22" t="inlineStr">
        <is>
          <t>SQ-Forward 转发探针（同地址/部分重叠 store-to-load forwarding、字节掩码、alias、replay）
执行定义与 oracle：同地址与部分重叠 store-to-load forwarding、不同字节掩码、地址晚到/数据晚到、alias、replay</t>
        </is>
      </c>
      <c r="K79" s="22" t="inlineStr">
        <is>
          <t>有效SQ数据项</t>
        </is>
      </c>
      <c r="L79" s="22" t="inlineStr">
        <is>
          <t>L0 项是否被读/转发/提交；L1 addr/data/mask/valid/age与影子SQ；L2 forwarding/replay/violation/SSIT-LFST；L3 cache写请求与ack；L4 commit及内存写日志；L5结局；bit距离、forward/writeback路径</t>
        </is>
      </c>
      <c r="M79" s="22" t="inlineStr">
        <is>
          <t>双比特翻转后通常仍是合法数据，SDC不一定低于单比特；需按比特距离和字节位置分层统计</t>
        </is>
      </c>
      <c r="N79" s="22" t="inlineStr">
        <is>
          <t>数据字段没有非法编码门槛，需与地址/状态字段对照</t>
        </is>
      </c>
      <c r="O79" s="22" t="inlineStr">
        <is>
          <t>CHAOS多bit规律性对照</t>
        </is>
      </c>
      <c r="P79" s="23" t="n"/>
      <c r="Q79" s="23" t="n"/>
      <c r="R79" s="23" t="n"/>
      <c r="S79" s="23" t="n"/>
      <c r="T79" s="23" t="n"/>
      <c r="U79" s="23" t="n"/>
      <c r="V79" s="23" t="n"/>
      <c r="W79" s="23" t="n"/>
      <c r="X79" s="35">
        <f>IF(OR(R79="",R79-AP79&lt;=0),"",AB79/(R79-AP79))</f>
        <v/>
      </c>
      <c r="Y79" s="35">
        <f>IF(OR(AR79="",AR79=0),"",R79/AR79)</f>
        <v/>
      </c>
      <c r="Z79" s="24" t="inlineStr">
        <is>
          <t>待执行</t>
        </is>
      </c>
      <c r="AA79" s="23" t="n"/>
      <c r="AB79" s="38" t="n"/>
      <c r="AC79" s="38" t="n"/>
      <c r="AD79" s="38" t="n"/>
      <c r="AE79" s="38" t="n"/>
      <c r="AF79" s="38" t="n"/>
      <c r="AG79" s="38" t="n"/>
      <c r="AH79" s="38" t="n"/>
      <c r="AI79" s="38" t="n"/>
      <c r="AJ79" s="38" t="n"/>
      <c r="AK79" s="39" t="n"/>
      <c r="AL79" s="40">
        <f>IF(OR(R79="",R79-AP79&lt;=0),"",AO79/(R79-AP79))</f>
        <v/>
      </c>
      <c r="AM79" s="41">
        <f>IF(R79="","",SUM(AC79:AF79)-(R79-AP79))</f>
        <v/>
      </c>
      <c r="AN79" s="41">
        <f>IF(R79="","",SUM(S79:W79)+AP79-R79)</f>
        <v/>
      </c>
      <c r="AO79" s="44" t="n"/>
      <c r="AP79" s="45" t="n"/>
      <c r="AQ79" s="47" t="inlineStr">
        <is>
          <t>S02-a 同一8B字相邻双bit；S02-b 同一8B字非相邻双bit</t>
        </is>
      </c>
      <c r="AR79" s="23" t="n"/>
      <c r="AS79" s="35">
        <f>IF(OR(Q79="",Q79=0),"",AR79/Q79)</f>
        <v/>
      </c>
      <c r="AT79" s="62" t="n">
        <v>30</v>
      </c>
      <c r="AU79" s="62" t="n">
        <v>385</v>
      </c>
      <c r="AV79" s="62" t="inlineStr">
        <is>
          <t>常规</t>
        </is>
      </c>
      <c r="AW79" s="62" t="inlineStr">
        <is>
          <t>累计至少385，不机械扩展到2401</t>
        </is>
      </c>
    </row>
    <row r="80" ht="94.15000000000001" customHeight="1" s="58">
      <c r="A80" s="21" t="inlineStr">
        <is>
          <t>S02-F2-W1</t>
        </is>
      </c>
      <c r="B80" s="21" t="inlineStr">
        <is>
          <t>S02</t>
        </is>
      </c>
      <c r="C80" s="21" t="inlineStr">
        <is>
          <t>Store Queue</t>
        </is>
      </c>
      <c r="D80" s="22" t="inlineStr">
        <is>
          <t>Store Queue 有效表项中的 store data 数据域，双比特同时位于同一条 store 的数据载荷内。该位置不包括地址、byte mask 或队列状态，因此能单独比较单比特和 MBU 的数据传播。</t>
        </is>
      </c>
      <c r="E80" s="22" t="inlineStr">
        <is>
          <t>双比特翻转</t>
        </is>
      </c>
      <c r="F80"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80" s="22" t="inlineStr">
        <is>
          <t>F2</t>
        </is>
      </c>
      <c r="H80" s="22" t="inlineStr">
        <is>
          <t>平均每 100,000 个 eligible events 注入 1 次，间隔加入 ±50% 抖动</t>
        </is>
      </c>
      <c r="I80" s="22" t="inlineStr">
        <is>
          <t>MiBench-TC23 论文负载（blowfish、patricia、fft、gsm、dijkstra、rijndael、sha、bitcount、edge、smooth）</t>
        </is>
      </c>
      <c r="J80" s="22" t="inlineStr">
        <is>
          <t>MiBench-TC23 论文负载（blowfish、patricia、fft、gsm、dijkstra、rijndael、sha、bitcount、edge、smooth）
执行定义与 oracle：blowfish、patricia、fft、gsm、dijkstra、rijndael、sha、bitcount、edge、smooth；最大输入集</t>
        </is>
      </c>
      <c r="K80" s="22" t="inlineStr">
        <is>
          <t>有效SQ数据项</t>
        </is>
      </c>
      <c r="L80" s="22" t="inlineStr">
        <is>
          <t>L0 项是否被读/转发/提交；L1 addr/data/mask/valid/age与影子SQ；L2 forwarding/replay/violation/SSIT-LFST；L3 cache写请求与ack；L4 commit及内存写日志；L5结局；bit距离、forward/writeback路径</t>
        </is>
      </c>
      <c r="M80" s="22" t="inlineStr">
        <is>
          <t>双比特翻转后通常仍是合法数据，SDC不一定低于单比特；需按比特距离和字节位置分层统计</t>
        </is>
      </c>
      <c r="N80" s="22" t="inlineStr">
        <is>
          <t>数据字段没有非法编码门槛，需与地址/状态字段对照</t>
        </is>
      </c>
      <c r="O80" s="22" t="inlineStr">
        <is>
          <t>CHAOS多bit规律性对照</t>
        </is>
      </c>
      <c r="P80" s="23" t="n"/>
      <c r="Q80" s="23" t="n"/>
      <c r="R80" s="23" t="n"/>
      <c r="S80" s="23" t="n"/>
      <c r="T80" s="23" t="n"/>
      <c r="U80" s="23" t="n"/>
      <c r="V80" s="23" t="n"/>
      <c r="W80" s="23" t="n"/>
      <c r="X80" s="35">
        <f>IF(OR(R80="",R80-AP80&lt;=0),"",AB80/(R80-AP80))</f>
        <v/>
      </c>
      <c r="Y80" s="35">
        <f>IF(OR(AR80="",AR80=0),"",R80/AR80)</f>
        <v/>
      </c>
      <c r="Z80" s="24" t="inlineStr">
        <is>
          <t>待执行</t>
        </is>
      </c>
      <c r="AA80" s="23" t="n"/>
      <c r="AB80" s="38" t="n"/>
      <c r="AC80" s="38" t="n"/>
      <c r="AD80" s="38" t="n"/>
      <c r="AE80" s="38" t="n"/>
      <c r="AF80" s="38" t="n"/>
      <c r="AG80" s="38" t="n"/>
      <c r="AH80" s="38" t="n"/>
      <c r="AI80" s="38" t="n"/>
      <c r="AJ80" s="38" t="n"/>
      <c r="AK80" s="39" t="n"/>
      <c r="AL80" s="40">
        <f>IF(OR(R80="",R80-AP80&lt;=0),"",AO80/(R80-AP80))</f>
        <v/>
      </c>
      <c r="AM80" s="41">
        <f>IF(R80="","",SUM(AC80:AF80)-(R80-AP80))</f>
        <v/>
      </c>
      <c r="AN80" s="41">
        <f>IF(R80="","",SUM(S80:W80)+AP80-R80)</f>
        <v/>
      </c>
      <c r="AO80" s="44" t="n"/>
      <c r="AP80" s="45" t="n"/>
      <c r="AQ80" s="47" t="inlineStr">
        <is>
          <t>S02-a 同一8B字相邻双bit；S02-b 同一8B字非相邻双bit</t>
        </is>
      </c>
      <c r="AR80" s="23" t="n"/>
      <c r="AS80" s="35">
        <f>IF(OR(Q80="",Q80=0),"",AR80/Q80)</f>
        <v/>
      </c>
      <c r="AT80" s="62" t="n">
        <v>30</v>
      </c>
      <c r="AU80" s="62" t="n">
        <v>385</v>
      </c>
      <c r="AV80" s="62" t="inlineStr">
        <is>
          <t>常规</t>
        </is>
      </c>
      <c r="AW80" s="62" t="inlineStr">
        <is>
          <t>累计至少385，不机械扩展到2401</t>
        </is>
      </c>
    </row>
    <row r="81" ht="94.15000000000001" customHeight="1" s="58">
      <c r="A81" s="21" t="inlineStr">
        <is>
          <t>S03-F5-W5</t>
        </is>
      </c>
      <c r="B81" s="21" t="inlineStr">
        <is>
          <t>S03</t>
        </is>
      </c>
      <c r="C81" s="21" t="inlineStr">
        <is>
          <t>Store Queue</t>
        </is>
      </c>
      <c r="D81" s="22" t="inlineStr">
        <is>
          <t>Store Queue 数据阵列的某个物理 bit/byte lane 或统一读写通路。byte lane 是并行承载一个字节的通路；卡死后，所有经过目标 lane 的 store 都会出现相同掩码损坏。</t>
        </is>
      </c>
      <c r="E81" s="22" t="inlineStr">
        <is>
          <t>卡死</t>
        </is>
      </c>
      <c r="F81" s="22"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G81" s="22" t="inlineStr">
        <is>
          <t>F5</t>
        </is>
      </c>
      <c r="H81" s="22" t="inlineStr">
        <is>
          <t>warm-up 后第一个 eligible event 起持续到运行结束；每次运行仅选一个 bit/字段</t>
        </is>
      </c>
      <c r="I81" s="22" t="inlineStr">
        <is>
          <t>SQ-Forward 转发探针（同地址/部分重叠 store-to-load forwarding、字节掩码、alias、replay）</t>
        </is>
      </c>
      <c r="J81" s="22" t="inlineStr">
        <is>
          <t>SQ-Forward 转发探针（同地址/部分重叠 store-to-load forwarding、字节掩码、alias、replay）
执行定义与 oracle：同地址与部分重叠 store-to-load forwarding、不同字节掩码、地址晚到/数据晚到、alias、replay</t>
        </is>
      </c>
      <c r="K81" s="22" t="inlineStr">
        <is>
          <t>首个store后持续</t>
        </is>
      </c>
      <c r="L81" s="22" t="inlineStr">
        <is>
          <t>L0 项是否被读/转发/提交；L1 addr/data/mask/valid/age与影子SQ；L2 forwarding/replay/violation/SSIT-LFST；L3 cache写请求与ack；L4 commit及内存写日志；L5结局；按store宽度统计激活、错误模式是否恒定</t>
        </is>
      </c>
      <c r="M81" s="22" t="inlineStr">
        <is>
          <t>稳定数据偏置，数值/校验和负载高SDC；未使用lane可掩蔽</t>
        </is>
      </c>
      <c r="N81" s="22" t="inlineStr">
        <is>
          <t>永久门/写线故障模型</t>
        </is>
      </c>
      <c r="O81" s="22" t="inlineStr">
        <is>
          <t>HPCA'24永久缓存故障仅作类型参考</t>
        </is>
      </c>
      <c r="P81" s="23" t="n"/>
      <c r="Q81" s="23" t="n"/>
      <c r="R81" s="23" t="n"/>
      <c r="S81" s="23" t="n"/>
      <c r="T81" s="23" t="n"/>
      <c r="U81" s="23" t="n"/>
      <c r="V81" s="23" t="n"/>
      <c r="W81" s="23" t="n"/>
      <c r="X81" s="35">
        <f>IF(OR(R81="",R81-AP81&lt;=0),"",AB81/(R81-AP81))</f>
        <v/>
      </c>
      <c r="Y81" s="35">
        <f>IF(OR(AR81="",AR81=0),"",R81/AR81)</f>
        <v/>
      </c>
      <c r="Z81" s="24" t="inlineStr">
        <is>
          <t>待执行</t>
        </is>
      </c>
      <c r="AA81" s="23" t="n"/>
      <c r="AB81" s="38" t="n"/>
      <c r="AC81" s="38" t="n"/>
      <c r="AD81" s="38" t="n"/>
      <c r="AE81" s="38" t="n"/>
      <c r="AF81" s="38" t="n"/>
      <c r="AG81" s="38" t="n"/>
      <c r="AH81" s="38" t="n"/>
      <c r="AI81" s="38" t="n"/>
      <c r="AJ81" s="38" t="n"/>
      <c r="AK81" s="39" t="n"/>
      <c r="AL81" s="40">
        <f>IF(OR(R81="",R81-AP81&lt;=0),"",AO81/(R81-AP81))</f>
        <v/>
      </c>
      <c r="AM81" s="41">
        <f>IF(R81="","",SUM(AC81:AF81)-(R81-AP81))</f>
        <v/>
      </c>
      <c r="AN81" s="41">
        <f>IF(R81="","",SUM(S81:W81)+AP81-R81)</f>
        <v/>
      </c>
      <c r="AO81" s="44" t="n"/>
      <c r="AP81" s="45" t="n"/>
      <c r="AQ81" s="47" t="inlineStr">
        <is>
          <t>S03-a data bit stuck-at-0；S03-b data bit stuck-at-1；S03-c byte lane stuck</t>
        </is>
      </c>
      <c r="AR81" s="23" t="n"/>
      <c r="AS81" s="35">
        <f>IF(OR(Q81="",Q81=0),"",AR81/Q81)</f>
        <v/>
      </c>
      <c r="AT81" s="62" t="n">
        <v>30</v>
      </c>
      <c r="AU81" s="62" t="n">
        <v>385</v>
      </c>
      <c r="AV81" s="62" t="inlineStr">
        <is>
          <t>常规</t>
        </is>
      </c>
      <c r="AW81" s="62" t="inlineStr">
        <is>
          <t>累计至少385，不机械扩展到2401</t>
        </is>
      </c>
    </row>
    <row r="82" ht="94.15000000000001" customHeight="1" s="58">
      <c r="A82" s="21" t="inlineStr">
        <is>
          <t>S03-F5-W10</t>
        </is>
      </c>
      <c r="B82" s="21" t="inlineStr">
        <is>
          <t>S03</t>
        </is>
      </c>
      <c r="C82" s="21" t="inlineStr">
        <is>
          <t>Store Queue</t>
        </is>
      </c>
      <c r="D82" s="22" t="inlineStr">
        <is>
          <t>Store Queue 数据阵列的某个物理 bit/byte lane 或统一读写通路。byte lane 是并行承载一个字节的通路；卡死后，所有经过目标 lane 的 store 都会出现相同掩码损坏。</t>
        </is>
      </c>
      <c r="E82" s="22" t="inlineStr">
        <is>
          <t>卡死</t>
        </is>
      </c>
      <c r="F82" s="22"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G82" s="22" t="inlineStr">
        <is>
          <t>F5</t>
        </is>
      </c>
      <c r="H82" s="22" t="inlineStr">
        <is>
          <t>warm-up 后第一个 eligible event 起持续到运行结束；每次运行仅选一个 bit/字段</t>
        </is>
      </c>
      <c r="I82" s="22" t="inlineStr">
        <is>
          <t>STREAM+PointerChase（Copy、Scale、Add、Triad 与随机指针链）</t>
        </is>
      </c>
      <c r="J82" s="22" t="inlineStr">
        <is>
          <t>STREAM+PointerChase（Copy、Scale、Add、Triad 与随机指针链）
执行定义与 oracle：STREAM Copy/Scale/Add/Triad 加随机 pointer chase；检查数组 hash 与遍历节点数</t>
        </is>
      </c>
      <c r="K82" s="22" t="inlineStr">
        <is>
          <t>首个store后持续</t>
        </is>
      </c>
      <c r="L82" s="22" t="inlineStr">
        <is>
          <t>L0 项是否被读/转发/提交；L1 addr/data/mask/valid/age与影子SQ；L2 forwarding/replay/violation/SSIT-LFST；L3 cache写请求与ack；L4 commit及内存写日志；L5结局；按store宽度统计激活、错误模式是否恒定</t>
        </is>
      </c>
      <c r="M82" s="22" t="inlineStr">
        <is>
          <t>稳定数据偏置，数值/校验和负载高SDC；未使用lane可掩蔽</t>
        </is>
      </c>
      <c r="N82" s="22" t="inlineStr">
        <is>
          <t>永久门/写线故障模型</t>
        </is>
      </c>
      <c r="O82" s="22" t="inlineStr">
        <is>
          <t>HPCA'24永久缓存故障仅作类型参考</t>
        </is>
      </c>
      <c r="P82" s="23" t="n"/>
      <c r="Q82" s="23" t="n"/>
      <c r="R82" s="23" t="n"/>
      <c r="S82" s="23" t="n"/>
      <c r="T82" s="23" t="n"/>
      <c r="U82" s="23" t="n"/>
      <c r="V82" s="23" t="n"/>
      <c r="W82" s="23" t="n"/>
      <c r="X82" s="35">
        <f>IF(OR(R82="",R82-AP82&lt;=0),"",AB82/(R82-AP82))</f>
        <v/>
      </c>
      <c r="Y82" s="35">
        <f>IF(OR(AR82="",AR82=0),"",R82/AR82)</f>
        <v/>
      </c>
      <c r="Z82" s="24" t="inlineStr">
        <is>
          <t>待执行</t>
        </is>
      </c>
      <c r="AA82" s="23" t="n"/>
      <c r="AB82" s="38" t="n"/>
      <c r="AC82" s="38" t="n"/>
      <c r="AD82" s="38" t="n"/>
      <c r="AE82" s="38" t="n"/>
      <c r="AF82" s="38" t="n"/>
      <c r="AG82" s="38" t="n"/>
      <c r="AH82" s="38" t="n"/>
      <c r="AI82" s="38" t="n"/>
      <c r="AJ82" s="38" t="n"/>
      <c r="AK82" s="39" t="n"/>
      <c r="AL82" s="40">
        <f>IF(OR(R82="",R82-AP82&lt;=0),"",AO82/(R82-AP82))</f>
        <v/>
      </c>
      <c r="AM82" s="41">
        <f>IF(R82="","",SUM(AC82:AF82)-(R82-AP82))</f>
        <v/>
      </c>
      <c r="AN82" s="41">
        <f>IF(R82="","",SUM(S82:W82)+AP82-R82)</f>
        <v/>
      </c>
      <c r="AO82" s="44" t="n"/>
      <c r="AP82" s="45" t="n"/>
      <c r="AQ82" s="47" t="inlineStr">
        <is>
          <t>S03-a data bit stuck-at-0；S03-b data bit stuck-at-1；S03-c byte lane stuck</t>
        </is>
      </c>
      <c r="AR82" s="23" t="n"/>
      <c r="AS82" s="35">
        <f>IF(OR(Q82="",Q82=0),"",AR82/Q82)</f>
        <v/>
      </c>
      <c r="AT82" s="62" t="n">
        <v>30</v>
      </c>
      <c r="AU82" s="62" t="n">
        <v>385</v>
      </c>
      <c r="AV82" s="62" t="inlineStr">
        <is>
          <t>常规</t>
        </is>
      </c>
      <c r="AW82" s="62" t="inlineStr">
        <is>
          <t>累计至少385，不机械扩展到2401</t>
        </is>
      </c>
    </row>
    <row r="83" ht="94.15000000000001" customHeight="1" s="58">
      <c r="A83" s="21" t="inlineStr">
        <is>
          <t>S04-F0-W5</t>
        </is>
      </c>
      <c r="B83" s="21" t="inlineStr">
        <is>
          <t>S04</t>
        </is>
      </c>
      <c r="C83" s="21" t="inlineStr">
        <is>
          <t>Store Queue</t>
        </is>
      </c>
      <c r="D83" s="22" t="inlineStr">
        <is>
          <t>Store Queue 表项中的 store address 字段。它保存该 store 最终要写入的地址，同时参与与年轻 load 的地址比较；地址字段错误既会改变内存落点，也可能改变 store-to-load forwarding 判断。</t>
        </is>
      </c>
      <c r="E83" s="22" t="inlineStr">
        <is>
          <t>换值</t>
        </is>
      </c>
      <c r="F83"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3" s="22" t="inlineStr">
        <is>
          <t>F0</t>
        </is>
      </c>
      <c r="H83" s="22" t="inlineStr">
        <is>
          <t>每次运行只注入 1 次；在 warm-up 后的 eligible event 中均匀抽样</t>
        </is>
      </c>
      <c r="I83" s="22" t="inlineStr">
        <is>
          <t>SQ-Forward 转发探针（同地址/部分重叠 store-to-load forwarding、字节掩码、alias、replay）</t>
        </is>
      </c>
      <c r="J83" s="22" t="inlineStr">
        <is>
          <t>SQ-Forward 转发探针（同地址/部分重叠 store-to-load forwarding、字节掩码、alias、replay）
执行定义与 oracle：同地址与部分重叠 store-to-load forwarding、不同字节掩码、地址晚到/数据晚到、alias、replay</t>
        </is>
      </c>
      <c r="K83" s="22" t="inlineStr">
        <is>
          <t>store提交前地址已知</t>
        </is>
      </c>
      <c r="L83" s="22" t="inlineStr">
        <is>
          <t>L0 项是否被读/转发/提交；L1 addr/data/mask/valid/age与影子SQ；L2 forwarding/replay/violation/SSIT-LFST；L3 cache写请求与ack；L4 commit及内存写日志；L5结局；影子SQ地址、内存写日志、受害对象canary</t>
        </is>
      </c>
      <c r="M83" s="22" t="inlineStr">
        <is>
          <t>绕开地址异常后预期SDC高；还可能破坏后续load forwarding</t>
        </is>
      </c>
      <c r="N83" s="22" t="inlineStr">
        <is>
          <t>TC'23随机LQ/SQ翻转SDC=0可能受依赖检查影响，本模型测试合法状态边界</t>
        </is>
      </c>
      <c r="O83" s="22" t="inlineStr">
        <is>
          <t>TC'23为随机翻转基线</t>
        </is>
      </c>
      <c r="P83" s="23" t="n"/>
      <c r="Q83" s="23" t="n"/>
      <c r="R83" s="23" t="n"/>
      <c r="S83" s="23" t="n"/>
      <c r="T83" s="23" t="n"/>
      <c r="U83" s="23" t="n"/>
      <c r="V83" s="23" t="n"/>
      <c r="W83" s="23" t="n"/>
      <c r="X83" s="35">
        <f>IF(OR(R83="",R83-AP83&lt;=0),"",AB83/(R83-AP83))</f>
        <v/>
      </c>
      <c r="Y83" s="35">
        <f>IF(OR(AR83="",AR83=0),"",R83/AR83)</f>
        <v/>
      </c>
      <c r="Z83" s="24" t="inlineStr">
        <is>
          <t>待执行</t>
        </is>
      </c>
      <c r="AA83" s="23" t="n"/>
      <c r="AB83" s="38" t="n"/>
      <c r="AC83" s="38" t="n"/>
      <c r="AD83" s="38" t="n"/>
      <c r="AE83" s="38" t="n"/>
      <c r="AF83" s="38" t="n"/>
      <c r="AG83" s="38" t="n"/>
      <c r="AH83" s="38" t="n"/>
      <c r="AI83" s="38" t="n"/>
      <c r="AJ83" s="38" t="n"/>
      <c r="AK83" s="39" t="n"/>
      <c r="AL83" s="40">
        <f>IF(OR(R83="",R83-AP83&lt;=0),"",AO83/(R83-AP83))</f>
        <v/>
      </c>
      <c r="AM83" s="41">
        <f>IF(R83="","",SUM(AC83:AF83)-(R83-AP83))</f>
        <v/>
      </c>
      <c r="AN83" s="41">
        <f>IF(R83="","",SUM(S83:W83)+AP83-R83)</f>
        <v/>
      </c>
      <c r="AO83" s="44" t="n"/>
      <c r="AP83" s="45" t="n"/>
      <c r="AQ83" s="47" t="inlineStr">
        <is>
          <t>S04-a SQ地址替换为另一合法地址</t>
        </is>
      </c>
      <c r="AR83" s="23" t="n"/>
      <c r="AS83" s="35">
        <f>IF(OR(Q83="",Q83=0),"",AR83/Q83)</f>
        <v/>
      </c>
      <c r="AT83" s="62" t="n">
        <v>30</v>
      </c>
      <c r="AU83" s="62" t="n">
        <v>2401</v>
      </c>
      <c r="AV83" s="62" t="inlineStr">
        <is>
          <t>重点（预登记21项）</t>
        </is>
      </c>
      <c r="AW83" s="62" t="inlineStr">
        <is>
          <t>累计到2401（含前385）</t>
        </is>
      </c>
    </row>
    <row r="84" ht="94.15000000000001" customHeight="1" s="58">
      <c r="A84" s="21" t="inlineStr">
        <is>
          <t>S04-F0-W0</t>
        </is>
      </c>
      <c r="B84" s="21" t="inlineStr">
        <is>
          <t>S04</t>
        </is>
      </c>
      <c r="C84" s="21" t="inlineStr">
        <is>
          <t>Store Queue</t>
        </is>
      </c>
      <c r="D84" s="22" t="inlineStr">
        <is>
          <t>Store Queue 表项中的 store address 字段。它保存该 store 最终要写入的地址，同时参与与年轻 load 的地址比较；地址字段错误既会改变内存落点，也可能改变 store-to-load forwarding 判断。</t>
        </is>
      </c>
      <c r="E84" s="22" t="inlineStr">
        <is>
          <t>换值</t>
        </is>
      </c>
      <c r="F84"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4" s="22" t="inlineStr">
        <is>
          <t>F0</t>
        </is>
      </c>
      <c r="H84" s="22" t="inlineStr">
        <is>
          <t>每次运行只注入 1 次；在 warm-up 后的 eligible event 中均匀抽样</t>
        </is>
      </c>
      <c r="I84" s="22" t="inlineStr">
        <is>
          <t>MiniCheck 最小正确性探针（数组校验和、guard page、指针链、load/store round-trip）</t>
        </is>
      </c>
      <c r="J84" s="22" t="inlineStr">
        <is>
          <t>MiniCheck 最小正确性探针（数组校验和、guard page、指针链、load/store round-trip）
执行定义与 oracle：短数组校验和、guard page、指针链、load/store round-trip；每次运行产生确定 golden output</t>
        </is>
      </c>
      <c r="K84" s="22" t="inlineStr">
        <is>
          <t>store提交前地址已知</t>
        </is>
      </c>
      <c r="L84" s="22" t="inlineStr">
        <is>
          <t>L0 项是否被读/转发/提交；L1 addr/data/mask/valid/age与影子SQ；L2 forwarding/replay/violation/SSIT-LFST；L3 cache写请求与ack；L4 commit及内存写日志；L5结局；影子SQ地址、内存写日志、受害对象canary</t>
        </is>
      </c>
      <c r="M84" s="22" t="inlineStr">
        <is>
          <t>绕开地址异常后预期SDC高；还可能破坏后续load forwarding</t>
        </is>
      </c>
      <c r="N84" s="22" t="inlineStr">
        <is>
          <t>TC'23随机LQ/SQ翻转SDC=0可能受依赖检查影响，本模型测试合法状态边界</t>
        </is>
      </c>
      <c r="O84" s="22" t="inlineStr">
        <is>
          <t>TC'23为随机翻转基线</t>
        </is>
      </c>
      <c r="P84" s="23" t="n"/>
      <c r="Q84" s="23" t="n"/>
      <c r="R84" s="23" t="n"/>
      <c r="S84" s="23" t="n"/>
      <c r="T84" s="23" t="n"/>
      <c r="U84" s="23" t="n"/>
      <c r="V84" s="23" t="n"/>
      <c r="W84" s="23" t="n"/>
      <c r="X84" s="35">
        <f>IF(OR(R84="",R84-AP84&lt;=0),"",AB84/(R84-AP84))</f>
        <v/>
      </c>
      <c r="Y84" s="35">
        <f>IF(OR(AR84="",AR84=0),"",R84/AR84)</f>
        <v/>
      </c>
      <c r="Z84" s="24" t="inlineStr">
        <is>
          <t>待执行</t>
        </is>
      </c>
      <c r="AA84" s="23" t="n"/>
      <c r="AB84" s="38" t="n"/>
      <c r="AC84" s="38" t="n"/>
      <c r="AD84" s="38" t="n"/>
      <c r="AE84" s="38" t="n"/>
      <c r="AF84" s="38" t="n"/>
      <c r="AG84" s="38" t="n"/>
      <c r="AH84" s="38" t="n"/>
      <c r="AI84" s="38" t="n"/>
      <c r="AJ84" s="38" t="n"/>
      <c r="AK84" s="39" t="n"/>
      <c r="AL84" s="40">
        <f>IF(OR(R84="",R84-AP84&lt;=0),"",AO84/(R84-AP84))</f>
        <v/>
      </c>
      <c r="AM84" s="41">
        <f>IF(R84="","",SUM(AC84:AF84)-(R84-AP84))</f>
        <v/>
      </c>
      <c r="AN84" s="41">
        <f>IF(R84="","",SUM(S84:W84)+AP84-R84)</f>
        <v/>
      </c>
      <c r="AO84" s="44" t="n"/>
      <c r="AP84" s="45" t="n"/>
      <c r="AQ84" s="47" t="inlineStr">
        <is>
          <t>S04-a SQ地址替换为另一合法地址</t>
        </is>
      </c>
      <c r="AR84" s="23" t="n"/>
      <c r="AS84" s="35">
        <f>IF(OR(Q84="",Q84=0),"",AR84/Q84)</f>
        <v/>
      </c>
      <c r="AT84" s="62" t="n">
        <v>30</v>
      </c>
      <c r="AU84" s="62" t="n">
        <v>385</v>
      </c>
      <c r="AV84" s="62" t="inlineStr">
        <is>
          <t>常规</t>
        </is>
      </c>
      <c r="AW84" s="62" t="inlineStr">
        <is>
          <t>累计至少385，不机械扩展到2401</t>
        </is>
      </c>
    </row>
    <row r="85" ht="94.15000000000001" customHeight="1" s="58">
      <c r="A85" s="21" t="inlineStr">
        <is>
          <t>S04-F2-W5</t>
        </is>
      </c>
      <c r="B85" s="21" t="inlineStr">
        <is>
          <t>S04</t>
        </is>
      </c>
      <c r="C85" s="21" t="inlineStr">
        <is>
          <t>Store Queue</t>
        </is>
      </c>
      <c r="D85" s="22" t="inlineStr">
        <is>
          <t>Store Queue 表项中的 store address 字段。它保存该 store 最终要写入的地址，同时参与与年轻 load 的地址比较；地址字段错误既会改变内存落点，也可能改变 store-to-load forwarding 判断。</t>
        </is>
      </c>
      <c r="E85" s="22" t="inlineStr">
        <is>
          <t>换值</t>
        </is>
      </c>
      <c r="F85"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5" s="22" t="inlineStr">
        <is>
          <t>F2</t>
        </is>
      </c>
      <c r="H85" s="22" t="inlineStr">
        <is>
          <t>平均每 100,000 个 eligible events 注入 1 次，间隔加入 ±50% 抖动</t>
        </is>
      </c>
      <c r="I85" s="22" t="inlineStr">
        <is>
          <t>SQ-Forward 转发探针（同地址/部分重叠 store-to-load forwarding、字节掩码、alias、replay）</t>
        </is>
      </c>
      <c r="J85" s="22" t="inlineStr">
        <is>
          <t>SQ-Forward 转发探针（同地址/部分重叠 store-to-load forwarding、字节掩码、alias、replay）
执行定义与 oracle：同地址与部分重叠 store-to-load forwarding、不同字节掩码、地址晚到/数据晚到、alias、replay</t>
        </is>
      </c>
      <c r="K85" s="22" t="inlineStr">
        <is>
          <t>store提交前地址已知</t>
        </is>
      </c>
      <c r="L85" s="22" t="inlineStr">
        <is>
          <t>L0 项是否被读/转发/提交；L1 addr/data/mask/valid/age与影子SQ；L2 forwarding/replay/violation/SSIT-LFST；L3 cache写请求与ack；L4 commit及内存写日志；L5结局；影子SQ地址、内存写日志、受害对象canary</t>
        </is>
      </c>
      <c r="M85" s="22" t="inlineStr">
        <is>
          <t>绕开地址异常后预期SDC高；还可能破坏后续load forwarding</t>
        </is>
      </c>
      <c r="N85" s="22" t="inlineStr">
        <is>
          <t>TC'23随机LQ/SQ翻转SDC=0可能受依赖检查影响，本模型测试合法状态边界</t>
        </is>
      </c>
      <c r="O85" s="22" t="inlineStr">
        <is>
          <t>TC'23为随机翻转基线</t>
        </is>
      </c>
      <c r="P85" s="23" t="n"/>
      <c r="Q85" s="23" t="n"/>
      <c r="R85" s="23" t="n"/>
      <c r="S85" s="23" t="n"/>
      <c r="T85" s="23" t="n"/>
      <c r="U85" s="23" t="n"/>
      <c r="V85" s="23" t="n"/>
      <c r="W85" s="23" t="n"/>
      <c r="X85" s="35">
        <f>IF(OR(R85="",R85-AP85&lt;=0),"",AB85/(R85-AP85))</f>
        <v/>
      </c>
      <c r="Y85" s="35">
        <f>IF(OR(AR85="",AR85=0),"",R85/AR85)</f>
        <v/>
      </c>
      <c r="Z85" s="24" t="inlineStr">
        <is>
          <t>待执行</t>
        </is>
      </c>
      <c r="AA85" s="23" t="n"/>
      <c r="AB85" s="38" t="n"/>
      <c r="AC85" s="38" t="n"/>
      <c r="AD85" s="38" t="n"/>
      <c r="AE85" s="38" t="n"/>
      <c r="AF85" s="38" t="n"/>
      <c r="AG85" s="38" t="n"/>
      <c r="AH85" s="38" t="n"/>
      <c r="AI85" s="38" t="n"/>
      <c r="AJ85" s="38" t="n"/>
      <c r="AK85" s="39" t="n"/>
      <c r="AL85" s="40">
        <f>IF(OR(R85="",R85-AP85&lt;=0),"",AO85/(R85-AP85))</f>
        <v/>
      </c>
      <c r="AM85" s="41">
        <f>IF(R85="","",SUM(AC85:AF85)-(R85-AP85))</f>
        <v/>
      </c>
      <c r="AN85" s="41">
        <f>IF(R85="","",SUM(S85:W85)+AP85-R85)</f>
        <v/>
      </c>
      <c r="AO85" s="44" t="n"/>
      <c r="AP85" s="45" t="n"/>
      <c r="AQ85" s="47" t="inlineStr">
        <is>
          <t>S04-a SQ地址替换为另一合法地址</t>
        </is>
      </c>
      <c r="AR85" s="23" t="n"/>
      <c r="AS85" s="35">
        <f>IF(OR(Q85="",Q85=0),"",AR85/Q85)</f>
        <v/>
      </c>
      <c r="AT85" s="62" t="n">
        <v>30</v>
      </c>
      <c r="AU85" s="62" t="n">
        <v>385</v>
      </c>
      <c r="AV85" s="62" t="inlineStr">
        <is>
          <t>常规</t>
        </is>
      </c>
      <c r="AW85" s="62" t="inlineStr">
        <is>
          <t>累计至少385，不机械扩展到2401</t>
        </is>
      </c>
    </row>
    <row r="86" ht="94.15000000000001" customHeight="1" s="58">
      <c r="A86" s="21" t="inlineStr">
        <is>
          <t>S04-F2-W0</t>
        </is>
      </c>
      <c r="B86" s="21" t="inlineStr">
        <is>
          <t>S04</t>
        </is>
      </c>
      <c r="C86" s="21" t="inlineStr">
        <is>
          <t>Store Queue</t>
        </is>
      </c>
      <c r="D86" s="22" t="inlineStr">
        <is>
          <t>Store Queue 表项中的 store address 字段。它保存该 store 最终要写入的地址，同时参与与年轻 load 的地址比较；地址字段错误既会改变内存落点，也可能改变 store-to-load forwarding 判断。</t>
        </is>
      </c>
      <c r="E86" s="22" t="inlineStr">
        <is>
          <t>换值</t>
        </is>
      </c>
      <c r="F86"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6" s="22" t="inlineStr">
        <is>
          <t>F2</t>
        </is>
      </c>
      <c r="H86" s="22" t="inlineStr">
        <is>
          <t>平均每 100,000 个 eligible events 注入 1 次，间隔加入 ±50% 抖动</t>
        </is>
      </c>
      <c r="I86" s="22" t="inlineStr">
        <is>
          <t>MiniCheck 最小正确性探针（数组校验和、guard page、指针链、load/store round-trip）</t>
        </is>
      </c>
      <c r="J86" s="22" t="inlineStr">
        <is>
          <t>MiniCheck 最小正确性探针（数组校验和、guard page、指针链、load/store round-trip）
执行定义与 oracle：短数组校验和、guard page、指针链、load/store round-trip；每次运行产生确定 golden output</t>
        </is>
      </c>
      <c r="K86" s="22" t="inlineStr">
        <is>
          <t>store提交前地址已知</t>
        </is>
      </c>
      <c r="L86" s="22" t="inlineStr">
        <is>
          <t>L0 项是否被读/转发/提交；L1 addr/data/mask/valid/age与影子SQ；L2 forwarding/replay/violation/SSIT-LFST；L3 cache写请求与ack；L4 commit及内存写日志；L5结局；影子SQ地址、内存写日志、受害对象canary</t>
        </is>
      </c>
      <c r="M86" s="22" t="inlineStr">
        <is>
          <t>绕开地址异常后预期SDC高；还可能破坏后续load forwarding</t>
        </is>
      </c>
      <c r="N86" s="22" t="inlineStr">
        <is>
          <t>TC'23随机LQ/SQ翻转SDC=0可能受依赖检查影响，本模型测试合法状态边界</t>
        </is>
      </c>
      <c r="O86" s="22" t="inlineStr">
        <is>
          <t>TC'23为随机翻转基线</t>
        </is>
      </c>
      <c r="P86" s="23" t="n"/>
      <c r="Q86" s="23" t="n"/>
      <c r="R86" s="23" t="n"/>
      <c r="S86" s="23" t="n"/>
      <c r="T86" s="23" t="n"/>
      <c r="U86" s="23" t="n"/>
      <c r="V86" s="23" t="n"/>
      <c r="W86" s="23" t="n"/>
      <c r="X86" s="35">
        <f>IF(OR(R86="",R86-AP86&lt;=0),"",AB86/(R86-AP86))</f>
        <v/>
      </c>
      <c r="Y86" s="35">
        <f>IF(OR(AR86="",AR86=0),"",R86/AR86)</f>
        <v/>
      </c>
      <c r="Z86" s="24" t="inlineStr">
        <is>
          <t>待执行</t>
        </is>
      </c>
      <c r="AA86" s="23" t="n"/>
      <c r="AB86" s="38" t="n"/>
      <c r="AC86" s="38" t="n"/>
      <c r="AD86" s="38" t="n"/>
      <c r="AE86" s="38" t="n"/>
      <c r="AF86" s="38" t="n"/>
      <c r="AG86" s="38" t="n"/>
      <c r="AH86" s="38" t="n"/>
      <c r="AI86" s="38" t="n"/>
      <c r="AJ86" s="38" t="n"/>
      <c r="AK86" s="39" t="n"/>
      <c r="AL86" s="40">
        <f>IF(OR(R86="",R86-AP86&lt;=0),"",AO86/(R86-AP86))</f>
        <v/>
      </c>
      <c r="AM86" s="41">
        <f>IF(R86="","",SUM(AC86:AF86)-(R86-AP86))</f>
        <v/>
      </c>
      <c r="AN86" s="41">
        <f>IF(R86="","",SUM(S86:W86)+AP86-R86)</f>
        <v/>
      </c>
      <c r="AO86" s="44" t="n"/>
      <c r="AP86" s="45" t="n"/>
      <c r="AQ86" s="47" t="inlineStr">
        <is>
          <t>S04-a SQ地址替换为另一合法地址</t>
        </is>
      </c>
      <c r="AR86" s="23" t="n"/>
      <c r="AS86" s="35">
        <f>IF(OR(Q86="",Q86=0),"",AR86/Q86)</f>
        <v/>
      </c>
      <c r="AT86" s="62" t="n">
        <v>30</v>
      </c>
      <c r="AU86" s="62" t="n">
        <v>385</v>
      </c>
      <c r="AV86" s="62" t="inlineStr">
        <is>
          <t>常规</t>
        </is>
      </c>
      <c r="AW86" s="62" t="inlineStr">
        <is>
          <t>累计至少385，不机械扩展到2401</t>
        </is>
      </c>
    </row>
    <row r="87" ht="94.15000000000001" customHeight="1" s="58">
      <c r="A87" s="21" t="inlineStr">
        <is>
          <t>S04-F6-W5</t>
        </is>
      </c>
      <c r="B87" s="21" t="inlineStr">
        <is>
          <t>S04</t>
        </is>
      </c>
      <c r="C87" s="21" t="inlineStr">
        <is>
          <t>Store Queue</t>
        </is>
      </c>
      <c r="D87" s="22" t="inlineStr">
        <is>
          <t>Store Queue 表项中的 store address 字段。它保存该 store 最终要写入的地址，同时参与与年轻 load 的地址比较；地址字段错误既会改变内存落点，也可能改变 store-to-load forwarding 判断。</t>
        </is>
      </c>
      <c r="E87" s="22" t="inlineStr">
        <is>
          <t>换值</t>
        </is>
      </c>
      <c r="F87"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7" s="22" t="inlineStr">
        <is>
          <t>F6</t>
        </is>
      </c>
      <c r="H87" s="22" t="inlineStr">
        <is>
          <t>首次出现指定事件时注入一次，如 TLB hit、SQ forward、dirty eviction、CAS 成功</t>
        </is>
      </c>
      <c r="I87" s="22" t="inlineStr">
        <is>
          <t>SQ-Forward 转发探针（同地址/部分重叠 store-to-load forwarding、字节掩码、alias、replay）</t>
        </is>
      </c>
      <c r="J87" s="22" t="inlineStr">
        <is>
          <t>SQ-Forward 转发探针（同地址/部分重叠 store-to-load forwarding、字节掩码、alias、replay）
执行定义与 oracle：同地址与部分重叠 store-to-load forwarding、不同字节掩码、地址晚到/数据晚到、alias、replay</t>
        </is>
      </c>
      <c r="K87" s="22" t="inlineStr">
        <is>
          <t>store提交前地址已知</t>
        </is>
      </c>
      <c r="L87" s="22" t="inlineStr">
        <is>
          <t>L0 项是否被读/转发/提交；L1 addr/data/mask/valid/age与影子SQ；L2 forwarding/replay/violation/SSIT-LFST；L3 cache写请求与ack；L4 commit及内存写日志；L5结局；影子SQ地址、内存写日志、受害对象canary</t>
        </is>
      </c>
      <c r="M87" s="22" t="inlineStr">
        <is>
          <t>绕开地址异常后预期SDC高；还可能破坏后续load forwarding</t>
        </is>
      </c>
      <c r="N87" s="22" t="inlineStr">
        <is>
          <t>TC'23随机LQ/SQ翻转SDC=0可能受依赖检查影响，本模型测试合法状态边界</t>
        </is>
      </c>
      <c r="O87" s="22" t="inlineStr">
        <is>
          <t>TC'23为随机翻转基线</t>
        </is>
      </c>
      <c r="P87" s="23" t="n"/>
      <c r="Q87" s="23" t="n"/>
      <c r="R87" s="23" t="n"/>
      <c r="S87" s="23" t="n"/>
      <c r="T87" s="23" t="n"/>
      <c r="U87" s="23" t="n"/>
      <c r="V87" s="23" t="n"/>
      <c r="W87" s="23" t="n"/>
      <c r="X87" s="35">
        <f>IF(OR(R87="",R87-AP87&lt;=0),"",AB87/(R87-AP87))</f>
        <v/>
      </c>
      <c r="Y87" s="35">
        <f>IF(OR(AR87="",AR87=0),"",R87/AR87)</f>
        <v/>
      </c>
      <c r="Z87" s="24" t="inlineStr">
        <is>
          <t>待执行</t>
        </is>
      </c>
      <c r="AA87" s="23" t="n"/>
      <c r="AB87" s="38" t="n"/>
      <c r="AC87" s="38" t="n"/>
      <c r="AD87" s="38" t="n"/>
      <c r="AE87" s="38" t="n"/>
      <c r="AF87" s="38" t="n"/>
      <c r="AG87" s="38" t="n"/>
      <c r="AH87" s="38" t="n"/>
      <c r="AI87" s="38" t="n"/>
      <c r="AJ87" s="38" t="n"/>
      <c r="AK87" s="39" t="n"/>
      <c r="AL87" s="40">
        <f>IF(OR(R87="",R87-AP87&lt;=0),"",AO87/(R87-AP87))</f>
        <v/>
      </c>
      <c r="AM87" s="41">
        <f>IF(R87="","",SUM(AC87:AF87)-(R87-AP87))</f>
        <v/>
      </c>
      <c r="AN87" s="41">
        <f>IF(R87="","",SUM(S87:W87)+AP87-R87)</f>
        <v/>
      </c>
      <c r="AO87" s="44" t="n"/>
      <c r="AP87" s="45" t="n"/>
      <c r="AQ87" s="47" t="inlineStr">
        <is>
          <t>S04-a SQ地址替换为另一合法地址</t>
        </is>
      </c>
      <c r="AR87" s="23" t="n"/>
      <c r="AS87" s="35">
        <f>IF(OR(Q87="",Q87=0),"",AR87/Q87)</f>
        <v/>
      </c>
      <c r="AT87" s="62" t="n">
        <v>30</v>
      </c>
      <c r="AU87" s="62" t="n">
        <v>385</v>
      </c>
      <c r="AV87" s="62" t="inlineStr">
        <is>
          <t>常规</t>
        </is>
      </c>
      <c r="AW87" s="62" t="inlineStr">
        <is>
          <t>累计至少385，不机械扩展到2401</t>
        </is>
      </c>
    </row>
    <row r="88" ht="94.15000000000001" customHeight="1" s="58">
      <c r="A88" s="21" t="inlineStr">
        <is>
          <t>S04-F6-W0</t>
        </is>
      </c>
      <c r="B88" s="21" t="inlineStr">
        <is>
          <t>S04</t>
        </is>
      </c>
      <c r="C88" s="21" t="inlineStr">
        <is>
          <t>Store Queue</t>
        </is>
      </c>
      <c r="D88" s="22" t="inlineStr">
        <is>
          <t>Store Queue 表项中的 store address 字段。它保存该 store 最终要写入的地址，同时参与与年轻 load 的地址比较；地址字段错误既会改变内存落点，也可能改变 store-to-load forwarding 判断。</t>
        </is>
      </c>
      <c r="E88" s="22" t="inlineStr">
        <is>
          <t>换值</t>
        </is>
      </c>
      <c r="F88"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8" s="22" t="inlineStr">
        <is>
          <t>F6</t>
        </is>
      </c>
      <c r="H88" s="22" t="inlineStr">
        <is>
          <t>首次出现指定事件时注入一次，如 TLB hit、SQ forward、dirty eviction、CAS 成功</t>
        </is>
      </c>
      <c r="I88" s="22" t="inlineStr">
        <is>
          <t>MiniCheck 最小正确性探针（数组校验和、guard page、指针链、load/store round-trip）</t>
        </is>
      </c>
      <c r="J88" s="22" t="inlineStr">
        <is>
          <t>MiniCheck 最小正确性探针（数组校验和、guard page、指针链、load/store round-trip）
执行定义与 oracle：短数组校验和、guard page、指针链、load/store round-trip；每次运行产生确定 golden output</t>
        </is>
      </c>
      <c r="K88" s="22" t="inlineStr">
        <is>
          <t>store提交前地址已知</t>
        </is>
      </c>
      <c r="L88" s="22" t="inlineStr">
        <is>
          <t>L0 项是否被读/转发/提交；L1 addr/data/mask/valid/age与影子SQ；L2 forwarding/replay/violation/SSIT-LFST；L3 cache写请求与ack；L4 commit及内存写日志；L5结局；影子SQ地址、内存写日志、受害对象canary</t>
        </is>
      </c>
      <c r="M88" s="22" t="inlineStr">
        <is>
          <t>绕开地址异常后预期SDC高；还可能破坏后续load forwarding</t>
        </is>
      </c>
      <c r="N88" s="22" t="inlineStr">
        <is>
          <t>TC'23随机LQ/SQ翻转SDC=0可能受依赖检查影响，本模型测试合法状态边界</t>
        </is>
      </c>
      <c r="O88" s="22" t="inlineStr">
        <is>
          <t>TC'23为随机翻转基线</t>
        </is>
      </c>
      <c r="P88" s="23" t="n"/>
      <c r="Q88" s="23" t="n"/>
      <c r="R88" s="23" t="n"/>
      <c r="S88" s="23" t="n"/>
      <c r="T88" s="23" t="n"/>
      <c r="U88" s="23" t="n"/>
      <c r="V88" s="23" t="n"/>
      <c r="W88" s="23" t="n"/>
      <c r="X88" s="35">
        <f>IF(OR(R88="",R88-AP88&lt;=0),"",AB88/(R88-AP88))</f>
        <v/>
      </c>
      <c r="Y88" s="35">
        <f>IF(OR(AR88="",AR88=0),"",R88/AR88)</f>
        <v/>
      </c>
      <c r="Z88" s="24" t="inlineStr">
        <is>
          <t>待执行</t>
        </is>
      </c>
      <c r="AA88" s="23" t="n"/>
      <c r="AB88" s="38" t="n"/>
      <c r="AC88" s="38" t="n"/>
      <c r="AD88" s="38" t="n"/>
      <c r="AE88" s="38" t="n"/>
      <c r="AF88" s="38" t="n"/>
      <c r="AG88" s="38" t="n"/>
      <c r="AH88" s="38" t="n"/>
      <c r="AI88" s="38" t="n"/>
      <c r="AJ88" s="38" t="n"/>
      <c r="AK88" s="39" t="n"/>
      <c r="AL88" s="40">
        <f>IF(OR(R88="",R88-AP88&lt;=0),"",AO88/(R88-AP88))</f>
        <v/>
      </c>
      <c r="AM88" s="41">
        <f>IF(R88="","",SUM(AC88:AF88)-(R88-AP88))</f>
        <v/>
      </c>
      <c r="AN88" s="41">
        <f>IF(R88="","",SUM(S88:W88)+AP88-R88)</f>
        <v/>
      </c>
      <c r="AO88" s="44" t="n"/>
      <c r="AP88" s="45" t="n"/>
      <c r="AQ88" s="47" t="inlineStr">
        <is>
          <t>S04-a SQ地址替换为另一合法地址</t>
        </is>
      </c>
      <c r="AR88" s="23" t="n"/>
      <c r="AS88" s="35">
        <f>IF(OR(Q88="",Q88=0),"",AR88/Q88)</f>
        <v/>
      </c>
      <c r="AT88" s="62" t="n">
        <v>30</v>
      </c>
      <c r="AU88" s="62" t="n">
        <v>385</v>
      </c>
      <c r="AV88" s="62" t="inlineStr">
        <is>
          <t>常规</t>
        </is>
      </c>
      <c r="AW88" s="62" t="inlineStr">
        <is>
          <t>累计至少385，不机械扩展到2401</t>
        </is>
      </c>
    </row>
    <row r="89" ht="94.15000000000001" customHeight="1" s="58">
      <c r="A89" s="21" t="inlineStr">
        <is>
          <t>S05-F0-W5</t>
        </is>
      </c>
      <c r="B89" s="21" t="inlineStr">
        <is>
          <t>S05</t>
        </is>
      </c>
      <c r="C89" s="21" t="inlineStr">
        <is>
          <t>Store Queue</t>
        </is>
      </c>
      <c r="D89" s="22" t="inlineStr">
        <is>
          <t>Store Queue 表项的 byte-enable 与访问 size。byte-enable 指出 data 中哪些字节有效，size 表示访问宽度；它们共同控制部分 store、非对齐 store 以及转发时的数据覆盖范围。</t>
        </is>
      </c>
      <c r="E89" s="22" t="inlineStr">
        <is>
          <t>错位拼接</t>
        </is>
      </c>
      <c r="F89"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89" s="22" t="inlineStr">
        <is>
          <t>F0</t>
        </is>
      </c>
      <c r="H89" s="22" t="inlineStr">
        <is>
          <t>每次运行只注入 1 次；在 warm-up 后的 eligible event 中均匀抽样</t>
        </is>
      </c>
      <c r="I89" s="22" t="inlineStr">
        <is>
          <t>SQ-Forward 转发探针（同地址/部分重叠 store-to-load forwarding、字节掩码、alias、replay）</t>
        </is>
      </c>
      <c r="J89" s="22" t="inlineStr">
        <is>
          <t>SQ-Forward 转发探针（同地址/部分重叠 store-to-load forwarding、字节掩码、alias、replay）
执行定义与 oracle：同地址与部分重叠 store-to-load forwarding、不同字节掩码、地址晚到/数据晚到、alias、replay</t>
        </is>
      </c>
      <c r="K89" s="22" t="inlineStr">
        <is>
          <t>partial/unaligned store</t>
        </is>
      </c>
      <c r="L89" s="22" t="inlineStr">
        <is>
          <t>L0 项是否被读/转发/提交；L1 addr/data/mask/valid/age与影子SQ；L2 forwarding/replay/violation/SSIT-LFST；L3 cache写请求与ack；L4 commit及内存写日志；L5结局；逐字节diff、邻接canary、forward mask与write mask一致性</t>
        </is>
      </c>
      <c r="M89" s="22" t="inlineStr">
        <is>
          <t>最可能出现局部字节SDC且程序继续运行</t>
        </is>
      </c>
      <c r="N89" s="22" t="inlineStr">
        <is>
          <t>SQ专属结构化风险，随机bit可能变成非法组合被拦截</t>
        </is>
      </c>
      <c r="O89" s="22" t="inlineStr">
        <is>
          <t>无直接文献</t>
        </is>
      </c>
      <c r="P89" s="23" t="n"/>
      <c r="Q89" s="23" t="n"/>
      <c r="R89" s="23" t="n"/>
      <c r="S89" s="23" t="n"/>
      <c r="T89" s="23" t="n"/>
      <c r="U89" s="23" t="n"/>
      <c r="V89" s="23" t="n"/>
      <c r="W89" s="23" t="n"/>
      <c r="X89" s="35">
        <f>IF(OR(R89="",R89-AP89&lt;=0),"",AB89/(R89-AP89))</f>
        <v/>
      </c>
      <c r="Y89" s="35">
        <f>IF(OR(AR89="",AR89=0),"",R89/AR89)</f>
        <v/>
      </c>
      <c r="Z89" s="24" t="inlineStr">
        <is>
          <t>待执行</t>
        </is>
      </c>
      <c r="AA89" s="23" t="n"/>
      <c r="AB89" s="38" t="n"/>
      <c r="AC89" s="38" t="n"/>
      <c r="AD89" s="38" t="n"/>
      <c r="AE89" s="38" t="n"/>
      <c r="AF89" s="38" t="n"/>
      <c r="AG89" s="38" t="n"/>
      <c r="AH89" s="38" t="n"/>
      <c r="AI89" s="38" t="n"/>
      <c r="AJ89" s="38" t="n"/>
      <c r="AK89" s="39" t="n"/>
      <c r="AL89" s="40">
        <f>IF(OR(R89="",R89-AP89&lt;=0),"",AO89/(R89-AP89))</f>
        <v/>
      </c>
      <c r="AM89" s="41">
        <f>IF(R89="","",SUM(AC89:AF89)-(R89-AP89))</f>
        <v/>
      </c>
      <c r="AN89" s="41">
        <f>IF(R89="","",SUM(S89:W89)+AP89-R89)</f>
        <v/>
      </c>
      <c r="AO89" s="44" t="n"/>
      <c r="AP89" s="45" t="n"/>
      <c r="AQ89" s="47" t="inlineStr">
        <is>
          <t>S05-a byte mask旋转；S05-b 高低byte mask互换；S05-c size错误</t>
        </is>
      </c>
      <c r="AR89" s="23" t="n"/>
      <c r="AS89" s="35">
        <f>IF(OR(Q89="",Q89=0),"",AR89/Q89)</f>
        <v/>
      </c>
      <c r="AT89" s="62" t="n">
        <v>30</v>
      </c>
      <c r="AU89" s="62" t="n">
        <v>385</v>
      </c>
      <c r="AV89" s="62" t="inlineStr">
        <is>
          <t>常规</t>
        </is>
      </c>
      <c r="AW89" s="62" t="inlineStr">
        <is>
          <t>累计至少385，不机械扩展到2401</t>
        </is>
      </c>
    </row>
    <row r="90" ht="94.15000000000001" customHeight="1" s="58">
      <c r="A90" s="21" t="inlineStr">
        <is>
          <t>S05-F0-W3</t>
        </is>
      </c>
      <c r="B90" s="21" t="inlineStr">
        <is>
          <t>S05</t>
        </is>
      </c>
      <c r="C90" s="21" t="inlineStr">
        <is>
          <t>Store Queue</t>
        </is>
      </c>
      <c r="D90" s="22" t="inlineStr">
        <is>
          <t>Store Queue 表项的 byte-enable 与访问 size。byte-enable 指出 data 中哪些字节有效，size 表示访问宽度；它们共同控制部分 store、非对齐 store 以及转发时的数据覆盖范围。</t>
        </is>
      </c>
      <c r="E90" s="22" t="inlineStr">
        <is>
          <t>错位拼接</t>
        </is>
      </c>
      <c r="F90"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0" s="22" t="inlineStr">
        <is>
          <t>F0</t>
        </is>
      </c>
      <c r="H90" s="22" t="inlineStr">
        <is>
          <t>每次运行只注入 1 次；在 warm-up 后的 eligible event 中均匀抽样</t>
        </is>
      </c>
      <c r="I90" s="22" t="inlineStr">
        <is>
          <t>AGU-AddrModes AArch64 寻址模式探针（base+imm、base+index、扩展/移位、pre/post-index、LDP/STP）</t>
        </is>
      </c>
      <c r="J90" s="22" t="inlineStr">
        <is>
          <t>AGU-AddrModes AArch64 寻址模式探针（base+imm、base+index、扩展/移位、pre/post-index、LDP/STP）
执行定义与 oracle：覆盖 base+imm、base+index、LSL、UXTW/SXTW、pre/post-index、LDP/STP、非对齐和页边界；每地址附软件 oracle</t>
        </is>
      </c>
      <c r="K90" s="22" t="inlineStr">
        <is>
          <t>partial/unaligned store</t>
        </is>
      </c>
      <c r="L90" s="22" t="inlineStr">
        <is>
          <t>L0 项是否被读/转发/提交；L1 addr/data/mask/valid/age与影子SQ；L2 forwarding/replay/violation/SSIT-LFST；L3 cache写请求与ack；L4 commit及内存写日志；L5结局；逐字节diff、邻接canary、forward mask与write mask一致性</t>
        </is>
      </c>
      <c r="M90" s="22" t="inlineStr">
        <is>
          <t>最可能出现局部字节SDC且程序继续运行</t>
        </is>
      </c>
      <c r="N90" s="22" t="inlineStr">
        <is>
          <t>SQ专属结构化风险，随机bit可能变成非法组合被拦截</t>
        </is>
      </c>
      <c r="O90" s="22" t="inlineStr">
        <is>
          <t>无直接文献</t>
        </is>
      </c>
      <c r="P90" s="23" t="n"/>
      <c r="Q90" s="23" t="n"/>
      <c r="R90" s="23" t="n"/>
      <c r="S90" s="23" t="n"/>
      <c r="T90" s="23" t="n"/>
      <c r="U90" s="23" t="n"/>
      <c r="V90" s="23" t="n"/>
      <c r="W90" s="23" t="n"/>
      <c r="X90" s="35">
        <f>IF(OR(R90="",R90-AP90&lt;=0),"",AB90/(R90-AP90))</f>
        <v/>
      </c>
      <c r="Y90" s="35">
        <f>IF(OR(AR90="",AR90=0),"",R90/AR90)</f>
        <v/>
      </c>
      <c r="Z90" s="24" t="inlineStr">
        <is>
          <t>待执行</t>
        </is>
      </c>
      <c r="AA90" s="23" t="n"/>
      <c r="AB90" s="38" t="n"/>
      <c r="AC90" s="38" t="n"/>
      <c r="AD90" s="38" t="n"/>
      <c r="AE90" s="38" t="n"/>
      <c r="AF90" s="38" t="n"/>
      <c r="AG90" s="38" t="n"/>
      <c r="AH90" s="38" t="n"/>
      <c r="AI90" s="38" t="n"/>
      <c r="AJ90" s="38" t="n"/>
      <c r="AK90" s="39" t="n"/>
      <c r="AL90" s="40">
        <f>IF(OR(R90="",R90-AP90&lt;=0),"",AO90/(R90-AP90))</f>
        <v/>
      </c>
      <c r="AM90" s="41">
        <f>IF(R90="","",SUM(AC90:AF90)-(R90-AP90))</f>
        <v/>
      </c>
      <c r="AN90" s="41">
        <f>IF(R90="","",SUM(S90:W90)+AP90-R90)</f>
        <v/>
      </c>
      <c r="AO90" s="44" t="n"/>
      <c r="AP90" s="45" t="n"/>
      <c r="AQ90" s="47" t="inlineStr">
        <is>
          <t>S05-a byte mask旋转；S05-b 高低byte mask互换；S05-c size错误</t>
        </is>
      </c>
      <c r="AR90" s="23" t="n"/>
      <c r="AS90" s="35">
        <f>IF(OR(Q90="",Q90=0),"",AR90/Q90)</f>
        <v/>
      </c>
      <c r="AT90" s="62" t="n">
        <v>30</v>
      </c>
      <c r="AU90" s="62" t="n">
        <v>385</v>
      </c>
      <c r="AV90" s="62" t="inlineStr">
        <is>
          <t>常规</t>
        </is>
      </c>
      <c r="AW90" s="62" t="inlineStr">
        <is>
          <t>累计至少385，不机械扩展到2401</t>
        </is>
      </c>
    </row>
    <row r="91" ht="94.15000000000001" customHeight="1" s="58">
      <c r="A91" s="21" t="inlineStr">
        <is>
          <t>S05-F2-W5</t>
        </is>
      </c>
      <c r="B91" s="21" t="inlineStr">
        <is>
          <t>S05</t>
        </is>
      </c>
      <c r="C91" s="21" t="inlineStr">
        <is>
          <t>Store Queue</t>
        </is>
      </c>
      <c r="D91" s="22" t="inlineStr">
        <is>
          <t>Store Queue 表项的 byte-enable 与访问 size。byte-enable 指出 data 中哪些字节有效，size 表示访问宽度；它们共同控制部分 store、非对齐 store 以及转发时的数据覆盖范围。</t>
        </is>
      </c>
      <c r="E91" s="22" t="inlineStr">
        <is>
          <t>错位拼接</t>
        </is>
      </c>
      <c r="F91"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1" s="22" t="inlineStr">
        <is>
          <t>F2</t>
        </is>
      </c>
      <c r="H91" s="22" t="inlineStr">
        <is>
          <t>平均每 100,000 个 eligible events 注入 1 次，间隔加入 ±50% 抖动</t>
        </is>
      </c>
      <c r="I91" s="22" t="inlineStr">
        <is>
          <t>SQ-Forward 转发探针（同地址/部分重叠 store-to-load forwarding、字节掩码、alias、replay）</t>
        </is>
      </c>
      <c r="J91" s="22" t="inlineStr">
        <is>
          <t>SQ-Forward 转发探针（同地址/部分重叠 store-to-load forwarding、字节掩码、alias、replay）
执行定义与 oracle：同地址与部分重叠 store-to-load forwarding、不同字节掩码、地址晚到/数据晚到、alias、replay</t>
        </is>
      </c>
      <c r="K91" s="22" t="inlineStr">
        <is>
          <t>partial/unaligned store</t>
        </is>
      </c>
      <c r="L91" s="22" t="inlineStr">
        <is>
          <t>L0 项是否被读/转发/提交；L1 addr/data/mask/valid/age与影子SQ；L2 forwarding/replay/violation/SSIT-LFST；L3 cache写请求与ack；L4 commit及内存写日志；L5结局；逐字节diff、邻接canary、forward mask与write mask一致性</t>
        </is>
      </c>
      <c r="M91" s="22" t="inlineStr">
        <is>
          <t>最可能出现局部字节SDC且程序继续运行</t>
        </is>
      </c>
      <c r="N91" s="22" t="inlineStr">
        <is>
          <t>SQ专属结构化风险，随机bit可能变成非法组合被拦截</t>
        </is>
      </c>
      <c r="O91" s="22" t="inlineStr">
        <is>
          <t>无直接文献</t>
        </is>
      </c>
      <c r="P91" s="23" t="n"/>
      <c r="Q91" s="23" t="n"/>
      <c r="R91" s="23" t="n"/>
      <c r="S91" s="23" t="n"/>
      <c r="T91" s="23" t="n"/>
      <c r="U91" s="23" t="n"/>
      <c r="V91" s="23" t="n"/>
      <c r="W91" s="23" t="n"/>
      <c r="X91" s="35">
        <f>IF(OR(R91="",R91-AP91&lt;=0),"",AB91/(R91-AP91))</f>
        <v/>
      </c>
      <c r="Y91" s="35">
        <f>IF(OR(AR91="",AR91=0),"",R91/AR91)</f>
        <v/>
      </c>
      <c r="Z91" s="24" t="inlineStr">
        <is>
          <t>待执行</t>
        </is>
      </c>
      <c r="AA91" s="23" t="n"/>
      <c r="AB91" s="38" t="n"/>
      <c r="AC91" s="38" t="n"/>
      <c r="AD91" s="38" t="n"/>
      <c r="AE91" s="38" t="n"/>
      <c r="AF91" s="38" t="n"/>
      <c r="AG91" s="38" t="n"/>
      <c r="AH91" s="38" t="n"/>
      <c r="AI91" s="38" t="n"/>
      <c r="AJ91" s="38" t="n"/>
      <c r="AK91" s="39" t="n"/>
      <c r="AL91" s="40">
        <f>IF(OR(R91="",R91-AP91&lt;=0),"",AO91/(R91-AP91))</f>
        <v/>
      </c>
      <c r="AM91" s="41">
        <f>IF(R91="","",SUM(AC91:AF91)-(R91-AP91))</f>
        <v/>
      </c>
      <c r="AN91" s="41">
        <f>IF(R91="","",SUM(S91:W91)+AP91-R91)</f>
        <v/>
      </c>
      <c r="AO91" s="44" t="n"/>
      <c r="AP91" s="45" t="n"/>
      <c r="AQ91" s="47" t="inlineStr">
        <is>
          <t>S05-a byte mask旋转；S05-b 高低byte mask互换；S05-c size错误</t>
        </is>
      </c>
      <c r="AR91" s="23" t="n"/>
      <c r="AS91" s="35">
        <f>IF(OR(Q91="",Q91=0),"",AR91/Q91)</f>
        <v/>
      </c>
      <c r="AT91" s="62" t="n">
        <v>30</v>
      </c>
      <c r="AU91" s="62" t="n">
        <v>385</v>
      </c>
      <c r="AV91" s="62" t="inlineStr">
        <is>
          <t>常规</t>
        </is>
      </c>
      <c r="AW91" s="62" t="inlineStr">
        <is>
          <t>累计至少385，不机械扩展到2401</t>
        </is>
      </c>
    </row>
    <row r="92" ht="94.15000000000001" customHeight="1" s="58">
      <c r="A92" s="21" t="inlineStr">
        <is>
          <t>S05-F2-W3</t>
        </is>
      </c>
      <c r="B92" s="21" t="inlineStr">
        <is>
          <t>S05</t>
        </is>
      </c>
      <c r="C92" s="21" t="inlineStr">
        <is>
          <t>Store Queue</t>
        </is>
      </c>
      <c r="D92" s="22" t="inlineStr">
        <is>
          <t>Store Queue 表项的 byte-enable 与访问 size。byte-enable 指出 data 中哪些字节有效，size 表示访问宽度；它们共同控制部分 store、非对齐 store 以及转发时的数据覆盖范围。</t>
        </is>
      </c>
      <c r="E92" s="22" t="inlineStr">
        <is>
          <t>错位拼接</t>
        </is>
      </c>
      <c r="F92"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2" s="22" t="inlineStr">
        <is>
          <t>F2</t>
        </is>
      </c>
      <c r="H92" s="22" t="inlineStr">
        <is>
          <t>平均每 100,000 个 eligible events 注入 1 次，间隔加入 ±50% 抖动</t>
        </is>
      </c>
      <c r="I92" s="22" t="inlineStr">
        <is>
          <t>AGU-AddrModes AArch64 寻址模式探针（base+imm、base+index、扩展/移位、pre/post-index、LDP/STP）</t>
        </is>
      </c>
      <c r="J92" s="22" t="inlineStr">
        <is>
          <t>AGU-AddrModes AArch64 寻址模式探针（base+imm、base+index、扩展/移位、pre/post-index、LDP/STP）
执行定义与 oracle：覆盖 base+imm、base+index、LSL、UXTW/SXTW、pre/post-index、LDP/STP、非对齐和页边界；每地址附软件 oracle</t>
        </is>
      </c>
      <c r="K92" s="22" t="inlineStr">
        <is>
          <t>partial/unaligned store</t>
        </is>
      </c>
      <c r="L92" s="22" t="inlineStr">
        <is>
          <t>L0 项是否被读/转发/提交；L1 addr/data/mask/valid/age与影子SQ；L2 forwarding/replay/violation/SSIT-LFST；L3 cache写请求与ack；L4 commit及内存写日志；L5结局；逐字节diff、邻接canary、forward mask与write mask一致性</t>
        </is>
      </c>
      <c r="M92" s="22" t="inlineStr">
        <is>
          <t>最可能出现局部字节SDC且程序继续运行</t>
        </is>
      </c>
      <c r="N92" s="22" t="inlineStr">
        <is>
          <t>SQ专属结构化风险，随机bit可能变成非法组合被拦截</t>
        </is>
      </c>
      <c r="O92" s="22" t="inlineStr">
        <is>
          <t>无直接文献</t>
        </is>
      </c>
      <c r="P92" s="23" t="n"/>
      <c r="Q92" s="23" t="n"/>
      <c r="R92" s="23" t="n"/>
      <c r="S92" s="23" t="n"/>
      <c r="T92" s="23" t="n"/>
      <c r="U92" s="23" t="n"/>
      <c r="V92" s="23" t="n"/>
      <c r="W92" s="23" t="n"/>
      <c r="X92" s="35">
        <f>IF(OR(R92="",R92-AP92&lt;=0),"",AB92/(R92-AP92))</f>
        <v/>
      </c>
      <c r="Y92" s="35">
        <f>IF(OR(AR92="",AR92=0),"",R92/AR92)</f>
        <v/>
      </c>
      <c r="Z92" s="24" t="inlineStr">
        <is>
          <t>待执行</t>
        </is>
      </c>
      <c r="AA92" s="23" t="n"/>
      <c r="AB92" s="38" t="n"/>
      <c r="AC92" s="38" t="n"/>
      <c r="AD92" s="38" t="n"/>
      <c r="AE92" s="38" t="n"/>
      <c r="AF92" s="38" t="n"/>
      <c r="AG92" s="38" t="n"/>
      <c r="AH92" s="38" t="n"/>
      <c r="AI92" s="38" t="n"/>
      <c r="AJ92" s="38" t="n"/>
      <c r="AK92" s="39" t="n"/>
      <c r="AL92" s="40">
        <f>IF(OR(R92="",R92-AP92&lt;=0),"",AO92/(R92-AP92))</f>
        <v/>
      </c>
      <c r="AM92" s="41">
        <f>IF(R92="","",SUM(AC92:AF92)-(R92-AP92))</f>
        <v/>
      </c>
      <c r="AN92" s="41">
        <f>IF(R92="","",SUM(S92:W92)+AP92-R92)</f>
        <v/>
      </c>
      <c r="AO92" s="44" t="n"/>
      <c r="AP92" s="45" t="n"/>
      <c r="AQ92" s="47" t="inlineStr">
        <is>
          <t>S05-a byte mask旋转；S05-b 高低byte mask互换；S05-c size错误</t>
        </is>
      </c>
      <c r="AR92" s="23" t="n"/>
      <c r="AS92" s="35">
        <f>IF(OR(Q92="",Q92=0),"",AR92/Q92)</f>
        <v/>
      </c>
      <c r="AT92" s="62" t="n">
        <v>30</v>
      </c>
      <c r="AU92" s="62" t="n">
        <v>385</v>
      </c>
      <c r="AV92" s="62" t="inlineStr">
        <is>
          <t>常规</t>
        </is>
      </c>
      <c r="AW92" s="62" t="inlineStr">
        <is>
          <t>累计至少385，不机械扩展到2401</t>
        </is>
      </c>
    </row>
    <row r="93" ht="94.15000000000001" customHeight="1" s="58">
      <c r="A93" s="21" t="inlineStr">
        <is>
          <t>S05-F6-W5</t>
        </is>
      </c>
      <c r="B93" s="21" t="inlineStr">
        <is>
          <t>S05</t>
        </is>
      </c>
      <c r="C93" s="21" t="inlineStr">
        <is>
          <t>Store Queue</t>
        </is>
      </c>
      <c r="D93" s="22" t="inlineStr">
        <is>
          <t>Store Queue 表项的 byte-enable 与访问 size。byte-enable 指出 data 中哪些字节有效，size 表示访问宽度；它们共同控制部分 store、非对齐 store 以及转发时的数据覆盖范围。</t>
        </is>
      </c>
      <c r="E93" s="22" t="inlineStr">
        <is>
          <t>错位拼接</t>
        </is>
      </c>
      <c r="F93"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3" s="22" t="inlineStr">
        <is>
          <t>F6</t>
        </is>
      </c>
      <c r="H93" s="22" t="inlineStr">
        <is>
          <t>首次出现指定事件时注入一次，如 TLB hit、SQ forward、dirty eviction、CAS 成功</t>
        </is>
      </c>
      <c r="I93" s="22" t="inlineStr">
        <is>
          <t>SQ-Forward 转发探针（同地址/部分重叠 store-to-load forwarding、字节掩码、alias、replay）</t>
        </is>
      </c>
      <c r="J93" s="22" t="inlineStr">
        <is>
          <t>SQ-Forward 转发探针（同地址/部分重叠 store-to-load forwarding、字节掩码、alias、replay）
执行定义与 oracle：同地址与部分重叠 store-to-load forwarding、不同字节掩码、地址晚到/数据晚到、alias、replay</t>
        </is>
      </c>
      <c r="K93" s="22" t="inlineStr">
        <is>
          <t>partial/unaligned store</t>
        </is>
      </c>
      <c r="L93" s="22" t="inlineStr">
        <is>
          <t>L0 项是否被读/转发/提交；L1 addr/data/mask/valid/age与影子SQ；L2 forwarding/replay/violation/SSIT-LFST；L3 cache写请求与ack；L4 commit及内存写日志；L5结局；逐字节diff、邻接canary、forward mask与write mask一致性</t>
        </is>
      </c>
      <c r="M93" s="22" t="inlineStr">
        <is>
          <t>最可能出现局部字节SDC且程序继续运行</t>
        </is>
      </c>
      <c r="N93" s="22" t="inlineStr">
        <is>
          <t>SQ专属结构化风险，随机bit可能变成非法组合被拦截</t>
        </is>
      </c>
      <c r="O93" s="22" t="inlineStr">
        <is>
          <t>无直接文献</t>
        </is>
      </c>
      <c r="P93" s="23" t="n"/>
      <c r="Q93" s="23" t="n"/>
      <c r="R93" s="23" t="n"/>
      <c r="S93" s="23" t="n"/>
      <c r="T93" s="23" t="n"/>
      <c r="U93" s="23" t="n"/>
      <c r="V93" s="23" t="n"/>
      <c r="W93" s="23" t="n"/>
      <c r="X93" s="35">
        <f>IF(OR(R93="",R93-AP93&lt;=0),"",AB93/(R93-AP93))</f>
        <v/>
      </c>
      <c r="Y93" s="35">
        <f>IF(OR(AR93="",AR93=0),"",R93/AR93)</f>
        <v/>
      </c>
      <c r="Z93" s="24" t="inlineStr">
        <is>
          <t>待执行</t>
        </is>
      </c>
      <c r="AA93" s="23" t="n"/>
      <c r="AB93" s="38" t="n"/>
      <c r="AC93" s="38" t="n"/>
      <c r="AD93" s="38" t="n"/>
      <c r="AE93" s="38" t="n"/>
      <c r="AF93" s="38" t="n"/>
      <c r="AG93" s="38" t="n"/>
      <c r="AH93" s="38" t="n"/>
      <c r="AI93" s="38" t="n"/>
      <c r="AJ93" s="38" t="n"/>
      <c r="AK93" s="39" t="n"/>
      <c r="AL93" s="40">
        <f>IF(OR(R93="",R93-AP93&lt;=0),"",AO93/(R93-AP93))</f>
        <v/>
      </c>
      <c r="AM93" s="41">
        <f>IF(R93="","",SUM(AC93:AF93)-(R93-AP93))</f>
        <v/>
      </c>
      <c r="AN93" s="41">
        <f>IF(R93="","",SUM(S93:W93)+AP93-R93)</f>
        <v/>
      </c>
      <c r="AO93" s="44" t="n"/>
      <c r="AP93" s="45" t="n"/>
      <c r="AQ93" s="47" t="inlineStr">
        <is>
          <t>S05-a byte mask旋转；S05-b 高低byte mask互换；S05-c size错误</t>
        </is>
      </c>
      <c r="AR93" s="23" t="n"/>
      <c r="AS93" s="35">
        <f>IF(OR(Q93="",Q93=0),"",AR93/Q93)</f>
        <v/>
      </c>
      <c r="AT93" s="62" t="n">
        <v>30</v>
      </c>
      <c r="AU93" s="62" t="n">
        <v>385</v>
      </c>
      <c r="AV93" s="62" t="inlineStr">
        <is>
          <t>常规</t>
        </is>
      </c>
      <c r="AW93" s="62" t="inlineStr">
        <is>
          <t>累计至少385，不机械扩展到2401</t>
        </is>
      </c>
    </row>
    <row r="94" ht="94.15000000000001" customHeight="1" s="58">
      <c r="A94" s="21" t="inlineStr">
        <is>
          <t>S05-F6-W3</t>
        </is>
      </c>
      <c r="B94" s="21" t="inlineStr">
        <is>
          <t>S05</t>
        </is>
      </c>
      <c r="C94" s="21" t="inlineStr">
        <is>
          <t>Store Queue</t>
        </is>
      </c>
      <c r="D94" s="22" t="inlineStr">
        <is>
          <t>Store Queue 表项的 byte-enable 与访问 size。byte-enable 指出 data 中哪些字节有效，size 表示访问宽度；它们共同控制部分 store、非对齐 store 以及转发时的数据覆盖范围。</t>
        </is>
      </c>
      <c r="E94" s="22" t="inlineStr">
        <is>
          <t>错位拼接</t>
        </is>
      </c>
      <c r="F94"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4" s="22" t="inlineStr">
        <is>
          <t>F6</t>
        </is>
      </c>
      <c r="H94" s="22" t="inlineStr">
        <is>
          <t>首次出现指定事件时注入一次，如 TLB hit、SQ forward、dirty eviction、CAS 成功</t>
        </is>
      </c>
      <c r="I94" s="22" t="inlineStr">
        <is>
          <t>AGU-AddrModes AArch64 寻址模式探针（base+imm、base+index、扩展/移位、pre/post-index、LDP/STP）</t>
        </is>
      </c>
      <c r="J94" s="22" t="inlineStr">
        <is>
          <t>AGU-AddrModes AArch64 寻址模式探针（base+imm、base+index、扩展/移位、pre/post-index、LDP/STP）
执行定义与 oracle：覆盖 base+imm、base+index、LSL、UXTW/SXTW、pre/post-index、LDP/STP、非对齐和页边界；每地址附软件 oracle</t>
        </is>
      </c>
      <c r="K94" s="22" t="inlineStr">
        <is>
          <t>partial/unaligned store</t>
        </is>
      </c>
      <c r="L94" s="22" t="inlineStr">
        <is>
          <t>L0 项是否被读/转发/提交；L1 addr/data/mask/valid/age与影子SQ；L2 forwarding/replay/violation/SSIT-LFST；L3 cache写请求与ack；L4 commit及内存写日志；L5结局；逐字节diff、邻接canary、forward mask与write mask一致性</t>
        </is>
      </c>
      <c r="M94" s="22" t="inlineStr">
        <is>
          <t>最可能出现局部字节SDC且程序继续运行</t>
        </is>
      </c>
      <c r="N94" s="22" t="inlineStr">
        <is>
          <t>SQ专属结构化风险，随机bit可能变成非法组合被拦截</t>
        </is>
      </c>
      <c r="O94" s="22" t="inlineStr">
        <is>
          <t>无直接文献</t>
        </is>
      </c>
      <c r="P94" s="23" t="n"/>
      <c r="Q94" s="23" t="n"/>
      <c r="R94" s="23" t="n"/>
      <c r="S94" s="23" t="n"/>
      <c r="T94" s="23" t="n"/>
      <c r="U94" s="23" t="n"/>
      <c r="V94" s="23" t="n"/>
      <c r="W94" s="23" t="n"/>
      <c r="X94" s="35">
        <f>IF(OR(R94="",R94-AP94&lt;=0),"",AB94/(R94-AP94))</f>
        <v/>
      </c>
      <c r="Y94" s="35">
        <f>IF(OR(AR94="",AR94=0),"",R94/AR94)</f>
        <v/>
      </c>
      <c r="Z94" s="24" t="inlineStr">
        <is>
          <t>待执行</t>
        </is>
      </c>
      <c r="AA94" s="23" t="n"/>
      <c r="AB94" s="38" t="n"/>
      <c r="AC94" s="38" t="n"/>
      <c r="AD94" s="38" t="n"/>
      <c r="AE94" s="38" t="n"/>
      <c r="AF94" s="38" t="n"/>
      <c r="AG94" s="38" t="n"/>
      <c r="AH94" s="38" t="n"/>
      <c r="AI94" s="38" t="n"/>
      <c r="AJ94" s="38" t="n"/>
      <c r="AK94" s="39" t="n"/>
      <c r="AL94" s="40">
        <f>IF(OR(R94="",R94-AP94&lt;=0),"",AO94/(R94-AP94))</f>
        <v/>
      </c>
      <c r="AM94" s="41">
        <f>IF(R94="","",SUM(AC94:AF94)-(R94-AP94))</f>
        <v/>
      </c>
      <c r="AN94" s="41">
        <f>IF(R94="","",SUM(S94:W94)+AP94-R94)</f>
        <v/>
      </c>
      <c r="AO94" s="44" t="n"/>
      <c r="AP94" s="45" t="n"/>
      <c r="AQ94" s="47" t="inlineStr">
        <is>
          <t>S05-a byte mask旋转；S05-b 高低byte mask互换；S05-c size错误</t>
        </is>
      </c>
      <c r="AR94" s="23" t="n"/>
      <c r="AS94" s="35">
        <f>IF(OR(Q94="",Q94=0),"",AR94/Q94)</f>
        <v/>
      </c>
      <c r="AT94" s="62" t="n">
        <v>30</v>
      </c>
      <c r="AU94" s="62" t="n">
        <v>385</v>
      </c>
      <c r="AV94" s="62" t="inlineStr">
        <is>
          <t>常规</t>
        </is>
      </c>
      <c r="AW94" s="62" t="inlineStr">
        <is>
          <t>累计至少385，不机械扩展到2401</t>
        </is>
      </c>
    </row>
    <row r="95" ht="94.15000000000001" customHeight="1" s="58">
      <c r="A95" s="21" t="inlineStr">
        <is>
          <t>S06-F0-W5</t>
        </is>
      </c>
      <c r="B95" s="21" t="inlineStr">
        <is>
          <t>S06</t>
        </is>
      </c>
      <c r="C95" s="21" t="inlineStr">
        <is>
          <t>Store Queue</t>
        </is>
      </c>
      <c r="D95" s="22" t="inlineStr">
        <is>
          <t>Store Queue 表项的 valid、committed、completed 生命周期状态。valid 表示槽中有有效 store，committed 表示已获准离开推测状态，completed 表示 cache 写请求已完成；状态过早或丢失可能漏写、重复释放或破坏精确异常。</t>
        </is>
      </c>
      <c r="E95" s="22" t="inlineStr">
        <is>
          <t>状态</t>
        </is>
      </c>
      <c r="F95"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5" s="22" t="inlineStr">
        <is>
          <t>F0</t>
        </is>
      </c>
      <c r="H95" s="22" t="inlineStr">
        <is>
          <t>每次运行只注入 1 次；在 warm-up 后的 eligible event 中均匀抽样</t>
        </is>
      </c>
      <c r="I95" s="22" t="inlineStr">
        <is>
          <t>SQ-Forward 转发探针（同地址/部分重叠 store-to-load forwarding、字节掩码、alias、replay）</t>
        </is>
      </c>
      <c r="J95" s="22" t="inlineStr">
        <is>
          <t>SQ-Forward 转发探针（同地址/部分重叠 store-to-load forwarding、字节掩码、alias、replay）
执行定义与 oracle：同地址与部分重叠 store-to-load forwarding、不同字节掩码、地址晚到/数据晚到、alias、replay</t>
        </is>
      </c>
      <c r="K95" s="22" t="inlineStr">
        <is>
          <t>状态转换边沿</t>
        </is>
      </c>
      <c r="L95" s="22" t="inlineStr">
        <is>
          <t>L0 项是否被读/转发/提交；L1 addr/data/mask/valid/age与影子SQ；L2 forwarding/replay/violation/SSIT-LFST；L3 cache写请求与ack；L4 commit及内存写日志；L5结局；状态机轨迹、ROB commit、cache request是否缺失/重复</t>
        </is>
      </c>
      <c r="M95" s="22" t="inlineStr">
        <is>
          <t>假completed可能丢store而SDC；提前committed可能破坏精确异常；valid丢失可能静默漏写</t>
        </is>
      </c>
      <c r="N95" s="22" t="inlineStr">
        <is>
          <t>覆盖store生命周期控制</t>
        </is>
      </c>
      <c r="O95" s="22" t="inlineStr">
        <is>
          <t>TC'23随机翻转基线</t>
        </is>
      </c>
      <c r="P95" s="23" t="n"/>
      <c r="Q95" s="23" t="n"/>
      <c r="R95" s="23" t="n"/>
      <c r="S95" s="23" t="n"/>
      <c r="T95" s="23" t="n"/>
      <c r="U95" s="23" t="n"/>
      <c r="V95" s="23" t="n"/>
      <c r="W95" s="23" t="n"/>
      <c r="X95" s="35">
        <f>IF(OR(R95="",R95-AP95&lt;=0),"",AB95/(R95-AP95))</f>
        <v/>
      </c>
      <c r="Y95" s="35">
        <f>IF(OR(AR95="",AR95=0),"",R95/AR95)</f>
        <v/>
      </c>
      <c r="Z95" s="24" t="inlineStr">
        <is>
          <t>待执行</t>
        </is>
      </c>
      <c r="AA95" s="23" t="n"/>
      <c r="AB95" s="38" t="n"/>
      <c r="AC95" s="38" t="n"/>
      <c r="AD95" s="38" t="n"/>
      <c r="AE95" s="38" t="n"/>
      <c r="AF95" s="38" t="n"/>
      <c r="AG95" s="38" t="n"/>
      <c r="AH95" s="38" t="n"/>
      <c r="AI95" s="38" t="n"/>
      <c r="AJ95" s="38" t="n"/>
      <c r="AK95" s="39" t="n"/>
      <c r="AL95" s="40">
        <f>IF(OR(R95="",R95-AP95&lt;=0),"",AO95/(R95-AP95))</f>
        <v/>
      </c>
      <c r="AM95" s="41">
        <f>IF(R95="","",SUM(AC95:AF95)-(R95-AP95))</f>
        <v/>
      </c>
      <c r="AN95" s="41">
        <f>IF(R95="","",SUM(S95:W95)+AP95-R95)</f>
        <v/>
      </c>
      <c r="AO95" s="44" t="n"/>
      <c r="AP95" s="45" t="n"/>
      <c r="AQ95" s="47" t="inlineStr">
        <is>
          <t>S06-a valid清零/伪置位；S06-b committed清零/伪置位；S06-c completed清零/伪置位</t>
        </is>
      </c>
      <c r="AR95" s="23" t="n"/>
      <c r="AS95" s="35">
        <f>IF(OR(Q95="",Q95=0),"",AR95/Q95)</f>
        <v/>
      </c>
      <c r="AT95" s="62" t="n">
        <v>30</v>
      </c>
      <c r="AU95" s="62" t="n">
        <v>385</v>
      </c>
      <c r="AV95" s="62" t="inlineStr">
        <is>
          <t>常规</t>
        </is>
      </c>
      <c r="AW95" s="62" t="inlineStr">
        <is>
          <t>累计至少385，不机械扩展到2401</t>
        </is>
      </c>
    </row>
    <row r="96" ht="94.15000000000001" customHeight="1" s="58">
      <c r="A96" s="21" t="inlineStr">
        <is>
          <t>S06-F0-W6</t>
        </is>
      </c>
      <c r="B96" s="21" t="inlineStr">
        <is>
          <t>S06</t>
        </is>
      </c>
      <c r="C96" s="21" t="inlineStr">
        <is>
          <t>Store Queue</t>
        </is>
      </c>
      <c r="D96" s="22" t="inlineStr">
        <is>
          <t>Store Queue 表项的 valid、committed、completed 生命周期状态。valid 表示槽中有有效 store，committed 表示已获准离开推测状态，completed 表示 cache 写请求已完成；状态过早或丢失可能漏写、重复释放或破坏精确异常。</t>
        </is>
      </c>
      <c r="E96" s="22" t="inlineStr">
        <is>
          <t>状态</t>
        </is>
      </c>
      <c r="F96"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6" s="22" t="inlineStr">
        <is>
          <t>F0</t>
        </is>
      </c>
      <c r="H96" s="22" t="inlineStr">
        <is>
          <t>每次运行只注入 1 次；在 warm-up 后的 eligible event 中均匀抽样</t>
        </is>
      </c>
      <c r="I96" s="22" t="inlineStr">
        <is>
          <t>Cache-DirtyEvict 缓存探针（0.5×/1×/2×L1D working set、conflict set、dirty eviction、writeback）</t>
        </is>
      </c>
      <c r="J96" s="22" t="inlineStr">
        <is>
          <t>Cache-DirtyEvict 缓存探针（0.5×/1×/2×L1D working set、conflict set、dirty eviction、writeback）
执行定义与 oracle：working set=0.5×/1×/2×L1D；读改写、dirty eviction、writeback、conflict set、共享行 false sharing</t>
        </is>
      </c>
      <c r="K96" s="22" t="inlineStr">
        <is>
          <t>状态转换边沿</t>
        </is>
      </c>
      <c r="L96" s="22" t="inlineStr">
        <is>
          <t>L0 项是否被读/转发/提交；L1 addr/data/mask/valid/age与影子SQ；L2 forwarding/replay/violation/SSIT-LFST；L3 cache写请求与ack；L4 commit及内存写日志；L5结局；状态机轨迹、ROB commit、cache request是否缺失/重复</t>
        </is>
      </c>
      <c r="M96" s="22" t="inlineStr">
        <is>
          <t>假completed可能丢store而SDC；提前committed可能破坏精确异常；valid丢失可能静默漏写</t>
        </is>
      </c>
      <c r="N96" s="22" t="inlineStr">
        <is>
          <t>覆盖store生命周期控制</t>
        </is>
      </c>
      <c r="O96" s="22" t="inlineStr">
        <is>
          <t>TC'23随机翻转基线</t>
        </is>
      </c>
      <c r="P96" s="23" t="n"/>
      <c r="Q96" s="23" t="n"/>
      <c r="R96" s="23" t="n"/>
      <c r="S96" s="23" t="n"/>
      <c r="T96" s="23" t="n"/>
      <c r="U96" s="23" t="n"/>
      <c r="V96" s="23" t="n"/>
      <c r="W96" s="23" t="n"/>
      <c r="X96" s="35">
        <f>IF(OR(R96="",R96-AP96&lt;=0),"",AB96/(R96-AP96))</f>
        <v/>
      </c>
      <c r="Y96" s="35">
        <f>IF(OR(AR96="",AR96=0),"",R96/AR96)</f>
        <v/>
      </c>
      <c r="Z96" s="24" t="inlineStr">
        <is>
          <t>待执行</t>
        </is>
      </c>
      <c r="AA96" s="23" t="n"/>
      <c r="AB96" s="38" t="n"/>
      <c r="AC96" s="38" t="n"/>
      <c r="AD96" s="38" t="n"/>
      <c r="AE96" s="38" t="n"/>
      <c r="AF96" s="38" t="n"/>
      <c r="AG96" s="38" t="n"/>
      <c r="AH96" s="38" t="n"/>
      <c r="AI96" s="38" t="n"/>
      <c r="AJ96" s="38" t="n"/>
      <c r="AK96" s="39" t="n"/>
      <c r="AL96" s="40">
        <f>IF(OR(R96="",R96-AP96&lt;=0),"",AO96/(R96-AP96))</f>
        <v/>
      </c>
      <c r="AM96" s="41">
        <f>IF(R96="","",SUM(AC96:AF96)-(R96-AP96))</f>
        <v/>
      </c>
      <c r="AN96" s="41">
        <f>IF(R96="","",SUM(S96:W96)+AP96-R96)</f>
        <v/>
      </c>
      <c r="AO96" s="44" t="n"/>
      <c r="AP96" s="45" t="n"/>
      <c r="AQ96" s="47" t="inlineStr">
        <is>
          <t>S06-a valid清零/伪置位；S06-b committed清零/伪置位；S06-c completed清零/伪置位</t>
        </is>
      </c>
      <c r="AR96" s="23" t="n"/>
      <c r="AS96" s="35">
        <f>IF(OR(Q96="",Q96=0),"",AR96/Q96)</f>
        <v/>
      </c>
      <c r="AT96" s="62" t="n">
        <v>30</v>
      </c>
      <c r="AU96" s="62" t="n">
        <v>385</v>
      </c>
      <c r="AV96" s="62" t="inlineStr">
        <is>
          <t>常规</t>
        </is>
      </c>
      <c r="AW96" s="62" t="inlineStr">
        <is>
          <t>累计至少385，不机械扩展到2401</t>
        </is>
      </c>
    </row>
    <row r="97" ht="94.15000000000001" customHeight="1" s="58">
      <c r="A97" s="21" t="inlineStr">
        <is>
          <t>S06-F2-W5</t>
        </is>
      </c>
      <c r="B97" s="21" t="inlineStr">
        <is>
          <t>S06</t>
        </is>
      </c>
      <c r="C97" s="21" t="inlineStr">
        <is>
          <t>Store Queue</t>
        </is>
      </c>
      <c r="D97" s="22" t="inlineStr">
        <is>
          <t>Store Queue 表项的 valid、committed、completed 生命周期状态。valid 表示槽中有有效 store，committed 表示已获准离开推测状态，completed 表示 cache 写请求已完成；状态过早或丢失可能漏写、重复释放或破坏精确异常。</t>
        </is>
      </c>
      <c r="E97" s="22" t="inlineStr">
        <is>
          <t>状态</t>
        </is>
      </c>
      <c r="F97"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7" s="22" t="inlineStr">
        <is>
          <t>F2</t>
        </is>
      </c>
      <c r="H97" s="22" t="inlineStr">
        <is>
          <t>平均每 100,000 个 eligible events 注入 1 次，间隔加入 ±50% 抖动</t>
        </is>
      </c>
      <c r="I97" s="22" t="inlineStr">
        <is>
          <t>SQ-Forward 转发探针（同地址/部分重叠 store-to-load forwarding、字节掩码、alias、replay）</t>
        </is>
      </c>
      <c r="J97" s="22" t="inlineStr">
        <is>
          <t>SQ-Forward 转发探针（同地址/部分重叠 store-to-load forwarding、字节掩码、alias、replay）
执行定义与 oracle：同地址与部分重叠 store-to-load forwarding、不同字节掩码、地址晚到/数据晚到、alias、replay</t>
        </is>
      </c>
      <c r="K97" s="22" t="inlineStr">
        <is>
          <t>状态转换边沿</t>
        </is>
      </c>
      <c r="L97" s="22" t="inlineStr">
        <is>
          <t>L0 项是否被读/转发/提交；L1 addr/data/mask/valid/age与影子SQ；L2 forwarding/replay/violation/SSIT-LFST；L3 cache写请求与ack；L4 commit及内存写日志；L5结局；状态机轨迹、ROB commit、cache request是否缺失/重复</t>
        </is>
      </c>
      <c r="M97" s="22" t="inlineStr">
        <is>
          <t>假completed可能丢store而SDC；提前committed可能破坏精确异常；valid丢失可能静默漏写</t>
        </is>
      </c>
      <c r="N97" s="22" t="inlineStr">
        <is>
          <t>覆盖store生命周期控制</t>
        </is>
      </c>
      <c r="O97" s="22" t="inlineStr">
        <is>
          <t>TC'23随机翻转基线</t>
        </is>
      </c>
      <c r="P97" s="23" t="n"/>
      <c r="Q97" s="23" t="n"/>
      <c r="R97" s="23" t="n"/>
      <c r="S97" s="23" t="n"/>
      <c r="T97" s="23" t="n"/>
      <c r="U97" s="23" t="n"/>
      <c r="V97" s="23" t="n"/>
      <c r="W97" s="23" t="n"/>
      <c r="X97" s="35">
        <f>IF(OR(R97="",R97-AP97&lt;=0),"",AB97/(R97-AP97))</f>
        <v/>
      </c>
      <c r="Y97" s="35">
        <f>IF(OR(AR97="",AR97=0),"",R97/AR97)</f>
        <v/>
      </c>
      <c r="Z97" s="24" t="inlineStr">
        <is>
          <t>待执行</t>
        </is>
      </c>
      <c r="AA97" s="23" t="n"/>
      <c r="AB97" s="38" t="n"/>
      <c r="AC97" s="38" t="n"/>
      <c r="AD97" s="38" t="n"/>
      <c r="AE97" s="38" t="n"/>
      <c r="AF97" s="38" t="n"/>
      <c r="AG97" s="38" t="n"/>
      <c r="AH97" s="38" t="n"/>
      <c r="AI97" s="38" t="n"/>
      <c r="AJ97" s="38" t="n"/>
      <c r="AK97" s="39" t="n"/>
      <c r="AL97" s="40">
        <f>IF(OR(R97="",R97-AP97&lt;=0),"",AO97/(R97-AP97))</f>
        <v/>
      </c>
      <c r="AM97" s="41">
        <f>IF(R97="","",SUM(AC97:AF97)-(R97-AP97))</f>
        <v/>
      </c>
      <c r="AN97" s="41">
        <f>IF(R97="","",SUM(S97:W97)+AP97-R97)</f>
        <v/>
      </c>
      <c r="AO97" s="44" t="n"/>
      <c r="AP97" s="45" t="n"/>
      <c r="AQ97" s="47" t="inlineStr">
        <is>
          <t>S06-a valid清零/伪置位；S06-b committed清零/伪置位；S06-c completed清零/伪置位</t>
        </is>
      </c>
      <c r="AR97" s="23" t="n"/>
      <c r="AS97" s="35">
        <f>IF(OR(Q97="",Q97=0),"",AR97/Q97)</f>
        <v/>
      </c>
      <c r="AT97" s="62" t="n">
        <v>30</v>
      </c>
      <c r="AU97" s="62" t="n">
        <v>385</v>
      </c>
      <c r="AV97" s="62" t="inlineStr">
        <is>
          <t>常规</t>
        </is>
      </c>
      <c r="AW97" s="62" t="inlineStr">
        <is>
          <t>累计至少385，不机械扩展到2401</t>
        </is>
      </c>
    </row>
    <row r="98" ht="94.15000000000001" customHeight="1" s="58">
      <c r="A98" s="21" t="inlineStr">
        <is>
          <t>S06-F2-W6</t>
        </is>
      </c>
      <c r="B98" s="21" t="inlineStr">
        <is>
          <t>S06</t>
        </is>
      </c>
      <c r="C98" s="21" t="inlineStr">
        <is>
          <t>Store Queue</t>
        </is>
      </c>
      <c r="D98" s="22" t="inlineStr">
        <is>
          <t>Store Queue 表项的 valid、committed、completed 生命周期状态。valid 表示槽中有有效 store，committed 表示已获准离开推测状态，completed 表示 cache 写请求已完成；状态过早或丢失可能漏写、重复释放或破坏精确异常。</t>
        </is>
      </c>
      <c r="E98" s="22" t="inlineStr">
        <is>
          <t>状态</t>
        </is>
      </c>
      <c r="F98"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8" s="22" t="inlineStr">
        <is>
          <t>F2</t>
        </is>
      </c>
      <c r="H98" s="22" t="inlineStr">
        <is>
          <t>平均每 100,000 个 eligible events 注入 1 次，间隔加入 ±50% 抖动</t>
        </is>
      </c>
      <c r="I98" s="22" t="inlineStr">
        <is>
          <t>Cache-DirtyEvict 缓存探针（0.5×/1×/2×L1D working set、conflict set、dirty eviction、writeback）</t>
        </is>
      </c>
      <c r="J98" s="22" t="inlineStr">
        <is>
          <t>Cache-DirtyEvict 缓存探针（0.5×/1×/2×L1D working set、conflict set、dirty eviction、writeback）
执行定义与 oracle：working set=0.5×/1×/2×L1D；读改写、dirty eviction、writeback、conflict set、共享行 false sharing</t>
        </is>
      </c>
      <c r="K98" s="22" t="inlineStr">
        <is>
          <t>状态转换边沿</t>
        </is>
      </c>
      <c r="L98" s="22" t="inlineStr">
        <is>
          <t>L0 项是否被读/转发/提交；L1 addr/data/mask/valid/age与影子SQ；L2 forwarding/replay/violation/SSIT-LFST；L3 cache写请求与ack；L4 commit及内存写日志；L5结局；状态机轨迹、ROB commit、cache request是否缺失/重复</t>
        </is>
      </c>
      <c r="M98" s="22" t="inlineStr">
        <is>
          <t>假completed可能丢store而SDC；提前committed可能破坏精确异常；valid丢失可能静默漏写</t>
        </is>
      </c>
      <c r="N98" s="22" t="inlineStr">
        <is>
          <t>覆盖store生命周期控制</t>
        </is>
      </c>
      <c r="O98" s="22" t="inlineStr">
        <is>
          <t>TC'23随机翻转基线</t>
        </is>
      </c>
      <c r="P98" s="23" t="n"/>
      <c r="Q98" s="23" t="n"/>
      <c r="R98" s="23" t="n"/>
      <c r="S98" s="23" t="n"/>
      <c r="T98" s="23" t="n"/>
      <c r="U98" s="23" t="n"/>
      <c r="V98" s="23" t="n"/>
      <c r="W98" s="23" t="n"/>
      <c r="X98" s="35">
        <f>IF(OR(R98="",R98-AP98&lt;=0),"",AB98/(R98-AP98))</f>
        <v/>
      </c>
      <c r="Y98" s="35">
        <f>IF(OR(AR98="",AR98=0),"",R98/AR98)</f>
        <v/>
      </c>
      <c r="Z98" s="24" t="inlineStr">
        <is>
          <t>待执行</t>
        </is>
      </c>
      <c r="AA98" s="23" t="n"/>
      <c r="AB98" s="38" t="n"/>
      <c r="AC98" s="38" t="n"/>
      <c r="AD98" s="38" t="n"/>
      <c r="AE98" s="38" t="n"/>
      <c r="AF98" s="38" t="n"/>
      <c r="AG98" s="38" t="n"/>
      <c r="AH98" s="38" t="n"/>
      <c r="AI98" s="38" t="n"/>
      <c r="AJ98" s="38" t="n"/>
      <c r="AK98" s="39" t="n"/>
      <c r="AL98" s="40">
        <f>IF(OR(R98="",R98-AP98&lt;=0),"",AO98/(R98-AP98))</f>
        <v/>
      </c>
      <c r="AM98" s="41">
        <f>IF(R98="","",SUM(AC98:AF98)-(R98-AP98))</f>
        <v/>
      </c>
      <c r="AN98" s="41">
        <f>IF(R98="","",SUM(S98:W98)+AP98-R98)</f>
        <v/>
      </c>
      <c r="AO98" s="44" t="n"/>
      <c r="AP98" s="45" t="n"/>
      <c r="AQ98" s="47" t="inlineStr">
        <is>
          <t>S06-a valid清零/伪置位；S06-b committed清零/伪置位；S06-c completed清零/伪置位</t>
        </is>
      </c>
      <c r="AR98" s="23" t="n"/>
      <c r="AS98" s="35">
        <f>IF(OR(Q98="",Q98=0),"",AR98/Q98)</f>
        <v/>
      </c>
      <c r="AT98" s="62" t="n">
        <v>30</v>
      </c>
      <c r="AU98" s="62" t="n">
        <v>385</v>
      </c>
      <c r="AV98" s="62" t="inlineStr">
        <is>
          <t>常规</t>
        </is>
      </c>
      <c r="AW98" s="62" t="inlineStr">
        <is>
          <t>累计至少385，不机械扩展到2401</t>
        </is>
      </c>
    </row>
    <row r="99" ht="94.15000000000001" customHeight="1" s="58">
      <c r="A99" s="21" t="inlineStr">
        <is>
          <t>S06-F6-W5</t>
        </is>
      </c>
      <c r="B99" s="21" t="inlineStr">
        <is>
          <t>S06</t>
        </is>
      </c>
      <c r="C99" s="21" t="inlineStr">
        <is>
          <t>Store Queue</t>
        </is>
      </c>
      <c r="D99" s="22" t="inlineStr">
        <is>
          <t>Store Queue 表项的 valid、committed、completed 生命周期状态。valid 表示槽中有有效 store，committed 表示已获准离开推测状态，completed 表示 cache 写请求已完成；状态过早或丢失可能漏写、重复释放或破坏精确异常。</t>
        </is>
      </c>
      <c r="E99" s="22" t="inlineStr">
        <is>
          <t>状态</t>
        </is>
      </c>
      <c r="F99"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9" s="22" t="inlineStr">
        <is>
          <t>F6</t>
        </is>
      </c>
      <c r="H99" s="22" t="inlineStr">
        <is>
          <t>首次出现指定事件时注入一次，如 TLB hit、SQ forward、dirty eviction、CAS 成功</t>
        </is>
      </c>
      <c r="I99" s="22" t="inlineStr">
        <is>
          <t>SQ-Forward 转发探针（同地址/部分重叠 store-to-load forwarding、字节掩码、alias、replay）</t>
        </is>
      </c>
      <c r="J99" s="22" t="inlineStr">
        <is>
          <t>SQ-Forward 转发探针（同地址/部分重叠 store-to-load forwarding、字节掩码、alias、replay）
执行定义与 oracle：同地址与部分重叠 store-to-load forwarding、不同字节掩码、地址晚到/数据晚到、alias、replay</t>
        </is>
      </c>
      <c r="K99" s="22" t="inlineStr">
        <is>
          <t>状态转换边沿</t>
        </is>
      </c>
      <c r="L99" s="22" t="inlineStr">
        <is>
          <t>L0 项是否被读/转发/提交；L1 addr/data/mask/valid/age与影子SQ；L2 forwarding/replay/violation/SSIT-LFST；L3 cache写请求与ack；L4 commit及内存写日志；L5结局；状态机轨迹、ROB commit、cache request是否缺失/重复</t>
        </is>
      </c>
      <c r="M99" s="22" t="inlineStr">
        <is>
          <t>假completed可能丢store而SDC；提前committed可能破坏精确异常；valid丢失可能静默漏写</t>
        </is>
      </c>
      <c r="N99" s="22" t="inlineStr">
        <is>
          <t>覆盖store生命周期控制</t>
        </is>
      </c>
      <c r="O99" s="22" t="inlineStr">
        <is>
          <t>TC'23随机翻转基线</t>
        </is>
      </c>
      <c r="P99" s="23" t="n"/>
      <c r="Q99" s="23" t="n"/>
      <c r="R99" s="23" t="n"/>
      <c r="S99" s="23" t="n"/>
      <c r="T99" s="23" t="n"/>
      <c r="U99" s="23" t="n"/>
      <c r="V99" s="23" t="n"/>
      <c r="W99" s="23" t="n"/>
      <c r="X99" s="35">
        <f>IF(OR(R99="",R99-AP99&lt;=0),"",AB99/(R99-AP99))</f>
        <v/>
      </c>
      <c r="Y99" s="35">
        <f>IF(OR(AR99="",AR99=0),"",R99/AR99)</f>
        <v/>
      </c>
      <c r="Z99" s="24" t="inlineStr">
        <is>
          <t>待执行</t>
        </is>
      </c>
      <c r="AA99" s="23" t="n"/>
      <c r="AB99" s="38" t="n"/>
      <c r="AC99" s="38" t="n"/>
      <c r="AD99" s="38" t="n"/>
      <c r="AE99" s="38" t="n"/>
      <c r="AF99" s="38" t="n"/>
      <c r="AG99" s="38" t="n"/>
      <c r="AH99" s="38" t="n"/>
      <c r="AI99" s="38" t="n"/>
      <c r="AJ99" s="38" t="n"/>
      <c r="AK99" s="39" t="n"/>
      <c r="AL99" s="40">
        <f>IF(OR(R99="",R99-AP99&lt;=0),"",AO99/(R99-AP99))</f>
        <v/>
      </c>
      <c r="AM99" s="41">
        <f>IF(R99="","",SUM(AC99:AF99)-(R99-AP99))</f>
        <v/>
      </c>
      <c r="AN99" s="41">
        <f>IF(R99="","",SUM(S99:W99)+AP99-R99)</f>
        <v/>
      </c>
      <c r="AO99" s="44" t="n"/>
      <c r="AP99" s="45" t="n"/>
      <c r="AQ99" s="47" t="inlineStr">
        <is>
          <t>S06-a valid清零/伪置位；S06-b committed清零/伪置位；S06-c completed清零/伪置位</t>
        </is>
      </c>
      <c r="AR99" s="23" t="n"/>
      <c r="AS99" s="35">
        <f>IF(OR(Q99="",Q99=0),"",AR99/Q99)</f>
        <v/>
      </c>
      <c r="AT99" s="62" t="n">
        <v>30</v>
      </c>
      <c r="AU99" s="62" t="n">
        <v>385</v>
      </c>
      <c r="AV99" s="62" t="inlineStr">
        <is>
          <t>常规</t>
        </is>
      </c>
      <c r="AW99" s="62" t="inlineStr">
        <is>
          <t>累计至少385，不机械扩展到2401</t>
        </is>
      </c>
    </row>
    <row r="100" ht="94.15000000000001" customHeight="1" s="58">
      <c r="A100" s="21" t="inlineStr">
        <is>
          <t>S06-F6-W6</t>
        </is>
      </c>
      <c r="B100" s="21" t="inlineStr">
        <is>
          <t>S06</t>
        </is>
      </c>
      <c r="C100" s="21" t="inlineStr">
        <is>
          <t>Store Queue</t>
        </is>
      </c>
      <c r="D100" s="22" t="inlineStr">
        <is>
          <t>Store Queue 表项的 valid、committed、completed 生命周期状态。valid 表示槽中有有效 store，committed 表示已获准离开推测状态，completed 表示 cache 写请求已完成；状态过早或丢失可能漏写、重复释放或破坏精确异常。</t>
        </is>
      </c>
      <c r="E100" s="22" t="inlineStr">
        <is>
          <t>状态</t>
        </is>
      </c>
      <c r="F100"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100" s="22" t="inlineStr">
        <is>
          <t>F6</t>
        </is>
      </c>
      <c r="H100" s="22" t="inlineStr">
        <is>
          <t>首次出现指定事件时注入一次，如 TLB hit、SQ forward、dirty eviction、CAS 成功</t>
        </is>
      </c>
      <c r="I100" s="22" t="inlineStr">
        <is>
          <t>Cache-DirtyEvict 缓存探针（0.5×/1×/2×L1D working set、conflict set、dirty eviction、writeback）</t>
        </is>
      </c>
      <c r="J100" s="22" t="inlineStr">
        <is>
          <t>Cache-DirtyEvict 缓存探针（0.5×/1×/2×L1D working set、conflict set、dirty eviction、writeback）
执行定义与 oracle：working set=0.5×/1×/2×L1D；读改写、dirty eviction、writeback、conflict set、共享行 false sharing</t>
        </is>
      </c>
      <c r="K100" s="22" t="inlineStr">
        <is>
          <t>状态转换边沿</t>
        </is>
      </c>
      <c r="L100" s="22" t="inlineStr">
        <is>
          <t>L0 项是否被读/转发/提交；L1 addr/data/mask/valid/age与影子SQ；L2 forwarding/replay/violation/SSIT-LFST；L3 cache写请求与ack；L4 commit及内存写日志；L5结局；状态机轨迹、ROB commit、cache request是否缺失/重复</t>
        </is>
      </c>
      <c r="M100" s="22" t="inlineStr">
        <is>
          <t>假completed可能丢store而SDC；提前committed可能破坏精确异常；valid丢失可能静默漏写</t>
        </is>
      </c>
      <c r="N100" s="22" t="inlineStr">
        <is>
          <t>覆盖store生命周期控制</t>
        </is>
      </c>
      <c r="O100" s="22" t="inlineStr">
        <is>
          <t>TC'23随机翻转基线</t>
        </is>
      </c>
      <c r="P100" s="23" t="n"/>
      <c r="Q100" s="23" t="n"/>
      <c r="R100" s="23" t="n"/>
      <c r="S100" s="23" t="n"/>
      <c r="T100" s="23" t="n"/>
      <c r="U100" s="23" t="n"/>
      <c r="V100" s="23" t="n"/>
      <c r="W100" s="23" t="n"/>
      <c r="X100" s="35">
        <f>IF(OR(R100="",R100-AP100&lt;=0),"",AB100/(R100-AP100))</f>
        <v/>
      </c>
      <c r="Y100" s="35">
        <f>IF(OR(AR100="",AR100=0),"",R100/AR100)</f>
        <v/>
      </c>
      <c r="Z100" s="24" t="inlineStr">
        <is>
          <t>待执行</t>
        </is>
      </c>
      <c r="AA100" s="23" t="n"/>
      <c r="AB100" s="38" t="n"/>
      <c r="AC100" s="38" t="n"/>
      <c r="AD100" s="38" t="n"/>
      <c r="AE100" s="38" t="n"/>
      <c r="AF100" s="38" t="n"/>
      <c r="AG100" s="38" t="n"/>
      <c r="AH100" s="38" t="n"/>
      <c r="AI100" s="38" t="n"/>
      <c r="AJ100" s="38" t="n"/>
      <c r="AK100" s="39" t="n"/>
      <c r="AL100" s="40">
        <f>IF(OR(R100="",R100-AP100&lt;=0),"",AO100/(R100-AP100))</f>
        <v/>
      </c>
      <c r="AM100" s="41">
        <f>IF(R100="","",SUM(AC100:AF100)-(R100-AP100))</f>
        <v/>
      </c>
      <c r="AN100" s="41">
        <f>IF(R100="","",SUM(S100:W100)+AP100-R100)</f>
        <v/>
      </c>
      <c r="AO100" s="44" t="n"/>
      <c r="AP100" s="45" t="n"/>
      <c r="AQ100" s="47" t="inlineStr">
        <is>
          <t>S06-a valid清零/伪置位；S06-b committed清零/伪置位；S06-c completed清零/伪置位</t>
        </is>
      </c>
      <c r="AR100" s="23" t="n"/>
      <c r="AS100" s="35">
        <f>IF(OR(Q100="",Q100=0),"",AR100/Q100)</f>
        <v/>
      </c>
      <c r="AT100" s="62" t="n">
        <v>30</v>
      </c>
      <c r="AU100" s="62" t="n">
        <v>385</v>
      </c>
      <c r="AV100" s="62" t="inlineStr">
        <is>
          <t>常规</t>
        </is>
      </c>
      <c r="AW100" s="62" t="inlineStr">
        <is>
          <t>累计至少385，不机械扩展到2401</t>
        </is>
      </c>
    </row>
    <row r="101" ht="94.15000000000001" customHeight="1" s="58">
      <c r="A101" s="21" t="inlineStr">
        <is>
          <t>S07-F0-W5</t>
        </is>
      </c>
      <c r="B101" s="21" t="inlineStr">
        <is>
          <t>S07</t>
        </is>
      </c>
      <c r="C101" s="21" t="inlineStr">
        <is>
          <t>Store Queue</t>
        </is>
      </c>
      <c r="D101" s="22" t="inlineStr">
        <is>
          <t>Store Queue 的 head/tail 指针、age/sequence 顺序号和选择逻辑。它们维护占用范围以及 store 的程序顺序，决定下一条可提交/排空的表项；错误可能错选另一条仍然有效的 store。</t>
        </is>
      </c>
      <c r="E101" s="22" t="inlineStr">
        <is>
          <t>换值</t>
        </is>
      </c>
      <c r="F101"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1" s="22" t="inlineStr">
        <is>
          <t>F0</t>
        </is>
      </c>
      <c r="H101" s="22" t="inlineStr">
        <is>
          <t>每次运行只注入 1 次；在 warm-up 后的 eligible event 中均匀抽样</t>
        </is>
      </c>
      <c r="I101" s="22" t="inlineStr">
        <is>
          <t>SQ-Forward 转发探针（同地址/部分重叠 store-to-load forwarding、字节掩码、alias、replay）</t>
        </is>
      </c>
      <c r="J101" s="22" t="inlineStr">
        <is>
          <t>SQ-Forward 转发探针（同地址/部分重叠 store-to-load forwarding、字节掩码、alias、replay）
执行定义与 oracle：同地址与部分重叠 store-to-load forwarding、不同字节掩码、地址晚到/数据晚到、alias、replay</t>
        </is>
      </c>
      <c r="K101" s="22" t="inlineStr">
        <is>
          <t>SQ占用≥2</t>
        </is>
      </c>
      <c r="L101" s="22" t="inlineStr">
        <is>
          <t>L0 项是否被读/转发/提交；L1 addr/data/mask/valid/age与影子SQ；L2 forwarding/replay/violation/SSIT-LFST；L3 cache写请求与ack；L4 commit及内存写日志；L5结局；占用计数守恒、head/tail距离、dynInst唯一性、提交序</t>
        </is>
      </c>
      <c r="M101" s="22" t="inlineStr">
        <is>
          <t>可导致乱序写、漏写或重复写；结构不变量可能先于SDC出现</t>
        </is>
      </c>
      <c r="N101" s="22" t="inlineStr">
        <is>
          <t>研究指针故障的前期特征</t>
        </is>
      </c>
      <c r="O101" s="22" t="inlineStr">
        <is>
          <t>无直接文献</t>
        </is>
      </c>
      <c r="P101" s="23" t="n"/>
      <c r="Q101" s="23" t="n"/>
      <c r="R101" s="23" t="n"/>
      <c r="S101" s="23" t="n"/>
      <c r="T101" s="23" t="n"/>
      <c r="U101" s="23" t="n"/>
      <c r="V101" s="23" t="n"/>
      <c r="W101" s="23" t="n"/>
      <c r="X101" s="35">
        <f>IF(OR(R101="",R101-AP101&lt;=0),"",AB101/(R101-AP101))</f>
        <v/>
      </c>
      <c r="Y101" s="35">
        <f>IF(OR(AR101="",AR101=0),"",R101/AR101)</f>
        <v/>
      </c>
      <c r="Z101" s="24" t="inlineStr">
        <is>
          <t>待执行</t>
        </is>
      </c>
      <c r="AA101" s="23" t="n"/>
      <c r="AB101" s="38" t="n"/>
      <c r="AC101" s="38" t="n"/>
      <c r="AD101" s="38" t="n"/>
      <c r="AE101" s="38" t="n"/>
      <c r="AF101" s="38" t="n"/>
      <c r="AG101" s="38" t="n"/>
      <c r="AH101" s="38" t="n"/>
      <c r="AI101" s="38" t="n"/>
      <c r="AJ101" s="38" t="n"/>
      <c r="AK101" s="39" t="n"/>
      <c r="AL101" s="40">
        <f>IF(OR(R101="",R101-AP101&lt;=0),"",AO101/(R101-AP101))</f>
        <v/>
      </c>
      <c r="AM101" s="41">
        <f>IF(R101="","",SUM(AC101:AF101)-(R101-AP101))</f>
        <v/>
      </c>
      <c r="AN101" s="41">
        <f>IF(R101="","",SUM(S101:W101)+AP101-R101)</f>
        <v/>
      </c>
      <c r="AO101" s="44" t="n"/>
      <c r="AP101" s="45" t="n"/>
      <c r="AQ101" s="47" t="inlineStr">
        <is>
          <t>S07-a pointer±1；S07-b age顺序互换；S07-c 选择错误valid entry</t>
        </is>
      </c>
      <c r="AR101" s="23" t="n"/>
      <c r="AS101" s="35">
        <f>IF(OR(Q101="",Q101=0),"",AR101/Q101)</f>
        <v/>
      </c>
      <c r="AT101" s="62" t="n">
        <v>30</v>
      </c>
      <c r="AU101" s="62" t="n">
        <v>385</v>
      </c>
      <c r="AV101" s="62" t="inlineStr">
        <is>
          <t>常规</t>
        </is>
      </c>
      <c r="AW101" s="62" t="inlineStr">
        <is>
          <t>累计至少385，不机械扩展到2401</t>
        </is>
      </c>
    </row>
    <row r="102" ht="94.15000000000001" customHeight="1" s="58">
      <c r="A102" s="21" t="inlineStr">
        <is>
          <t>S07-F4-W5</t>
        </is>
      </c>
      <c r="B102" s="21" t="inlineStr">
        <is>
          <t>S07</t>
        </is>
      </c>
      <c r="C102" s="21" t="inlineStr">
        <is>
          <t>Store Queue</t>
        </is>
      </c>
      <c r="D102" s="22" t="inlineStr">
        <is>
          <t>Store Queue 的 head/tail 指针、age/sequence 顺序号和选择逻辑。它们维护占用范围以及 store 的程序顺序，决定下一条可提交/排空的表项；错误可能错选另一条仍然有效的 store。</t>
        </is>
      </c>
      <c r="E102" s="22" t="inlineStr">
        <is>
          <t>换值</t>
        </is>
      </c>
      <c r="F102"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2" s="22" t="inlineStr">
        <is>
          <t>F4</t>
        </is>
      </c>
      <c r="H102" s="22" t="inlineStr">
        <is>
          <t>每 100,000 个 eligible events 触发一次，连续污染 2-4 个 eligible events</t>
        </is>
      </c>
      <c r="I102" s="22" t="inlineStr">
        <is>
          <t>SQ-Forward 转发探针（同地址/部分重叠 store-to-load forwarding、字节掩码、alias、replay）</t>
        </is>
      </c>
      <c r="J102" s="22" t="inlineStr">
        <is>
          <t>SQ-Forward 转发探针（同地址/部分重叠 store-to-load forwarding、字节掩码、alias、replay）
执行定义与 oracle：同地址与部分重叠 store-to-load forwarding、不同字节掩码、地址晚到/数据晚到、alias、replay</t>
        </is>
      </c>
      <c r="K102" s="22" t="inlineStr">
        <is>
          <t>SQ占用≥2</t>
        </is>
      </c>
      <c r="L102" s="22" t="inlineStr">
        <is>
          <t>L0 项是否被读/转发/提交；L1 addr/data/mask/valid/age与影子SQ；L2 forwarding/replay/violation/SSIT-LFST；L3 cache写请求与ack；L4 commit及内存写日志；L5结局；占用计数守恒、head/tail距离、dynInst唯一性、提交序</t>
        </is>
      </c>
      <c r="M102" s="22" t="inlineStr">
        <is>
          <t>可导致乱序写、漏写或重复写；结构不变量可能先于SDC出现</t>
        </is>
      </c>
      <c r="N102" s="22" t="inlineStr">
        <is>
          <t>研究指针故障的前期特征</t>
        </is>
      </c>
      <c r="O102" s="22" t="inlineStr">
        <is>
          <t>无直接文献</t>
        </is>
      </c>
      <c r="P102" s="23" t="n"/>
      <c r="Q102" s="23" t="n"/>
      <c r="R102" s="23" t="n"/>
      <c r="S102" s="23" t="n"/>
      <c r="T102" s="23" t="n"/>
      <c r="U102" s="23" t="n"/>
      <c r="V102" s="23" t="n"/>
      <c r="W102" s="23" t="n"/>
      <c r="X102" s="35">
        <f>IF(OR(R102="",R102-AP102&lt;=0),"",AB102/(R102-AP102))</f>
        <v/>
      </c>
      <c r="Y102" s="35">
        <f>IF(OR(AR102="",AR102=0),"",R102/AR102)</f>
        <v/>
      </c>
      <c r="Z102" s="24" t="inlineStr">
        <is>
          <t>待执行</t>
        </is>
      </c>
      <c r="AA102" s="23" t="n"/>
      <c r="AB102" s="38" t="n"/>
      <c r="AC102" s="38" t="n"/>
      <c r="AD102" s="38" t="n"/>
      <c r="AE102" s="38" t="n"/>
      <c r="AF102" s="38" t="n"/>
      <c r="AG102" s="38" t="n"/>
      <c r="AH102" s="38" t="n"/>
      <c r="AI102" s="38" t="n"/>
      <c r="AJ102" s="38" t="n"/>
      <c r="AK102" s="39" t="n"/>
      <c r="AL102" s="40">
        <f>IF(OR(R102="",R102-AP102&lt;=0),"",AO102/(R102-AP102))</f>
        <v/>
      </c>
      <c r="AM102" s="41">
        <f>IF(R102="","",SUM(AC102:AF102)-(R102-AP102))</f>
        <v/>
      </c>
      <c r="AN102" s="41">
        <f>IF(R102="","",SUM(S102:W102)+AP102-R102)</f>
        <v/>
      </c>
      <c r="AO102" s="44" t="n"/>
      <c r="AP102" s="45" t="n"/>
      <c r="AQ102" s="47" t="inlineStr">
        <is>
          <t>S07-a pointer±1；S07-b age顺序互换；S07-c 选择错误valid entry</t>
        </is>
      </c>
      <c r="AR102" s="23" t="n"/>
      <c r="AS102" s="35">
        <f>IF(OR(Q102="",Q102=0),"",AR102/Q102)</f>
        <v/>
      </c>
      <c r="AT102" s="62" t="n">
        <v>30</v>
      </c>
      <c r="AU102" s="62" t="n">
        <v>385</v>
      </c>
      <c r="AV102" s="62" t="inlineStr">
        <is>
          <t>常规</t>
        </is>
      </c>
      <c r="AW102" s="62" t="inlineStr">
        <is>
          <t>累计至少385，不机械扩展到2401</t>
        </is>
      </c>
    </row>
    <row r="103" ht="94.15000000000001" customHeight="1" s="58">
      <c r="A103" s="21" t="inlineStr">
        <is>
          <t>S07-F6-W5</t>
        </is>
      </c>
      <c r="B103" s="21" t="inlineStr">
        <is>
          <t>S07</t>
        </is>
      </c>
      <c r="C103" s="21" t="inlineStr">
        <is>
          <t>Store Queue</t>
        </is>
      </c>
      <c r="D103" s="22" t="inlineStr">
        <is>
          <t>Store Queue 的 head/tail 指针、age/sequence 顺序号和选择逻辑。它们维护占用范围以及 store 的程序顺序，决定下一条可提交/排空的表项；错误可能错选另一条仍然有效的 store。</t>
        </is>
      </c>
      <c r="E103" s="22" t="inlineStr">
        <is>
          <t>换值</t>
        </is>
      </c>
      <c r="F103"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3" s="22" t="inlineStr">
        <is>
          <t>F6</t>
        </is>
      </c>
      <c r="H103" s="22" t="inlineStr">
        <is>
          <t>首次出现指定事件时注入一次，如 TLB hit、SQ forward、dirty eviction、CAS 成功</t>
        </is>
      </c>
      <c r="I103" s="22" t="inlineStr">
        <is>
          <t>SQ-Forward 转发探针（同地址/部分重叠 store-to-load forwarding、字节掩码、alias、replay）</t>
        </is>
      </c>
      <c r="J103" s="22" t="inlineStr">
        <is>
          <t>SQ-Forward 转发探针（同地址/部分重叠 store-to-load forwarding、字节掩码、alias、replay）
执行定义与 oracle：同地址与部分重叠 store-to-load forwarding、不同字节掩码、地址晚到/数据晚到、alias、replay</t>
        </is>
      </c>
      <c r="K103" s="22" t="inlineStr">
        <is>
          <t>SQ占用≥2</t>
        </is>
      </c>
      <c r="L103" s="22" t="inlineStr">
        <is>
          <t>L0 项是否被读/转发/提交；L1 addr/data/mask/valid/age与影子SQ；L2 forwarding/replay/violation/SSIT-LFST；L3 cache写请求与ack；L4 commit及内存写日志；L5结局；占用计数守恒、head/tail距离、dynInst唯一性、提交序</t>
        </is>
      </c>
      <c r="M103" s="22" t="inlineStr">
        <is>
          <t>可导致乱序写、漏写或重复写；结构不变量可能先于SDC出现</t>
        </is>
      </c>
      <c r="N103" s="22" t="inlineStr">
        <is>
          <t>研究指针故障的前期特征</t>
        </is>
      </c>
      <c r="O103" s="22" t="inlineStr">
        <is>
          <t>无直接文献</t>
        </is>
      </c>
      <c r="P103" s="23" t="n"/>
      <c r="Q103" s="23" t="n"/>
      <c r="R103" s="23" t="n"/>
      <c r="S103" s="23" t="n"/>
      <c r="T103" s="23" t="n"/>
      <c r="U103" s="23" t="n"/>
      <c r="V103" s="23" t="n"/>
      <c r="W103" s="23" t="n"/>
      <c r="X103" s="35">
        <f>IF(OR(R103="",R103-AP103&lt;=0),"",AB103/(R103-AP103))</f>
        <v/>
      </c>
      <c r="Y103" s="35">
        <f>IF(OR(AR103="",AR103=0),"",R103/AR103)</f>
        <v/>
      </c>
      <c r="Z103" s="24" t="inlineStr">
        <is>
          <t>待执行</t>
        </is>
      </c>
      <c r="AA103" s="23" t="n"/>
      <c r="AB103" s="38" t="n"/>
      <c r="AC103" s="38" t="n"/>
      <c r="AD103" s="38" t="n"/>
      <c r="AE103" s="38" t="n"/>
      <c r="AF103" s="38" t="n"/>
      <c r="AG103" s="38" t="n"/>
      <c r="AH103" s="38" t="n"/>
      <c r="AI103" s="38" t="n"/>
      <c r="AJ103" s="38" t="n"/>
      <c r="AK103" s="39" t="n"/>
      <c r="AL103" s="40">
        <f>IF(OR(R103="",R103-AP103&lt;=0),"",AO103/(R103-AP103))</f>
        <v/>
      </c>
      <c r="AM103" s="41">
        <f>IF(R103="","",SUM(AC103:AF103)-(R103-AP103))</f>
        <v/>
      </c>
      <c r="AN103" s="41">
        <f>IF(R103="","",SUM(S103:W103)+AP103-R103)</f>
        <v/>
      </c>
      <c r="AO103" s="44" t="n"/>
      <c r="AP103" s="45" t="n"/>
      <c r="AQ103" s="47" t="inlineStr">
        <is>
          <t>S07-a pointer±1；S07-b age顺序互换；S07-c 选择错误valid entry</t>
        </is>
      </c>
      <c r="AR103" s="23" t="n"/>
      <c r="AS103" s="35">
        <f>IF(OR(Q103="",Q103=0),"",AR103/Q103)</f>
        <v/>
      </c>
      <c r="AT103" s="62" t="n">
        <v>30</v>
      </c>
      <c r="AU103" s="62" t="n">
        <v>385</v>
      </c>
      <c r="AV103" s="62" t="inlineStr">
        <is>
          <t>常规</t>
        </is>
      </c>
      <c r="AW103" s="62" t="inlineStr">
        <is>
          <t>累计至少385，不机械扩展到2401</t>
        </is>
      </c>
    </row>
    <row r="104" ht="94.15000000000001" customHeight="1" s="58">
      <c r="A104" s="21" t="inlineStr">
        <is>
          <t>S08-F0-W5</t>
        </is>
      </c>
      <c r="B104" s="21" t="inlineStr">
        <is>
          <t>S08</t>
        </is>
      </c>
      <c r="C104" s="21" t="inlineStr">
        <is>
          <t>Store Queue</t>
        </is>
      </c>
      <c r="D104"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4" s="22" t="inlineStr">
        <is>
          <t>换值</t>
        </is>
      </c>
      <c r="F104"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4" s="22" t="inlineStr">
        <is>
          <t>F0</t>
        </is>
      </c>
      <c r="H104" s="22" t="inlineStr">
        <is>
          <t>每次运行只注入 1 次；在 warm-up 后的 eligible event 中均匀抽样</t>
        </is>
      </c>
      <c r="I104" s="22" t="inlineStr">
        <is>
          <t>SQ-Forward 转发探针（同地址/部分重叠 store-to-load forwarding、字节掩码、alias、replay）</t>
        </is>
      </c>
      <c r="J104" s="22" t="inlineStr">
        <is>
          <t>SQ-Forward 转发探针（同地址/部分重叠 store-to-load forwarding、字节掩码、alias、replay）
执行定义与 oracle：同地址与部分重叠 store-to-load forwarding、不同字节掩码、地址晚到/数据晚到、alias、replay</t>
        </is>
      </c>
      <c r="K104" s="22" t="inlineStr">
        <is>
          <t>发生地址重叠load</t>
        </is>
      </c>
      <c r="L104" s="22" t="inlineStr">
        <is>
          <t>L0 项是否被读/转发/提交；L1 addr/data/mask/valid/age与影子SQ；L2 forwarding/replay/violation/SSIT-LFST；L3 cache写请求与ack；L4 commit及内存写日志；L5结局；候选store集合、youngest选择、forward值、replay</t>
        </is>
      </c>
      <c r="M104" s="22" t="inlineStr">
        <is>
          <t>选择旧值是典型静默错误；false miss可能由cache旧值暴露或replay恢复</t>
        </is>
      </c>
      <c r="N104" s="22" t="inlineStr">
        <is>
          <t>Store Queue核心功能，随机数据翻转覆盖不到</t>
        </is>
      </c>
      <c r="O104" s="22" t="inlineStr">
        <is>
          <t>无直接文献</t>
        </is>
      </c>
      <c r="P104" s="23" t="n"/>
      <c r="Q104" s="23" t="n"/>
      <c r="R104" s="23" t="n"/>
      <c r="S104" s="23" t="n"/>
      <c r="T104" s="23" t="n"/>
      <c r="U104" s="23" t="n"/>
      <c r="V104" s="23" t="n"/>
      <c r="W104" s="23" t="n"/>
      <c r="X104" s="35">
        <f>IF(OR(R104="",R104-AP104&lt;=0),"",AB104/(R104-AP104))</f>
        <v/>
      </c>
      <c r="Y104" s="35">
        <f>IF(OR(AR104="",AR104=0),"",R104/AR104)</f>
        <v/>
      </c>
      <c r="Z104" s="24" t="inlineStr">
        <is>
          <t>待执行</t>
        </is>
      </c>
      <c r="AA104" s="23" t="n"/>
      <c r="AB104" s="38" t="n"/>
      <c r="AC104" s="38" t="n"/>
      <c r="AD104" s="38" t="n"/>
      <c r="AE104" s="38" t="n"/>
      <c r="AF104" s="38" t="n"/>
      <c r="AG104" s="38" t="n"/>
      <c r="AH104" s="38" t="n"/>
      <c r="AI104" s="38" t="n"/>
      <c r="AJ104" s="38" t="n"/>
      <c r="AK104" s="39" t="n"/>
      <c r="AL104" s="40">
        <f>IF(OR(R104="",R104-AP104&lt;=0),"",AO104/(R104-AP104))</f>
        <v/>
      </c>
      <c r="AM104" s="41">
        <f>IF(R104="","",SUM(AC104:AF104)-(R104-AP104))</f>
        <v/>
      </c>
      <c r="AN104" s="41">
        <f>IF(R104="","",SUM(S104:W104)+AP104-R104)</f>
        <v/>
      </c>
      <c r="AO104" s="44" t="n"/>
      <c r="AP104" s="45" t="n"/>
      <c r="AQ104" s="47" t="inlineStr">
        <is>
          <t>S08-a false match；S08-b false miss；S08-c 选择较旧store</t>
        </is>
      </c>
      <c r="AR104" s="23" t="n"/>
      <c r="AS104" s="35">
        <f>IF(OR(Q104="",Q104=0),"",AR104/Q104)</f>
        <v/>
      </c>
      <c r="AT104" s="62" t="n">
        <v>30</v>
      </c>
      <c r="AU104" s="62" t="n">
        <v>385</v>
      </c>
      <c r="AV104" s="62" t="inlineStr">
        <is>
          <t>常规</t>
        </is>
      </c>
      <c r="AW104" s="62" t="inlineStr">
        <is>
          <t>累计至少385，不机械扩展到2401</t>
        </is>
      </c>
    </row>
    <row r="105" ht="94.15000000000001" customHeight="1" s="58">
      <c r="A105" s="21" t="inlineStr">
        <is>
          <t>S08-F2-W5</t>
        </is>
      </c>
      <c r="B105" s="21" t="inlineStr">
        <is>
          <t>S08</t>
        </is>
      </c>
      <c r="C105" s="21" t="inlineStr">
        <is>
          <t>Store Queue</t>
        </is>
      </c>
      <c r="D105"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5" s="22" t="inlineStr">
        <is>
          <t>换值</t>
        </is>
      </c>
      <c r="F105"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5" s="22" t="inlineStr">
        <is>
          <t>F2</t>
        </is>
      </c>
      <c r="H105" s="22" t="inlineStr">
        <is>
          <t>平均每 100,000 个 eligible events 注入 1 次，间隔加入 ±50% 抖动</t>
        </is>
      </c>
      <c r="I105" s="22" t="inlineStr">
        <is>
          <t>SQ-Forward 转发探针（同地址/部分重叠 store-to-load forwarding、字节掩码、alias、replay）</t>
        </is>
      </c>
      <c r="J105" s="22" t="inlineStr">
        <is>
          <t>SQ-Forward 转发探针（同地址/部分重叠 store-to-load forwarding、字节掩码、alias、replay）
执行定义与 oracle：同地址与部分重叠 store-to-load forwarding、不同字节掩码、地址晚到/数据晚到、alias、replay</t>
        </is>
      </c>
      <c r="K105" s="22" t="inlineStr">
        <is>
          <t>发生地址重叠load</t>
        </is>
      </c>
      <c r="L105" s="22" t="inlineStr">
        <is>
          <t>L0 项是否被读/转发/提交；L1 addr/data/mask/valid/age与影子SQ；L2 forwarding/replay/violation/SSIT-LFST；L3 cache写请求与ack；L4 commit及内存写日志；L5结局；候选store集合、youngest选择、forward值、replay</t>
        </is>
      </c>
      <c r="M105" s="22" t="inlineStr">
        <is>
          <t>选择旧值是典型静默错误；false miss可能由cache旧值暴露或replay恢复</t>
        </is>
      </c>
      <c r="N105" s="22" t="inlineStr">
        <is>
          <t>Store Queue核心功能，随机数据翻转覆盖不到</t>
        </is>
      </c>
      <c r="O105" s="22" t="inlineStr">
        <is>
          <t>无直接文献</t>
        </is>
      </c>
      <c r="P105" s="23" t="n"/>
      <c r="Q105" s="23" t="n"/>
      <c r="R105" s="23" t="n"/>
      <c r="S105" s="23" t="n"/>
      <c r="T105" s="23" t="n"/>
      <c r="U105" s="23" t="n"/>
      <c r="V105" s="23" t="n"/>
      <c r="W105" s="23" t="n"/>
      <c r="X105" s="35">
        <f>IF(OR(R105="",R105-AP105&lt;=0),"",AB105/(R105-AP105))</f>
        <v/>
      </c>
      <c r="Y105" s="35">
        <f>IF(OR(AR105="",AR105=0),"",R105/AR105)</f>
        <v/>
      </c>
      <c r="Z105" s="24" t="inlineStr">
        <is>
          <t>待执行</t>
        </is>
      </c>
      <c r="AA105" s="23" t="n"/>
      <c r="AB105" s="38" t="n"/>
      <c r="AC105" s="38" t="n"/>
      <c r="AD105" s="38" t="n"/>
      <c r="AE105" s="38" t="n"/>
      <c r="AF105" s="38" t="n"/>
      <c r="AG105" s="38" t="n"/>
      <c r="AH105" s="38" t="n"/>
      <c r="AI105" s="38" t="n"/>
      <c r="AJ105" s="38" t="n"/>
      <c r="AK105" s="39" t="n"/>
      <c r="AL105" s="40">
        <f>IF(OR(R105="",R105-AP105&lt;=0),"",AO105/(R105-AP105))</f>
        <v/>
      </c>
      <c r="AM105" s="41">
        <f>IF(R105="","",SUM(AC105:AF105)-(R105-AP105))</f>
        <v/>
      </c>
      <c r="AN105" s="41">
        <f>IF(R105="","",SUM(S105:W105)+AP105-R105)</f>
        <v/>
      </c>
      <c r="AO105" s="44" t="n"/>
      <c r="AP105" s="45" t="n"/>
      <c r="AQ105" s="47" t="inlineStr">
        <is>
          <t>S08-a false match；S08-b false miss；S08-c 选择较旧store</t>
        </is>
      </c>
      <c r="AR105" s="23" t="n"/>
      <c r="AS105" s="35">
        <f>IF(OR(Q105="",Q105=0),"",AR105/Q105)</f>
        <v/>
      </c>
      <c r="AT105" s="62" t="n">
        <v>30</v>
      </c>
      <c r="AU105" s="62" t="n">
        <v>385</v>
      </c>
      <c r="AV105" s="62" t="inlineStr">
        <is>
          <t>常规</t>
        </is>
      </c>
      <c r="AW105" s="62" t="inlineStr">
        <is>
          <t>累计至少385，不机械扩展到2401</t>
        </is>
      </c>
    </row>
    <row r="106" ht="94.15000000000001" customHeight="1" s="58">
      <c r="A106" s="21" t="inlineStr">
        <is>
          <t>S08-F6-W5</t>
        </is>
      </c>
      <c r="B106" s="21" t="inlineStr">
        <is>
          <t>S08</t>
        </is>
      </c>
      <c r="C106" s="21" t="inlineStr">
        <is>
          <t>Store Queue</t>
        </is>
      </c>
      <c r="D106"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6" s="22" t="inlineStr">
        <is>
          <t>换值</t>
        </is>
      </c>
      <c r="F106"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6" s="22" t="inlineStr">
        <is>
          <t>F6</t>
        </is>
      </c>
      <c r="H106" s="22" t="inlineStr">
        <is>
          <t>首次出现指定事件时注入一次，如 TLB hit、SQ forward、dirty eviction、CAS 成功</t>
        </is>
      </c>
      <c r="I106" s="22" t="inlineStr">
        <is>
          <t>SQ-Forward 转发探针（同地址/部分重叠 store-to-load forwarding、字节掩码、alias、replay）</t>
        </is>
      </c>
      <c r="J106" s="22" t="inlineStr">
        <is>
          <t>SQ-Forward 转发探针（同地址/部分重叠 store-to-load forwarding、字节掩码、alias、replay）
执行定义与 oracle：同地址与部分重叠 store-to-load forwarding、不同字节掩码、地址晚到/数据晚到、alias、replay</t>
        </is>
      </c>
      <c r="K106" s="22" t="inlineStr">
        <is>
          <t>发生地址重叠load</t>
        </is>
      </c>
      <c r="L106" s="22" t="inlineStr">
        <is>
          <t>L0 项是否被读/转发/提交；L1 addr/data/mask/valid/age与影子SQ；L2 forwarding/replay/violation/SSIT-LFST；L3 cache写请求与ack；L4 commit及内存写日志；L5结局；候选store集合、youngest选择、forward值、replay</t>
        </is>
      </c>
      <c r="M106" s="22" t="inlineStr">
        <is>
          <t>选择旧值是典型静默错误；false miss可能由cache旧值暴露或replay恢复</t>
        </is>
      </c>
      <c r="N106" s="22" t="inlineStr">
        <is>
          <t>Store Queue核心功能，随机数据翻转覆盖不到</t>
        </is>
      </c>
      <c r="O106" s="22" t="inlineStr">
        <is>
          <t>无直接文献</t>
        </is>
      </c>
      <c r="P106" s="23" t="n"/>
      <c r="Q106" s="23" t="n"/>
      <c r="R106" s="23" t="n"/>
      <c r="S106" s="23" t="n"/>
      <c r="T106" s="23" t="n"/>
      <c r="U106" s="23" t="n"/>
      <c r="V106" s="23" t="n"/>
      <c r="W106" s="23" t="n"/>
      <c r="X106" s="35">
        <f>IF(OR(R106="",R106-AP106&lt;=0),"",AB106/(R106-AP106))</f>
        <v/>
      </c>
      <c r="Y106" s="35">
        <f>IF(OR(AR106="",AR106=0),"",R106/AR106)</f>
        <v/>
      </c>
      <c r="Z106" s="24" t="inlineStr">
        <is>
          <t>待执行</t>
        </is>
      </c>
      <c r="AA106" s="23" t="n"/>
      <c r="AB106" s="38" t="n"/>
      <c r="AC106" s="38" t="n"/>
      <c r="AD106" s="38" t="n"/>
      <c r="AE106" s="38" t="n"/>
      <c r="AF106" s="38" t="n"/>
      <c r="AG106" s="38" t="n"/>
      <c r="AH106" s="38" t="n"/>
      <c r="AI106" s="38" t="n"/>
      <c r="AJ106" s="38" t="n"/>
      <c r="AK106" s="39" t="n"/>
      <c r="AL106" s="40">
        <f>IF(OR(R106="",R106-AP106&lt;=0),"",AO106/(R106-AP106))</f>
        <v/>
      </c>
      <c r="AM106" s="41">
        <f>IF(R106="","",SUM(AC106:AF106)-(R106-AP106))</f>
        <v/>
      </c>
      <c r="AN106" s="41">
        <f>IF(R106="","",SUM(S106:W106)+AP106-R106)</f>
        <v/>
      </c>
      <c r="AO106" s="44" t="n"/>
      <c r="AP106" s="45" t="n"/>
      <c r="AQ106" s="47" t="inlineStr">
        <is>
          <t>S08-a false match；S08-b false miss；S08-c 选择较旧store</t>
        </is>
      </c>
      <c r="AR106" s="23" t="n"/>
      <c r="AS106" s="35">
        <f>IF(OR(Q106="",Q106=0),"",AR106/Q106)</f>
        <v/>
      </c>
      <c r="AT106" s="62" t="n">
        <v>30</v>
      </c>
      <c r="AU106" s="62" t="n">
        <v>385</v>
      </c>
      <c r="AV106" s="62" t="inlineStr">
        <is>
          <t>常规</t>
        </is>
      </c>
      <c r="AW106" s="62" t="inlineStr">
        <is>
          <t>累计至少385，不机械扩展到2401</t>
        </is>
      </c>
    </row>
    <row r="107" ht="94.15000000000001" customHeight="1" s="58">
      <c r="A107" s="21" t="inlineStr">
        <is>
          <t>S09-F0-W5</t>
        </is>
      </c>
      <c r="B107" s="21" t="inlineStr">
        <is>
          <t>S09</t>
        </is>
      </c>
      <c r="C107" s="21" t="inlineStr">
        <is>
          <t>Store Queue</t>
        </is>
      </c>
      <c r="D107" s="22" t="inlineStr">
        <is>
          <t>部分重叠 forwarding 的数据拼接 MUX。一个 load 的不同字节可能来自多条旧 store 和 L1D，MUX 按 byte mask 合成为完整 load 值；来源顺序或字节位置错误会生成看似合法但内容混合的新值。</t>
        </is>
      </c>
      <c r="E107" s="22" t="inlineStr">
        <is>
          <t>错位拼接</t>
        </is>
      </c>
      <c r="F107"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7" s="22" t="inlineStr">
        <is>
          <t>F0</t>
        </is>
      </c>
      <c r="H107" s="22" t="inlineStr">
        <is>
          <t>每次运行只注入 1 次；在 warm-up 后的 eligible event 中均匀抽样</t>
        </is>
      </c>
      <c r="I107" s="22" t="inlineStr">
        <is>
          <t>SQ-Forward 转发探针（同地址/部分重叠 store-to-load forwarding、字节掩码、alias、replay）</t>
        </is>
      </c>
      <c r="J107" s="22" t="inlineStr">
        <is>
          <t>SQ-Forward 转发探针（同地址/部分重叠 store-to-load forwarding、字节掩码、alias、replay）
执行定义与 oracle：同地址与部分重叠 store-to-load forwarding、不同字节掩码、地址晚到/数据晚到、alias、replay</t>
        </is>
      </c>
      <c r="K107" s="22" t="inlineStr">
        <is>
          <t>partial overlap forwarding</t>
        </is>
      </c>
      <c r="L107" s="22" t="inlineStr">
        <is>
          <t>L0 项是否被读/转发/提交；L1 addr/data/mask/valid/age与影子SQ；L2 forwarding/replay/violation/SSIT-LFST；L3 cache写请求与ack；L4 commit及内存写日志；L5结局；每字节来源追踪、正确合成值与实际值</t>
        </is>
      </c>
      <c r="M107" s="22" t="inlineStr">
        <is>
          <t>生成合法但混合的新值，预期高SDC且难由控制检查发现</t>
        </is>
      </c>
      <c r="N107" s="22" t="inlineStr">
        <is>
          <t>针对partial forwarding真实拼接逻辑</t>
        </is>
      </c>
      <c r="O107" s="22" t="inlineStr">
        <is>
          <t>本方案结构化模型</t>
        </is>
      </c>
      <c r="P107" s="23" t="n"/>
      <c r="Q107" s="23" t="n"/>
      <c r="R107" s="23" t="n"/>
      <c r="S107" s="23" t="n"/>
      <c r="T107" s="23" t="n"/>
      <c r="U107" s="23" t="n"/>
      <c r="V107" s="23" t="n"/>
      <c r="W107" s="23" t="n"/>
      <c r="X107" s="35">
        <f>IF(OR(R107="",R107-AP107&lt;=0),"",AB107/(R107-AP107))</f>
        <v/>
      </c>
      <c r="Y107" s="35">
        <f>IF(OR(AR107="",AR107=0),"",R107/AR107)</f>
        <v/>
      </c>
      <c r="Z107" s="24" t="inlineStr">
        <is>
          <t>待执行</t>
        </is>
      </c>
      <c r="AA107" s="23" t="n"/>
      <c r="AB107" s="38" t="n"/>
      <c r="AC107" s="38" t="n"/>
      <c r="AD107" s="38" t="n"/>
      <c r="AE107" s="38" t="n"/>
      <c r="AF107" s="38" t="n"/>
      <c r="AG107" s="38" t="n"/>
      <c r="AH107" s="38" t="n"/>
      <c r="AI107" s="38" t="n"/>
      <c r="AJ107" s="38" t="n"/>
      <c r="AK107" s="39" t="n"/>
      <c r="AL107" s="40">
        <f>IF(OR(R107="",R107-AP107&lt;=0),"",AO107/(R107-AP107))</f>
        <v/>
      </c>
      <c r="AM107" s="41">
        <f>IF(R107="","",SUM(AC107:AF107)-(R107-AP107))</f>
        <v/>
      </c>
      <c r="AN107" s="41">
        <f>IF(R107="","",SUM(S107:W107)+AP107-R107)</f>
        <v/>
      </c>
      <c r="AO107" s="44" t="n"/>
      <c r="AP107" s="45" t="n"/>
      <c r="AQ107" s="47" t="inlineStr">
        <is>
          <t>S09-a 重叠store片段互换；S09-b 重叠字节清零；S09-c 使用旧cache字节</t>
        </is>
      </c>
      <c r="AR107" s="23" t="n"/>
      <c r="AS107" s="35">
        <f>IF(OR(Q107="",Q107=0),"",AR107/Q107)</f>
        <v/>
      </c>
      <c r="AT107" s="62" t="n">
        <v>30</v>
      </c>
      <c r="AU107" s="62" t="n">
        <v>385</v>
      </c>
      <c r="AV107" s="62" t="inlineStr">
        <is>
          <t>常规</t>
        </is>
      </c>
      <c r="AW107" s="62" t="inlineStr">
        <is>
          <t>累计至少385，不机械扩展到2401</t>
        </is>
      </c>
    </row>
    <row r="108" ht="94.15000000000001" customHeight="1" s="58">
      <c r="A108" s="21" t="inlineStr">
        <is>
          <t>S09-F2-W5</t>
        </is>
      </c>
      <c r="B108" s="21" t="inlineStr">
        <is>
          <t>S09</t>
        </is>
      </c>
      <c r="C108" s="21" t="inlineStr">
        <is>
          <t>Store Queue</t>
        </is>
      </c>
      <c r="D108" s="22" t="inlineStr">
        <is>
          <t>部分重叠 forwarding 的数据拼接 MUX。一个 load 的不同字节可能来自多条旧 store 和 L1D，MUX 按 byte mask 合成为完整 load 值；来源顺序或字节位置错误会生成看似合法但内容混合的新值。</t>
        </is>
      </c>
      <c r="E108" s="22" t="inlineStr">
        <is>
          <t>错位拼接</t>
        </is>
      </c>
      <c r="F108"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8" s="22" t="inlineStr">
        <is>
          <t>F2</t>
        </is>
      </c>
      <c r="H108" s="22" t="inlineStr">
        <is>
          <t>平均每 100,000 个 eligible events 注入 1 次，间隔加入 ±50% 抖动</t>
        </is>
      </c>
      <c r="I108" s="22" t="inlineStr">
        <is>
          <t>SQ-Forward 转发探针（同地址/部分重叠 store-to-load forwarding、字节掩码、alias、replay）</t>
        </is>
      </c>
      <c r="J108" s="22" t="inlineStr">
        <is>
          <t>SQ-Forward 转发探针（同地址/部分重叠 store-to-load forwarding、字节掩码、alias、replay）
执行定义与 oracle：同地址与部分重叠 store-to-load forwarding、不同字节掩码、地址晚到/数据晚到、alias、replay</t>
        </is>
      </c>
      <c r="K108" s="22" t="inlineStr">
        <is>
          <t>partial overlap forwarding</t>
        </is>
      </c>
      <c r="L108" s="22" t="inlineStr">
        <is>
          <t>L0 项是否被读/转发/提交；L1 addr/data/mask/valid/age与影子SQ；L2 forwarding/replay/violation/SSIT-LFST；L3 cache写请求与ack；L4 commit及内存写日志；L5结局；每字节来源追踪、正确合成值与实际值</t>
        </is>
      </c>
      <c r="M108" s="22" t="inlineStr">
        <is>
          <t>生成合法但混合的新值，预期高SDC且难由控制检查发现</t>
        </is>
      </c>
      <c r="N108" s="22" t="inlineStr">
        <is>
          <t>针对partial forwarding真实拼接逻辑</t>
        </is>
      </c>
      <c r="O108" s="22" t="inlineStr">
        <is>
          <t>本方案结构化模型</t>
        </is>
      </c>
      <c r="P108" s="23" t="n"/>
      <c r="Q108" s="23" t="n"/>
      <c r="R108" s="23" t="n"/>
      <c r="S108" s="23" t="n"/>
      <c r="T108" s="23" t="n"/>
      <c r="U108" s="23" t="n"/>
      <c r="V108" s="23" t="n"/>
      <c r="W108" s="23" t="n"/>
      <c r="X108" s="35">
        <f>IF(OR(R108="",R108-AP108&lt;=0),"",AB108/(R108-AP108))</f>
        <v/>
      </c>
      <c r="Y108" s="35">
        <f>IF(OR(AR108="",AR108=0),"",R108/AR108)</f>
        <v/>
      </c>
      <c r="Z108" s="24" t="inlineStr">
        <is>
          <t>待执行</t>
        </is>
      </c>
      <c r="AA108" s="23" t="n"/>
      <c r="AB108" s="38" t="n"/>
      <c r="AC108" s="38" t="n"/>
      <c r="AD108" s="38" t="n"/>
      <c r="AE108" s="38" t="n"/>
      <c r="AF108" s="38" t="n"/>
      <c r="AG108" s="38" t="n"/>
      <c r="AH108" s="38" t="n"/>
      <c r="AI108" s="38" t="n"/>
      <c r="AJ108" s="38" t="n"/>
      <c r="AK108" s="39" t="n"/>
      <c r="AL108" s="40">
        <f>IF(OR(R108="",R108-AP108&lt;=0),"",AO108/(R108-AP108))</f>
        <v/>
      </c>
      <c r="AM108" s="41">
        <f>IF(R108="","",SUM(AC108:AF108)-(R108-AP108))</f>
        <v/>
      </c>
      <c r="AN108" s="41">
        <f>IF(R108="","",SUM(S108:W108)+AP108-R108)</f>
        <v/>
      </c>
      <c r="AO108" s="44" t="n"/>
      <c r="AP108" s="45" t="n"/>
      <c r="AQ108" s="47" t="inlineStr">
        <is>
          <t>S09-a 重叠store片段互换；S09-b 重叠字节清零；S09-c 使用旧cache字节</t>
        </is>
      </c>
      <c r="AR108" s="23" t="n"/>
      <c r="AS108" s="35">
        <f>IF(OR(Q108="",Q108=0),"",AR108/Q108)</f>
        <v/>
      </c>
      <c r="AT108" s="62" t="n">
        <v>30</v>
      </c>
      <c r="AU108" s="62" t="n">
        <v>385</v>
      </c>
      <c r="AV108" s="62" t="inlineStr">
        <is>
          <t>常规</t>
        </is>
      </c>
      <c r="AW108" s="62" t="inlineStr">
        <is>
          <t>累计至少385，不机械扩展到2401</t>
        </is>
      </c>
    </row>
    <row r="109" ht="94.15000000000001" customHeight="1" s="58">
      <c r="A109" s="21" t="inlineStr">
        <is>
          <t>S09-F6-W5</t>
        </is>
      </c>
      <c r="B109" s="21" t="inlineStr">
        <is>
          <t>S09</t>
        </is>
      </c>
      <c r="C109" s="21" t="inlineStr">
        <is>
          <t>Store Queue</t>
        </is>
      </c>
      <c r="D109" s="22" t="inlineStr">
        <is>
          <t>部分重叠 forwarding 的数据拼接 MUX。一个 load 的不同字节可能来自多条旧 store 和 L1D，MUX 按 byte mask 合成为完整 load 值；来源顺序或字节位置错误会生成看似合法但内容混合的新值。</t>
        </is>
      </c>
      <c r="E109" s="22" t="inlineStr">
        <is>
          <t>错位拼接</t>
        </is>
      </c>
      <c r="F109"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9" s="22" t="inlineStr">
        <is>
          <t>F6</t>
        </is>
      </c>
      <c r="H109" s="22" t="inlineStr">
        <is>
          <t>首次出现指定事件时注入一次，如 TLB hit、SQ forward、dirty eviction、CAS 成功</t>
        </is>
      </c>
      <c r="I109" s="22" t="inlineStr">
        <is>
          <t>SQ-Forward 转发探针（同地址/部分重叠 store-to-load forwarding、字节掩码、alias、replay）</t>
        </is>
      </c>
      <c r="J109" s="22" t="inlineStr">
        <is>
          <t>SQ-Forward 转发探针（同地址/部分重叠 store-to-load forwarding、字节掩码、alias、replay）
执行定义与 oracle：同地址与部分重叠 store-to-load forwarding、不同字节掩码、地址晚到/数据晚到、alias、replay</t>
        </is>
      </c>
      <c r="K109" s="22" t="inlineStr">
        <is>
          <t>partial overlap forwarding</t>
        </is>
      </c>
      <c r="L109" s="22" t="inlineStr">
        <is>
          <t>L0 项是否被读/转发/提交；L1 addr/data/mask/valid/age与影子SQ；L2 forwarding/replay/violation/SSIT-LFST；L3 cache写请求与ack；L4 commit及内存写日志；L5结局；每字节来源追踪、正确合成值与实际值</t>
        </is>
      </c>
      <c r="M109" s="22" t="inlineStr">
        <is>
          <t>生成合法但混合的新值，预期高SDC且难由控制检查发现</t>
        </is>
      </c>
      <c r="N109" s="22" t="inlineStr">
        <is>
          <t>针对partial forwarding真实拼接逻辑</t>
        </is>
      </c>
      <c r="O109" s="22" t="inlineStr">
        <is>
          <t>本方案结构化模型</t>
        </is>
      </c>
      <c r="P109" s="23" t="n"/>
      <c r="Q109" s="23" t="n"/>
      <c r="R109" s="23" t="n"/>
      <c r="S109" s="23" t="n"/>
      <c r="T109" s="23" t="n"/>
      <c r="U109" s="23" t="n"/>
      <c r="V109" s="23" t="n"/>
      <c r="W109" s="23" t="n"/>
      <c r="X109" s="35">
        <f>IF(OR(R109="",R109-AP109&lt;=0),"",AB109/(R109-AP109))</f>
        <v/>
      </c>
      <c r="Y109" s="35">
        <f>IF(OR(AR109="",AR109=0),"",R109/AR109)</f>
        <v/>
      </c>
      <c r="Z109" s="24" t="inlineStr">
        <is>
          <t>待执行</t>
        </is>
      </c>
      <c r="AA109" s="23" t="n"/>
      <c r="AB109" s="38" t="n"/>
      <c r="AC109" s="38" t="n"/>
      <c r="AD109" s="38" t="n"/>
      <c r="AE109" s="38" t="n"/>
      <c r="AF109" s="38" t="n"/>
      <c r="AG109" s="38" t="n"/>
      <c r="AH109" s="38" t="n"/>
      <c r="AI109" s="38" t="n"/>
      <c r="AJ109" s="38" t="n"/>
      <c r="AK109" s="39" t="n"/>
      <c r="AL109" s="40">
        <f>IF(OR(R109="",R109-AP109&lt;=0),"",AO109/(R109-AP109))</f>
        <v/>
      </c>
      <c r="AM109" s="41">
        <f>IF(R109="","",SUM(AC109:AF109)-(R109-AP109))</f>
        <v/>
      </c>
      <c r="AN109" s="41">
        <f>IF(R109="","",SUM(S109:W109)+AP109-R109)</f>
        <v/>
      </c>
      <c r="AO109" s="44" t="n"/>
      <c r="AP109" s="45" t="n"/>
      <c r="AQ109" s="47" t="inlineStr">
        <is>
          <t>S09-a 重叠store片段互换；S09-b 重叠字节清零；S09-c 使用旧cache字节</t>
        </is>
      </c>
      <c r="AR109" s="23" t="n"/>
      <c r="AS109" s="35">
        <f>IF(OR(Q109="",Q109=0),"",AR109/Q109)</f>
        <v/>
      </c>
      <c r="AT109" s="62" t="n">
        <v>30</v>
      </c>
      <c r="AU109" s="62" t="n">
        <v>385</v>
      </c>
      <c r="AV109" s="62" t="inlineStr">
        <is>
          <t>常规</t>
        </is>
      </c>
      <c r="AW109" s="62" t="inlineStr">
        <is>
          <t>累计至少385，不机械扩展到2401</t>
        </is>
      </c>
    </row>
    <row r="110" ht="94.15000000000001" customHeight="1" s="58">
      <c r="A110" s="21" t="inlineStr">
        <is>
          <t>S10-F0-W5</t>
        </is>
      </c>
      <c r="B110" s="21" t="inlineStr">
        <is>
          <t>S10</t>
        </is>
      </c>
      <c r="C110" s="21" t="inlineStr">
        <is>
          <t>Store Queue</t>
        </is>
      </c>
      <c r="D110" s="22" t="inlineStr">
        <is>
          <t>内存依赖预测器的 SSIT/LFST。SSIT 把 load/store PC 映射到 store-set ID，LFST 记录该集合最近的在飞 store；预测结果决定年轻 load 是否等待某条 store，但最终正确性仍依赖 violation 检查与 replay。</t>
        </is>
      </c>
      <c r="E110" s="22" t="inlineStr">
        <is>
          <t>换值</t>
        </is>
      </c>
      <c r="F110"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0" s="22" t="inlineStr">
        <is>
          <t>F0</t>
        </is>
      </c>
      <c r="H110" s="22" t="inlineStr">
        <is>
          <t>每次运行只注入 1 次；在 warm-up 后的 eligible event 中均匀抽样</t>
        </is>
      </c>
      <c r="I110" s="22" t="inlineStr">
        <is>
          <t>SQ-Forward 转发探针（同地址/部分重叠 store-to-load forwarding、字节掩码、alias、replay）</t>
        </is>
      </c>
      <c r="J110" s="22" t="inlineStr">
        <is>
          <t>SQ-Forward 转发探针（同地址/部分重叠 store-to-load forwarding、字节掩码、alias、replay）
执行定义与 oracle：同地址与部分重叠 store-to-load forwarding、不同字节掩码、地址晚到/数据晚到、alias、replay</t>
        </is>
      </c>
      <c r="K110" s="22" t="inlineStr">
        <is>
          <t>load/store alias训练后</t>
        </is>
      </c>
      <c r="L110" s="22" t="inlineStr">
        <is>
          <t>L0 项是否被读/转发/提交；L1 addr/data/mask/valid/age与影子SQ；L2 forwarding/replay/violation/SSIT-LFST；L3 cache写请求与ack；L4 commit及内存写日志；L5结局；预测ID、依赖边、issue次序、violation/replay、commit结果</t>
        </is>
      </c>
      <c r="M110" s="22" t="inlineStr">
        <is>
          <t>多数表现为额外stall或replay；错误放行且检查漏掉时才可能SDC</t>
        </is>
      </c>
      <c r="N110" s="22" t="inlineStr">
        <is>
          <t>区分预测性能错误与真正内存次序错误</t>
        </is>
      </c>
      <c r="O110" s="22" t="inlineStr">
        <is>
          <t>无直接SSIT/LFST注入</t>
        </is>
      </c>
      <c r="P110" s="23" t="n"/>
      <c r="Q110" s="23" t="n"/>
      <c r="R110" s="23" t="n"/>
      <c r="S110" s="23" t="n"/>
      <c r="T110" s="23" t="n"/>
      <c r="U110" s="23" t="n"/>
      <c r="V110" s="23" t="n"/>
      <c r="W110" s="23" t="n"/>
      <c r="X110" s="35">
        <f>IF(OR(R110="",R110-AP110&lt;=0),"",AB110/(R110-AP110))</f>
        <v/>
      </c>
      <c r="Y110" s="35">
        <f>IF(OR(AR110="",AR110=0),"",R110/AR110)</f>
        <v/>
      </c>
      <c r="Z110" s="24" t="inlineStr">
        <is>
          <t>待执行</t>
        </is>
      </c>
      <c r="AA110" s="23" t="n"/>
      <c r="AB110" s="38" t="n"/>
      <c r="AC110" s="38" t="n"/>
      <c r="AD110" s="38" t="n"/>
      <c r="AE110" s="38" t="n"/>
      <c r="AF110" s="38" t="n"/>
      <c r="AG110" s="38" t="n"/>
      <c r="AH110" s="38" t="n"/>
      <c r="AI110" s="38" t="n"/>
      <c r="AJ110" s="38" t="n"/>
      <c r="AK110" s="39" t="n"/>
      <c r="AL110" s="40">
        <f>IF(OR(R110="",R110-AP110&lt;=0),"",AO110/(R110-AP110))</f>
        <v/>
      </c>
      <c r="AM110" s="41">
        <f>IF(R110="","",SUM(AC110:AF110)-(R110-AP110))</f>
        <v/>
      </c>
      <c r="AN110" s="41">
        <f>IF(R110="","",SUM(S110:W110)+AP110-R110)</f>
        <v/>
      </c>
      <c r="AO110" s="44" t="n"/>
      <c r="AP110" s="45" t="n"/>
      <c r="AQ110" s="47" t="inlineStr">
        <is>
          <t>S10-a SSIT ID错误；S10-b LFST目标错误；S10-c store-set valid丢失</t>
        </is>
      </c>
      <c r="AR110" s="23" t="n"/>
      <c r="AS110" s="35">
        <f>IF(OR(Q110="",Q110=0),"",AR110/Q110)</f>
        <v/>
      </c>
      <c r="AT110" s="62" t="n">
        <v>30</v>
      </c>
      <c r="AU110" s="62" t="n">
        <v>385</v>
      </c>
      <c r="AV110" s="62" t="inlineStr">
        <is>
          <t>常规</t>
        </is>
      </c>
      <c r="AW110" s="62" t="inlineStr">
        <is>
          <t>累计至少385，不机械扩展到2401</t>
        </is>
      </c>
    </row>
    <row r="111" ht="94.15000000000001" customHeight="1" s="58">
      <c r="A111" s="21" t="inlineStr">
        <is>
          <t>S10-F0-W9</t>
        </is>
      </c>
      <c r="B111" s="21" t="inlineStr">
        <is>
          <t>S10</t>
        </is>
      </c>
      <c r="C111" s="21" t="inlineStr">
        <is>
          <t>Store Queue</t>
        </is>
      </c>
      <c r="D111" s="22" t="inlineStr">
        <is>
          <t>内存依赖预测器的 SSIT/LFST。SSIT 把 load/store PC 映射到 store-set ID，LFST 记录该集合最近的在飞 store；预测结果决定年轻 load 是否等待某条 store，但最终正确性仍依赖 violation 检查与 replay。</t>
        </is>
      </c>
      <c r="E111" s="22" t="inlineStr">
        <is>
          <t>换值</t>
        </is>
      </c>
      <c r="F111"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1" s="22" t="inlineStr">
        <is>
          <t>F0</t>
        </is>
      </c>
      <c r="H111" s="22" t="inlineStr">
        <is>
          <t>每次运行只注入 1 次；在 warm-up 后的 eligible event 中均匀抽样</t>
        </is>
      </c>
      <c r="I111" s="22" t="inlineStr">
        <is>
          <t>GAP/Graph500 子集（BFS、SSSP、PageRank，固定图与结果哈希）</t>
        </is>
      </c>
      <c r="J111" s="22" t="inlineStr">
        <is>
          <t>GAP/Graph500 子集（BFS、SSSP、PageRank，固定图与结果哈希）
执行定义与 oracle：BFS/SSSP/PR，使用固定图与结果哈希；强调不规则地址和大 working set</t>
        </is>
      </c>
      <c r="K111" s="22" t="inlineStr">
        <is>
          <t>load/store alias训练后</t>
        </is>
      </c>
      <c r="L111" s="22" t="inlineStr">
        <is>
          <t>L0 项是否被读/转发/提交；L1 addr/data/mask/valid/age与影子SQ；L2 forwarding/replay/violation/SSIT-LFST；L3 cache写请求与ack；L4 commit及内存写日志；L5结局；预测ID、依赖边、issue次序、violation/replay、commit结果</t>
        </is>
      </c>
      <c r="M111" s="22" t="inlineStr">
        <is>
          <t>多数表现为额外stall或replay；错误放行且检查漏掉时才可能SDC</t>
        </is>
      </c>
      <c r="N111" s="22" t="inlineStr">
        <is>
          <t>区分预测性能错误与真正内存次序错误</t>
        </is>
      </c>
      <c r="O111" s="22" t="inlineStr">
        <is>
          <t>无直接SSIT/LFST注入</t>
        </is>
      </c>
      <c r="P111" s="23" t="n"/>
      <c r="Q111" s="23" t="n"/>
      <c r="R111" s="23" t="n"/>
      <c r="S111" s="23" t="n"/>
      <c r="T111" s="23" t="n"/>
      <c r="U111" s="23" t="n"/>
      <c r="V111" s="23" t="n"/>
      <c r="W111" s="23" t="n"/>
      <c r="X111" s="35">
        <f>IF(OR(R111="",R111-AP111&lt;=0),"",AB111/(R111-AP111))</f>
        <v/>
      </c>
      <c r="Y111" s="35">
        <f>IF(OR(AR111="",AR111=0),"",R111/AR111)</f>
        <v/>
      </c>
      <c r="Z111" s="24" t="inlineStr">
        <is>
          <t>待执行</t>
        </is>
      </c>
      <c r="AA111" s="23" t="n"/>
      <c r="AB111" s="38" t="n"/>
      <c r="AC111" s="38" t="n"/>
      <c r="AD111" s="38" t="n"/>
      <c r="AE111" s="38" t="n"/>
      <c r="AF111" s="38" t="n"/>
      <c r="AG111" s="38" t="n"/>
      <c r="AH111" s="38" t="n"/>
      <c r="AI111" s="38" t="n"/>
      <c r="AJ111" s="38" t="n"/>
      <c r="AK111" s="39" t="n"/>
      <c r="AL111" s="40">
        <f>IF(OR(R111="",R111-AP111&lt;=0),"",AO111/(R111-AP111))</f>
        <v/>
      </c>
      <c r="AM111" s="41">
        <f>IF(R111="","",SUM(AC111:AF111)-(R111-AP111))</f>
        <v/>
      </c>
      <c r="AN111" s="41">
        <f>IF(R111="","",SUM(S111:W111)+AP111-R111)</f>
        <v/>
      </c>
      <c r="AO111" s="44" t="n"/>
      <c r="AP111" s="45" t="n"/>
      <c r="AQ111" s="47" t="inlineStr">
        <is>
          <t>S10-a SSIT ID错误；S10-b LFST目标错误；S10-c store-set valid丢失</t>
        </is>
      </c>
      <c r="AR111" s="23" t="n"/>
      <c r="AS111" s="35">
        <f>IF(OR(Q111="",Q111=0),"",AR111/Q111)</f>
        <v/>
      </c>
      <c r="AT111" s="62" t="n">
        <v>30</v>
      </c>
      <c r="AU111" s="62" t="n">
        <v>385</v>
      </c>
      <c r="AV111" s="62" t="inlineStr">
        <is>
          <t>常规</t>
        </is>
      </c>
      <c r="AW111" s="62" t="inlineStr">
        <is>
          <t>累计至少385，不机械扩展到2401</t>
        </is>
      </c>
    </row>
    <row r="112" ht="94.15000000000001" customHeight="1" s="58">
      <c r="A112" s="21" t="inlineStr">
        <is>
          <t>S10-F2-W5</t>
        </is>
      </c>
      <c r="B112" s="21" t="inlineStr">
        <is>
          <t>S10</t>
        </is>
      </c>
      <c r="C112" s="21" t="inlineStr">
        <is>
          <t>Store Queue</t>
        </is>
      </c>
      <c r="D112" s="22" t="inlineStr">
        <is>
          <t>内存依赖预测器的 SSIT/LFST。SSIT 把 load/store PC 映射到 store-set ID，LFST 记录该集合最近的在飞 store；预测结果决定年轻 load 是否等待某条 store，但最终正确性仍依赖 violation 检查与 replay。</t>
        </is>
      </c>
      <c r="E112" s="22" t="inlineStr">
        <is>
          <t>换值</t>
        </is>
      </c>
      <c r="F112"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2" s="22" t="inlineStr">
        <is>
          <t>F2</t>
        </is>
      </c>
      <c r="H112" s="22" t="inlineStr">
        <is>
          <t>平均每 100,000 个 eligible events 注入 1 次，间隔加入 ±50% 抖动</t>
        </is>
      </c>
      <c r="I112" s="22" t="inlineStr">
        <is>
          <t>SQ-Forward 转发探针（同地址/部分重叠 store-to-load forwarding、字节掩码、alias、replay）</t>
        </is>
      </c>
      <c r="J112" s="22" t="inlineStr">
        <is>
          <t>SQ-Forward 转发探针（同地址/部分重叠 store-to-load forwarding、字节掩码、alias、replay）
执行定义与 oracle：同地址与部分重叠 store-to-load forwarding、不同字节掩码、地址晚到/数据晚到、alias、replay</t>
        </is>
      </c>
      <c r="K112" s="22" t="inlineStr">
        <is>
          <t>load/store alias训练后</t>
        </is>
      </c>
      <c r="L112" s="22" t="inlineStr">
        <is>
          <t>L0 项是否被读/转发/提交；L1 addr/data/mask/valid/age与影子SQ；L2 forwarding/replay/violation/SSIT-LFST；L3 cache写请求与ack；L4 commit及内存写日志；L5结局；预测ID、依赖边、issue次序、violation/replay、commit结果</t>
        </is>
      </c>
      <c r="M112" s="22" t="inlineStr">
        <is>
          <t>多数表现为额外stall或replay；错误放行且检查漏掉时才可能SDC</t>
        </is>
      </c>
      <c r="N112" s="22" t="inlineStr">
        <is>
          <t>区分预测性能错误与真正内存次序错误</t>
        </is>
      </c>
      <c r="O112" s="22" t="inlineStr">
        <is>
          <t>无直接SSIT/LFST注入</t>
        </is>
      </c>
      <c r="P112" s="23" t="n"/>
      <c r="Q112" s="23" t="n"/>
      <c r="R112" s="23" t="n"/>
      <c r="S112" s="23" t="n"/>
      <c r="T112" s="23" t="n"/>
      <c r="U112" s="23" t="n"/>
      <c r="V112" s="23" t="n"/>
      <c r="W112" s="23" t="n"/>
      <c r="X112" s="35">
        <f>IF(OR(R112="",R112-AP112&lt;=0),"",AB112/(R112-AP112))</f>
        <v/>
      </c>
      <c r="Y112" s="35">
        <f>IF(OR(AR112="",AR112=0),"",R112/AR112)</f>
        <v/>
      </c>
      <c r="Z112" s="24" t="inlineStr">
        <is>
          <t>待执行</t>
        </is>
      </c>
      <c r="AA112" s="23" t="n"/>
      <c r="AB112" s="38" t="n"/>
      <c r="AC112" s="38" t="n"/>
      <c r="AD112" s="38" t="n"/>
      <c r="AE112" s="38" t="n"/>
      <c r="AF112" s="38" t="n"/>
      <c r="AG112" s="38" t="n"/>
      <c r="AH112" s="38" t="n"/>
      <c r="AI112" s="38" t="n"/>
      <c r="AJ112" s="38" t="n"/>
      <c r="AK112" s="39" t="n"/>
      <c r="AL112" s="40">
        <f>IF(OR(R112="",R112-AP112&lt;=0),"",AO112/(R112-AP112))</f>
        <v/>
      </c>
      <c r="AM112" s="41">
        <f>IF(R112="","",SUM(AC112:AF112)-(R112-AP112))</f>
        <v/>
      </c>
      <c r="AN112" s="41">
        <f>IF(R112="","",SUM(S112:W112)+AP112-R112)</f>
        <v/>
      </c>
      <c r="AO112" s="44" t="n"/>
      <c r="AP112" s="45" t="n"/>
      <c r="AQ112" s="47" t="inlineStr">
        <is>
          <t>S10-a SSIT ID错误；S10-b LFST目标错误；S10-c store-set valid丢失</t>
        </is>
      </c>
      <c r="AR112" s="23" t="n"/>
      <c r="AS112" s="35">
        <f>IF(OR(Q112="",Q112=0),"",AR112/Q112)</f>
        <v/>
      </c>
      <c r="AT112" s="62" t="n">
        <v>30</v>
      </c>
      <c r="AU112" s="62" t="n">
        <v>385</v>
      </c>
      <c r="AV112" s="62" t="inlineStr">
        <is>
          <t>常规</t>
        </is>
      </c>
      <c r="AW112" s="62" t="inlineStr">
        <is>
          <t>累计至少385，不机械扩展到2401</t>
        </is>
      </c>
    </row>
    <row r="113" ht="94.15000000000001" customHeight="1" s="58">
      <c r="A113" s="21" t="inlineStr">
        <is>
          <t>S10-F2-W9</t>
        </is>
      </c>
      <c r="B113" s="21" t="inlineStr">
        <is>
          <t>S10</t>
        </is>
      </c>
      <c r="C113" s="21" t="inlineStr">
        <is>
          <t>Store Queue</t>
        </is>
      </c>
      <c r="D113" s="22" t="inlineStr">
        <is>
          <t>内存依赖预测器的 SSIT/LFST。SSIT 把 load/store PC 映射到 store-set ID，LFST 记录该集合最近的在飞 store；预测结果决定年轻 load 是否等待某条 store，但最终正确性仍依赖 violation 检查与 replay。</t>
        </is>
      </c>
      <c r="E113" s="22" t="inlineStr">
        <is>
          <t>换值</t>
        </is>
      </c>
      <c r="F113"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3" s="22" t="inlineStr">
        <is>
          <t>F2</t>
        </is>
      </c>
      <c r="H113" s="22" t="inlineStr">
        <is>
          <t>平均每 100,000 个 eligible events 注入 1 次，间隔加入 ±50% 抖动</t>
        </is>
      </c>
      <c r="I113" s="22" t="inlineStr">
        <is>
          <t>GAP/Graph500 子集（BFS、SSSP、PageRank，固定图与结果哈希）</t>
        </is>
      </c>
      <c r="J113" s="22" t="inlineStr">
        <is>
          <t>GAP/Graph500 子集（BFS、SSSP、PageRank，固定图与结果哈希）
执行定义与 oracle：BFS/SSSP/PR，使用固定图与结果哈希；强调不规则地址和大 working set</t>
        </is>
      </c>
      <c r="K113" s="22" t="inlineStr">
        <is>
          <t>load/store alias训练后</t>
        </is>
      </c>
      <c r="L113" s="22" t="inlineStr">
        <is>
          <t>L0 项是否被读/转发/提交；L1 addr/data/mask/valid/age与影子SQ；L2 forwarding/replay/violation/SSIT-LFST；L3 cache写请求与ack；L4 commit及内存写日志；L5结局；预测ID、依赖边、issue次序、violation/replay、commit结果</t>
        </is>
      </c>
      <c r="M113" s="22" t="inlineStr">
        <is>
          <t>多数表现为额外stall或replay；错误放行且检查漏掉时才可能SDC</t>
        </is>
      </c>
      <c r="N113" s="22" t="inlineStr">
        <is>
          <t>区分预测性能错误与真正内存次序错误</t>
        </is>
      </c>
      <c r="O113" s="22" t="inlineStr">
        <is>
          <t>无直接SSIT/LFST注入</t>
        </is>
      </c>
      <c r="P113" s="23" t="n"/>
      <c r="Q113" s="23" t="n"/>
      <c r="R113" s="23" t="n"/>
      <c r="S113" s="23" t="n"/>
      <c r="T113" s="23" t="n"/>
      <c r="U113" s="23" t="n"/>
      <c r="V113" s="23" t="n"/>
      <c r="W113" s="23" t="n"/>
      <c r="X113" s="35">
        <f>IF(OR(R113="",R113-AP113&lt;=0),"",AB113/(R113-AP113))</f>
        <v/>
      </c>
      <c r="Y113" s="35">
        <f>IF(OR(AR113="",AR113=0),"",R113/AR113)</f>
        <v/>
      </c>
      <c r="Z113" s="24" t="inlineStr">
        <is>
          <t>待执行</t>
        </is>
      </c>
      <c r="AA113" s="23" t="n"/>
      <c r="AB113" s="38" t="n"/>
      <c r="AC113" s="38" t="n"/>
      <c r="AD113" s="38" t="n"/>
      <c r="AE113" s="38" t="n"/>
      <c r="AF113" s="38" t="n"/>
      <c r="AG113" s="38" t="n"/>
      <c r="AH113" s="38" t="n"/>
      <c r="AI113" s="38" t="n"/>
      <c r="AJ113" s="38" t="n"/>
      <c r="AK113" s="39" t="n"/>
      <c r="AL113" s="40">
        <f>IF(OR(R113="",R113-AP113&lt;=0),"",AO113/(R113-AP113))</f>
        <v/>
      </c>
      <c r="AM113" s="41">
        <f>IF(R113="","",SUM(AC113:AF113)-(R113-AP113))</f>
        <v/>
      </c>
      <c r="AN113" s="41">
        <f>IF(R113="","",SUM(S113:W113)+AP113-R113)</f>
        <v/>
      </c>
      <c r="AO113" s="44" t="n"/>
      <c r="AP113" s="45" t="n"/>
      <c r="AQ113" s="47" t="inlineStr">
        <is>
          <t>S10-a SSIT ID错误；S10-b LFST目标错误；S10-c store-set valid丢失</t>
        </is>
      </c>
      <c r="AR113" s="23" t="n"/>
      <c r="AS113" s="35">
        <f>IF(OR(Q113="",Q113=0),"",AR113/Q113)</f>
        <v/>
      </c>
      <c r="AT113" s="62" t="n">
        <v>30</v>
      </c>
      <c r="AU113" s="62" t="n">
        <v>385</v>
      </c>
      <c r="AV113" s="62" t="inlineStr">
        <is>
          <t>常规</t>
        </is>
      </c>
      <c r="AW113" s="62" t="inlineStr">
        <is>
          <t>累计至少385，不机械扩展到2401</t>
        </is>
      </c>
    </row>
    <row r="114" ht="94.15000000000001" customHeight="1" s="58">
      <c r="A114" s="21" t="inlineStr">
        <is>
          <t>S10-F5-W5</t>
        </is>
      </c>
      <c r="B114" s="21" t="inlineStr">
        <is>
          <t>S10</t>
        </is>
      </c>
      <c r="C114" s="21" t="inlineStr">
        <is>
          <t>Store Queue</t>
        </is>
      </c>
      <c r="D114" s="22" t="inlineStr">
        <is>
          <t>内存依赖预测器的 SSIT/LFST。SSIT 把 load/store PC 映射到 store-set ID，LFST 记录该集合最近的在飞 store；预测结果决定年轻 load 是否等待某条 store，但最终正确性仍依赖 violation 检查与 replay。</t>
        </is>
      </c>
      <c r="E114" s="22" t="inlineStr">
        <is>
          <t>换值</t>
        </is>
      </c>
      <c r="F114"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4" s="22" t="inlineStr">
        <is>
          <t>F5</t>
        </is>
      </c>
      <c r="H114" s="22" t="inlineStr">
        <is>
          <t>warm-up 后第一个 eligible event 起持续到运行结束；每次运行仅选一个 bit/字段</t>
        </is>
      </c>
      <c r="I114" s="22" t="inlineStr">
        <is>
          <t>SQ-Forward 转发探针（同地址/部分重叠 store-to-load forwarding、字节掩码、alias、replay）</t>
        </is>
      </c>
      <c r="J114" s="22" t="inlineStr">
        <is>
          <t>SQ-Forward 转发探针（同地址/部分重叠 store-to-load forwarding、字节掩码、alias、replay）
执行定义与 oracle：同地址与部分重叠 store-to-load forwarding、不同字节掩码、地址晚到/数据晚到、alias、replay</t>
        </is>
      </c>
      <c r="K114" s="22" t="inlineStr">
        <is>
          <t>load/store alias训练后</t>
        </is>
      </c>
      <c r="L114" s="22" t="inlineStr">
        <is>
          <t>L0 项是否被读/转发/提交；L1 addr/data/mask/valid/age与影子SQ；L2 forwarding/replay/violation/SSIT-LFST；L3 cache写请求与ack；L4 commit及内存写日志；L5结局；预测ID、依赖边、issue次序、violation/replay、commit结果</t>
        </is>
      </c>
      <c r="M114" s="22" t="inlineStr">
        <is>
          <t>多数表现为额外stall或replay；错误放行且检查漏掉时才可能SDC</t>
        </is>
      </c>
      <c r="N114" s="22" t="inlineStr">
        <is>
          <t>区分预测性能错误与真正内存次序错误</t>
        </is>
      </c>
      <c r="O114" s="22" t="inlineStr">
        <is>
          <t>无直接SSIT/LFST注入</t>
        </is>
      </c>
      <c r="P114" s="23" t="n"/>
      <c r="Q114" s="23" t="n"/>
      <c r="R114" s="23" t="n"/>
      <c r="S114" s="23" t="n"/>
      <c r="T114" s="23" t="n"/>
      <c r="U114" s="23" t="n"/>
      <c r="V114" s="23" t="n"/>
      <c r="W114" s="23" t="n"/>
      <c r="X114" s="35">
        <f>IF(OR(R114="",R114-AP114&lt;=0),"",AB114/(R114-AP114))</f>
        <v/>
      </c>
      <c r="Y114" s="35">
        <f>IF(OR(AR114="",AR114=0),"",R114/AR114)</f>
        <v/>
      </c>
      <c r="Z114" s="24" t="inlineStr">
        <is>
          <t>待执行</t>
        </is>
      </c>
      <c r="AA114" s="23" t="n"/>
      <c r="AB114" s="38" t="n"/>
      <c r="AC114" s="38" t="n"/>
      <c r="AD114" s="38" t="n"/>
      <c r="AE114" s="38" t="n"/>
      <c r="AF114" s="38" t="n"/>
      <c r="AG114" s="38" t="n"/>
      <c r="AH114" s="38" t="n"/>
      <c r="AI114" s="38" t="n"/>
      <c r="AJ114" s="38" t="n"/>
      <c r="AK114" s="39" t="n"/>
      <c r="AL114" s="40">
        <f>IF(OR(R114="",R114-AP114&lt;=0),"",AO114/(R114-AP114))</f>
        <v/>
      </c>
      <c r="AM114" s="41">
        <f>IF(R114="","",SUM(AC114:AF114)-(R114-AP114))</f>
        <v/>
      </c>
      <c r="AN114" s="41">
        <f>IF(R114="","",SUM(S114:W114)+AP114-R114)</f>
        <v/>
      </c>
      <c r="AO114" s="44" t="n"/>
      <c r="AP114" s="45" t="n"/>
      <c r="AQ114" s="47" t="inlineStr">
        <is>
          <t>S10-a SSIT ID错误；S10-b LFST目标错误；S10-c store-set valid丢失</t>
        </is>
      </c>
      <c r="AR114" s="23" t="n"/>
      <c r="AS114" s="35">
        <f>IF(OR(Q114="",Q114=0),"",AR114/Q114)</f>
        <v/>
      </c>
      <c r="AT114" s="62" t="n">
        <v>30</v>
      </c>
      <c r="AU114" s="62" t="n">
        <v>385</v>
      </c>
      <c r="AV114" s="62" t="inlineStr">
        <is>
          <t>常规</t>
        </is>
      </c>
      <c r="AW114" s="62" t="inlineStr">
        <is>
          <t>累计至少385，不机械扩展到2401</t>
        </is>
      </c>
    </row>
    <row r="115" ht="94.15000000000001" customHeight="1" s="58">
      <c r="A115" s="21" t="inlineStr">
        <is>
          <t>S10-F5-W9</t>
        </is>
      </c>
      <c r="B115" s="21" t="inlineStr">
        <is>
          <t>S10</t>
        </is>
      </c>
      <c r="C115" s="21" t="inlineStr">
        <is>
          <t>Store Queue</t>
        </is>
      </c>
      <c r="D115" s="22" t="inlineStr">
        <is>
          <t>内存依赖预测器的 SSIT/LFST。SSIT 把 load/store PC 映射到 store-set ID，LFST 记录该集合最近的在飞 store；预测结果决定年轻 load 是否等待某条 store，但最终正确性仍依赖 violation 检查与 replay。</t>
        </is>
      </c>
      <c r="E115" s="22" t="inlineStr">
        <is>
          <t>换值</t>
        </is>
      </c>
      <c r="F115"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5" s="22" t="inlineStr">
        <is>
          <t>F5</t>
        </is>
      </c>
      <c r="H115" s="22" t="inlineStr">
        <is>
          <t>warm-up 后第一个 eligible event 起持续到运行结束；每次运行仅选一个 bit/字段</t>
        </is>
      </c>
      <c r="I115" s="22" t="inlineStr">
        <is>
          <t>GAP/Graph500 子集（BFS、SSSP、PageRank，固定图与结果哈希）</t>
        </is>
      </c>
      <c r="J115" s="22" t="inlineStr">
        <is>
          <t>GAP/Graph500 子集（BFS、SSSP、PageRank，固定图与结果哈希）
执行定义与 oracle：BFS/SSSP/PR，使用固定图与结果哈希；强调不规则地址和大 working set</t>
        </is>
      </c>
      <c r="K115" s="22" t="inlineStr">
        <is>
          <t>load/store alias训练后</t>
        </is>
      </c>
      <c r="L115" s="22" t="inlineStr">
        <is>
          <t>L0 项是否被读/转发/提交；L1 addr/data/mask/valid/age与影子SQ；L2 forwarding/replay/violation/SSIT-LFST；L3 cache写请求与ack；L4 commit及内存写日志；L5结局；预测ID、依赖边、issue次序、violation/replay、commit结果</t>
        </is>
      </c>
      <c r="M115" s="22" t="inlineStr">
        <is>
          <t>多数表现为额外stall或replay；错误放行且检查漏掉时才可能SDC</t>
        </is>
      </c>
      <c r="N115" s="22" t="inlineStr">
        <is>
          <t>区分预测性能错误与真正内存次序错误</t>
        </is>
      </c>
      <c r="O115" s="22" t="inlineStr">
        <is>
          <t>无直接SSIT/LFST注入</t>
        </is>
      </c>
      <c r="P115" s="23" t="n"/>
      <c r="Q115" s="23" t="n"/>
      <c r="R115" s="23" t="n"/>
      <c r="S115" s="23" t="n"/>
      <c r="T115" s="23" t="n"/>
      <c r="U115" s="23" t="n"/>
      <c r="V115" s="23" t="n"/>
      <c r="W115" s="23" t="n"/>
      <c r="X115" s="35">
        <f>IF(OR(R115="",R115-AP115&lt;=0),"",AB115/(R115-AP115))</f>
        <v/>
      </c>
      <c r="Y115" s="35">
        <f>IF(OR(AR115="",AR115=0),"",R115/AR115)</f>
        <v/>
      </c>
      <c r="Z115" s="24" t="inlineStr">
        <is>
          <t>待执行</t>
        </is>
      </c>
      <c r="AA115" s="23" t="n"/>
      <c r="AB115" s="38" t="n"/>
      <c r="AC115" s="38" t="n"/>
      <c r="AD115" s="38" t="n"/>
      <c r="AE115" s="38" t="n"/>
      <c r="AF115" s="38" t="n"/>
      <c r="AG115" s="38" t="n"/>
      <c r="AH115" s="38" t="n"/>
      <c r="AI115" s="38" t="n"/>
      <c r="AJ115" s="38" t="n"/>
      <c r="AK115" s="39" t="n"/>
      <c r="AL115" s="40">
        <f>IF(OR(R115="",R115-AP115&lt;=0),"",AO115/(R115-AP115))</f>
        <v/>
      </c>
      <c r="AM115" s="41">
        <f>IF(R115="","",SUM(AC115:AF115)-(R115-AP115))</f>
        <v/>
      </c>
      <c r="AN115" s="41">
        <f>IF(R115="","",SUM(S115:W115)+AP115-R115)</f>
        <v/>
      </c>
      <c r="AO115" s="44" t="n"/>
      <c r="AP115" s="45" t="n"/>
      <c r="AQ115" s="47" t="inlineStr">
        <is>
          <t>S10-a SSIT ID错误；S10-b LFST目标错误；S10-c store-set valid丢失</t>
        </is>
      </c>
      <c r="AR115" s="23" t="n"/>
      <c r="AS115" s="35">
        <f>IF(OR(Q115="",Q115=0),"",AR115/Q115)</f>
        <v/>
      </c>
      <c r="AT115" s="62" t="n">
        <v>30</v>
      </c>
      <c r="AU115" s="62" t="n">
        <v>385</v>
      </c>
      <c r="AV115" s="62" t="inlineStr">
        <is>
          <t>常规</t>
        </is>
      </c>
      <c r="AW115" s="62" t="inlineStr">
        <is>
          <t>累计至少385，不机械扩展到2401</t>
        </is>
      </c>
    </row>
    <row r="116" ht="94.15000000000001" customHeight="1" s="58">
      <c r="A116" s="21" t="inlineStr">
        <is>
          <t>S11-F0-W5</t>
        </is>
      </c>
      <c r="B116" s="21" t="inlineStr">
        <is>
          <t>S11</t>
        </is>
      </c>
      <c r="C116" s="21" t="inlineStr">
        <is>
          <t>Store Queue</t>
        </is>
      </c>
      <c r="D116" s="22" t="inlineStr">
        <is>
          <t>Store Queue 向 L1D 发送写请求并接收 ack/done 的事务握手通路。request 表示真正发出写，ack/done 表示下游已接受或完成；SQ 只有在正确事务完成后才能释放对应表项。</t>
        </is>
      </c>
      <c r="E116" s="22" t="inlineStr">
        <is>
          <t>时序</t>
        </is>
      </c>
      <c r="F116"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6" s="22" t="inlineStr">
        <is>
          <t>F0</t>
        </is>
      </c>
      <c r="H116" s="22" t="inlineStr">
        <is>
          <t>每次运行只注入 1 次；在 warm-up 后的 eligible event 中均匀抽样</t>
        </is>
      </c>
      <c r="I116" s="22" t="inlineStr">
        <is>
          <t>SQ-Forward 转发探针（同地址/部分重叠 store-to-load forwarding、字节掩码、alias、replay）</t>
        </is>
      </c>
      <c r="J116" s="22" t="inlineStr">
        <is>
          <t>SQ-Forward 转发探针（同地址/部分重叠 store-to-load forwarding、字节掩码、alias、replay）
执行定义与 oracle：同地址与部分重叠 store-to-load forwarding、不同字节掩码、地址晚到/数据晚到、alias、replay</t>
        </is>
      </c>
      <c r="K116" s="22" t="inlineStr">
        <is>
          <t>store drain或writeback</t>
        </is>
      </c>
      <c r="L116" s="22" t="inlineStr">
        <is>
          <t>L0 项是否被读/转发/提交；L1 addr/data/mask/valid/age与影子SQ；L2 forwarding/replay/violation/SSIT-LFST；L3 cache写请求与ack；L4 commit及内存写日志；L5结局；request ID、发送/接收次数、释放周期、最终内存</t>
        </is>
      </c>
      <c r="M116" s="22" t="inlineStr">
        <is>
          <t>提前done/丢request可静默漏写；重复request通常幂等但MMIO/原子场景危险</t>
        </is>
      </c>
      <c r="N116" s="22" t="inlineStr">
        <is>
          <t>覆盖事务时序而非存储位</t>
        </is>
      </c>
      <c r="O116" s="22" t="inlineStr">
        <is>
          <t>MICRO'24时延故障方法论类比</t>
        </is>
      </c>
      <c r="P116" s="23" t="n"/>
      <c r="Q116" s="23" t="n"/>
      <c r="R116" s="23" t="n"/>
      <c r="S116" s="23" t="n"/>
      <c r="T116" s="23" t="n"/>
      <c r="U116" s="23" t="n"/>
      <c r="V116" s="23" t="n"/>
      <c r="W116" s="23" t="n"/>
      <c r="X116" s="35">
        <f>IF(OR(R116="",R116-AP116&lt;=0),"",AB116/(R116-AP116))</f>
        <v/>
      </c>
      <c r="Y116" s="35">
        <f>IF(OR(AR116="",AR116=0),"",R116/AR116)</f>
        <v/>
      </c>
      <c r="Z116" s="24" t="inlineStr">
        <is>
          <t>待执行</t>
        </is>
      </c>
      <c r="AA116" s="23" t="n"/>
      <c r="AB116" s="38" t="n"/>
      <c r="AC116" s="38" t="n"/>
      <c r="AD116" s="38" t="n"/>
      <c r="AE116" s="38" t="n"/>
      <c r="AF116" s="38" t="n"/>
      <c r="AG116" s="38" t="n"/>
      <c r="AH116" s="38" t="n"/>
      <c r="AI116" s="38" t="n"/>
      <c r="AJ116" s="38" t="n"/>
      <c r="AK116" s="39" t="n"/>
      <c r="AL116" s="40">
        <f>IF(OR(R116="",R116-AP116&lt;=0),"",AO116/(R116-AP116))</f>
        <v/>
      </c>
      <c r="AM116" s="41">
        <f>IF(R116="","",SUM(AC116:AF116)-(R116-AP116))</f>
        <v/>
      </c>
      <c r="AN116" s="41">
        <f>IF(R116="","",SUM(S116:W116)+AP116-R116)</f>
        <v/>
      </c>
      <c r="AO116" s="44" t="n"/>
      <c r="AP116" s="45" t="n"/>
      <c r="AQ116" s="47" t="inlineStr">
        <is>
          <t>S11-a request丢失；S11-b acknowledgement丢失；S11-c request重复；S11-d done过早</t>
        </is>
      </c>
      <c r="AR116" s="23" t="n"/>
      <c r="AS116" s="35">
        <f>IF(OR(Q116="",Q116=0),"",AR116/Q116)</f>
        <v/>
      </c>
      <c r="AT116" s="62" t="n">
        <v>30</v>
      </c>
      <c r="AU116" s="62" t="n">
        <v>385</v>
      </c>
      <c r="AV116" s="62" t="inlineStr">
        <is>
          <t>常规</t>
        </is>
      </c>
      <c r="AW116" s="62" t="inlineStr">
        <is>
          <t>累计至少385，不机械扩展到2401</t>
        </is>
      </c>
    </row>
    <row r="117" ht="94.15000000000001" customHeight="1" s="58">
      <c r="A117" s="21" t="inlineStr">
        <is>
          <t>S11-F0-W6</t>
        </is>
      </c>
      <c r="B117" s="21" t="inlineStr">
        <is>
          <t>S11</t>
        </is>
      </c>
      <c r="C117" s="21" t="inlineStr">
        <is>
          <t>Store Queue</t>
        </is>
      </c>
      <c r="D117" s="22" t="inlineStr">
        <is>
          <t>Store Queue 向 L1D 发送写请求并接收 ack/done 的事务握手通路。request 表示真正发出写，ack/done 表示下游已接受或完成；SQ 只有在正确事务完成后才能释放对应表项。</t>
        </is>
      </c>
      <c r="E117" s="22" t="inlineStr">
        <is>
          <t>时序</t>
        </is>
      </c>
      <c r="F117"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7" s="22" t="inlineStr">
        <is>
          <t>F0</t>
        </is>
      </c>
      <c r="H117" s="22" t="inlineStr">
        <is>
          <t>每次运行只注入 1 次；在 warm-up 后的 eligible event 中均匀抽样</t>
        </is>
      </c>
      <c r="I117" s="22" t="inlineStr">
        <is>
          <t>Cache-DirtyEvict 缓存探针（0.5×/1×/2×L1D working set、conflict set、dirty eviction、writeback）</t>
        </is>
      </c>
      <c r="J117" s="22" t="inlineStr">
        <is>
          <t>Cache-DirtyEvict 缓存探针（0.5×/1×/2×L1D working set、conflict set、dirty eviction、writeback）
执行定义与 oracle：working set=0.5×/1×/2×L1D；读改写、dirty eviction、writeback、conflict set、共享行 false sharing</t>
        </is>
      </c>
      <c r="K117" s="22" t="inlineStr">
        <is>
          <t>store drain或writeback</t>
        </is>
      </c>
      <c r="L117" s="22" t="inlineStr">
        <is>
          <t>L0 项是否被读/转发/提交；L1 addr/data/mask/valid/age与影子SQ；L2 forwarding/replay/violation/SSIT-LFST；L3 cache写请求与ack；L4 commit及内存写日志；L5结局；request ID、发送/接收次数、释放周期、最终内存</t>
        </is>
      </c>
      <c r="M117" s="22" t="inlineStr">
        <is>
          <t>提前done/丢request可静默漏写；重复request通常幂等但MMIO/原子场景危险</t>
        </is>
      </c>
      <c r="N117" s="22" t="inlineStr">
        <is>
          <t>覆盖事务时序而非存储位</t>
        </is>
      </c>
      <c r="O117" s="22" t="inlineStr">
        <is>
          <t>MICRO'24时延故障方法论类比</t>
        </is>
      </c>
      <c r="P117" s="23" t="n"/>
      <c r="Q117" s="23" t="n"/>
      <c r="R117" s="23" t="n"/>
      <c r="S117" s="23" t="n"/>
      <c r="T117" s="23" t="n"/>
      <c r="U117" s="23" t="n"/>
      <c r="V117" s="23" t="n"/>
      <c r="W117" s="23" t="n"/>
      <c r="X117" s="35">
        <f>IF(OR(R117="",R117-AP117&lt;=0),"",AB117/(R117-AP117))</f>
        <v/>
      </c>
      <c r="Y117" s="35">
        <f>IF(OR(AR117="",AR117=0),"",R117/AR117)</f>
        <v/>
      </c>
      <c r="Z117" s="24" t="inlineStr">
        <is>
          <t>待执行</t>
        </is>
      </c>
      <c r="AA117" s="23" t="n"/>
      <c r="AB117" s="38" t="n"/>
      <c r="AC117" s="38" t="n"/>
      <c r="AD117" s="38" t="n"/>
      <c r="AE117" s="38" t="n"/>
      <c r="AF117" s="38" t="n"/>
      <c r="AG117" s="38" t="n"/>
      <c r="AH117" s="38" t="n"/>
      <c r="AI117" s="38" t="n"/>
      <c r="AJ117" s="38" t="n"/>
      <c r="AK117" s="39" t="n"/>
      <c r="AL117" s="40">
        <f>IF(OR(R117="",R117-AP117&lt;=0),"",AO117/(R117-AP117))</f>
        <v/>
      </c>
      <c r="AM117" s="41">
        <f>IF(R117="","",SUM(AC117:AF117)-(R117-AP117))</f>
        <v/>
      </c>
      <c r="AN117" s="41">
        <f>IF(R117="","",SUM(S117:W117)+AP117-R117)</f>
        <v/>
      </c>
      <c r="AO117" s="44" t="n"/>
      <c r="AP117" s="45" t="n"/>
      <c r="AQ117" s="47" t="inlineStr">
        <is>
          <t>S11-a request丢失；S11-b acknowledgement丢失；S11-c request重复；S11-d done过早</t>
        </is>
      </c>
      <c r="AR117" s="23" t="n"/>
      <c r="AS117" s="35">
        <f>IF(OR(Q117="",Q117=0),"",AR117/Q117)</f>
        <v/>
      </c>
      <c r="AT117" s="62" t="n">
        <v>30</v>
      </c>
      <c r="AU117" s="62" t="n">
        <v>385</v>
      </c>
      <c r="AV117" s="62" t="inlineStr">
        <is>
          <t>常规</t>
        </is>
      </c>
      <c r="AW117" s="62" t="inlineStr">
        <is>
          <t>累计至少385，不机械扩展到2401</t>
        </is>
      </c>
    </row>
    <row r="118" ht="94.15000000000001" customHeight="1" s="58">
      <c r="A118" s="21" t="inlineStr">
        <is>
          <t>S11-F4-W5</t>
        </is>
      </c>
      <c r="B118" s="21" t="inlineStr">
        <is>
          <t>S11</t>
        </is>
      </c>
      <c r="C118" s="21" t="inlineStr">
        <is>
          <t>Store Queue</t>
        </is>
      </c>
      <c r="D118" s="22" t="inlineStr">
        <is>
          <t>Store Queue 向 L1D 发送写请求并接收 ack/done 的事务握手通路。request 表示真正发出写，ack/done 表示下游已接受或完成；SQ 只有在正确事务完成后才能释放对应表项。</t>
        </is>
      </c>
      <c r="E118" s="22" t="inlineStr">
        <is>
          <t>时序</t>
        </is>
      </c>
      <c r="F118"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8" s="22" t="inlineStr">
        <is>
          <t>F4</t>
        </is>
      </c>
      <c r="H118" s="22" t="inlineStr">
        <is>
          <t>每 100,000 个 eligible events 触发一次，连续污染 2-4 个 eligible events</t>
        </is>
      </c>
      <c r="I118" s="22" t="inlineStr">
        <is>
          <t>SQ-Forward 转发探针（同地址/部分重叠 store-to-load forwarding、字节掩码、alias、replay）</t>
        </is>
      </c>
      <c r="J118" s="22" t="inlineStr">
        <is>
          <t>SQ-Forward 转发探针（同地址/部分重叠 store-to-load forwarding、字节掩码、alias、replay）
执行定义与 oracle：同地址与部分重叠 store-to-load forwarding、不同字节掩码、地址晚到/数据晚到、alias、replay</t>
        </is>
      </c>
      <c r="K118" s="22" t="inlineStr">
        <is>
          <t>store drain或writeback</t>
        </is>
      </c>
      <c r="L118" s="22" t="inlineStr">
        <is>
          <t>L0 项是否被读/转发/提交；L1 addr/data/mask/valid/age与影子SQ；L2 forwarding/replay/violation/SSIT-LFST；L3 cache写请求与ack；L4 commit及内存写日志；L5结局；request ID、发送/接收次数、释放周期、最终内存</t>
        </is>
      </c>
      <c r="M118" s="22" t="inlineStr">
        <is>
          <t>提前done/丢request可静默漏写；重复request通常幂等但MMIO/原子场景危险</t>
        </is>
      </c>
      <c r="N118" s="22" t="inlineStr">
        <is>
          <t>覆盖事务时序而非存储位</t>
        </is>
      </c>
      <c r="O118" s="22" t="inlineStr">
        <is>
          <t>MICRO'24时延故障方法论类比</t>
        </is>
      </c>
      <c r="P118" s="23" t="n"/>
      <c r="Q118" s="23" t="n"/>
      <c r="R118" s="23" t="n"/>
      <c r="S118" s="23" t="n"/>
      <c r="T118" s="23" t="n"/>
      <c r="U118" s="23" t="n"/>
      <c r="V118" s="23" t="n"/>
      <c r="W118" s="23" t="n"/>
      <c r="X118" s="35">
        <f>IF(OR(R118="",R118-AP118&lt;=0),"",AB118/(R118-AP118))</f>
        <v/>
      </c>
      <c r="Y118" s="35">
        <f>IF(OR(AR118="",AR118=0),"",R118/AR118)</f>
        <v/>
      </c>
      <c r="Z118" s="24" t="inlineStr">
        <is>
          <t>待执行</t>
        </is>
      </c>
      <c r="AA118" s="23" t="n"/>
      <c r="AB118" s="38" t="n"/>
      <c r="AC118" s="38" t="n"/>
      <c r="AD118" s="38" t="n"/>
      <c r="AE118" s="38" t="n"/>
      <c r="AF118" s="38" t="n"/>
      <c r="AG118" s="38" t="n"/>
      <c r="AH118" s="38" t="n"/>
      <c r="AI118" s="38" t="n"/>
      <c r="AJ118" s="38" t="n"/>
      <c r="AK118" s="39" t="n"/>
      <c r="AL118" s="40">
        <f>IF(OR(R118="",R118-AP118&lt;=0),"",AO118/(R118-AP118))</f>
        <v/>
      </c>
      <c r="AM118" s="41">
        <f>IF(R118="","",SUM(AC118:AF118)-(R118-AP118))</f>
        <v/>
      </c>
      <c r="AN118" s="41">
        <f>IF(R118="","",SUM(S118:W118)+AP118-R118)</f>
        <v/>
      </c>
      <c r="AO118" s="44" t="n"/>
      <c r="AP118" s="45" t="n"/>
      <c r="AQ118" s="47" t="inlineStr">
        <is>
          <t>S11-a request丢失；S11-b acknowledgement丢失；S11-c request重复；S11-d done过早</t>
        </is>
      </c>
      <c r="AR118" s="23" t="n"/>
      <c r="AS118" s="35">
        <f>IF(OR(Q118="",Q118=0),"",AR118/Q118)</f>
        <v/>
      </c>
      <c r="AT118" s="62" t="n">
        <v>30</v>
      </c>
      <c r="AU118" s="62" t="n">
        <v>385</v>
      </c>
      <c r="AV118" s="62" t="inlineStr">
        <is>
          <t>常规</t>
        </is>
      </c>
      <c r="AW118" s="62" t="inlineStr">
        <is>
          <t>累计至少385，不机械扩展到2401</t>
        </is>
      </c>
    </row>
    <row r="119" ht="94.15000000000001" customHeight="1" s="58">
      <c r="A119" s="21" t="inlineStr">
        <is>
          <t>S11-F4-W6</t>
        </is>
      </c>
      <c r="B119" s="21" t="inlineStr">
        <is>
          <t>S11</t>
        </is>
      </c>
      <c r="C119" s="21" t="inlineStr">
        <is>
          <t>Store Queue</t>
        </is>
      </c>
      <c r="D119" s="22" t="inlineStr">
        <is>
          <t>Store Queue 向 L1D 发送写请求并接收 ack/done 的事务握手通路。request 表示真正发出写，ack/done 表示下游已接受或完成；SQ 只有在正确事务完成后才能释放对应表项。</t>
        </is>
      </c>
      <c r="E119" s="22" t="inlineStr">
        <is>
          <t>时序</t>
        </is>
      </c>
      <c r="F119"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9" s="22" t="inlineStr">
        <is>
          <t>F4</t>
        </is>
      </c>
      <c r="H119" s="22" t="inlineStr">
        <is>
          <t>每 100,000 个 eligible events 触发一次，连续污染 2-4 个 eligible events</t>
        </is>
      </c>
      <c r="I119" s="22" t="inlineStr">
        <is>
          <t>Cache-DirtyEvict 缓存探针（0.5×/1×/2×L1D working set、conflict set、dirty eviction、writeback）</t>
        </is>
      </c>
      <c r="J119" s="22" t="inlineStr">
        <is>
          <t>Cache-DirtyEvict 缓存探针（0.5×/1×/2×L1D working set、conflict set、dirty eviction、writeback）
执行定义与 oracle：working set=0.5×/1×/2×L1D；读改写、dirty eviction、writeback、conflict set、共享行 false sharing</t>
        </is>
      </c>
      <c r="K119" s="22" t="inlineStr">
        <is>
          <t>store drain或writeback</t>
        </is>
      </c>
      <c r="L119" s="22" t="inlineStr">
        <is>
          <t>L0 项是否被读/转发/提交；L1 addr/data/mask/valid/age与影子SQ；L2 forwarding/replay/violation/SSIT-LFST；L3 cache写请求与ack；L4 commit及内存写日志；L5结局；request ID、发送/接收次数、释放周期、最终内存</t>
        </is>
      </c>
      <c r="M119" s="22" t="inlineStr">
        <is>
          <t>提前done/丢request可静默漏写；重复request通常幂等但MMIO/原子场景危险</t>
        </is>
      </c>
      <c r="N119" s="22" t="inlineStr">
        <is>
          <t>覆盖事务时序而非存储位</t>
        </is>
      </c>
      <c r="O119" s="22" t="inlineStr">
        <is>
          <t>MICRO'24时延故障方法论类比</t>
        </is>
      </c>
      <c r="P119" s="23" t="n"/>
      <c r="Q119" s="23" t="n"/>
      <c r="R119" s="23" t="n"/>
      <c r="S119" s="23" t="n"/>
      <c r="T119" s="23" t="n"/>
      <c r="U119" s="23" t="n"/>
      <c r="V119" s="23" t="n"/>
      <c r="W119" s="23" t="n"/>
      <c r="X119" s="35">
        <f>IF(OR(R119="",R119-AP119&lt;=0),"",AB119/(R119-AP119))</f>
        <v/>
      </c>
      <c r="Y119" s="35">
        <f>IF(OR(AR119="",AR119=0),"",R119/AR119)</f>
        <v/>
      </c>
      <c r="Z119" s="24" t="inlineStr">
        <is>
          <t>待执行</t>
        </is>
      </c>
      <c r="AA119" s="23" t="n"/>
      <c r="AB119" s="38" t="n"/>
      <c r="AC119" s="38" t="n"/>
      <c r="AD119" s="38" t="n"/>
      <c r="AE119" s="38" t="n"/>
      <c r="AF119" s="38" t="n"/>
      <c r="AG119" s="38" t="n"/>
      <c r="AH119" s="38" t="n"/>
      <c r="AI119" s="38" t="n"/>
      <c r="AJ119" s="38" t="n"/>
      <c r="AK119" s="39" t="n"/>
      <c r="AL119" s="40">
        <f>IF(OR(R119="",R119-AP119&lt;=0),"",AO119/(R119-AP119))</f>
        <v/>
      </c>
      <c r="AM119" s="41">
        <f>IF(R119="","",SUM(AC119:AF119)-(R119-AP119))</f>
        <v/>
      </c>
      <c r="AN119" s="41">
        <f>IF(R119="","",SUM(S119:W119)+AP119-R119)</f>
        <v/>
      </c>
      <c r="AO119" s="44" t="n"/>
      <c r="AP119" s="45" t="n"/>
      <c r="AQ119" s="47" t="inlineStr">
        <is>
          <t>S11-a request丢失；S11-b acknowledgement丢失；S11-c request重复；S11-d done过早</t>
        </is>
      </c>
      <c r="AR119" s="23" t="n"/>
      <c r="AS119" s="35">
        <f>IF(OR(Q119="",Q119=0),"",AR119/Q119)</f>
        <v/>
      </c>
      <c r="AT119" s="62" t="n">
        <v>30</v>
      </c>
      <c r="AU119" s="62" t="n">
        <v>385</v>
      </c>
      <c r="AV119" s="62" t="inlineStr">
        <is>
          <t>常规</t>
        </is>
      </c>
      <c r="AW119" s="62" t="inlineStr">
        <is>
          <t>累计至少385，不机械扩展到2401</t>
        </is>
      </c>
    </row>
    <row r="120" ht="94.15000000000001" customHeight="1" s="58">
      <c r="A120" s="21" t="inlineStr">
        <is>
          <t>S11-F6-W5</t>
        </is>
      </c>
      <c r="B120" s="21" t="inlineStr">
        <is>
          <t>S11</t>
        </is>
      </c>
      <c r="C120" s="21" t="inlineStr">
        <is>
          <t>Store Queue</t>
        </is>
      </c>
      <c r="D120" s="22" t="inlineStr">
        <is>
          <t>Store Queue 向 L1D 发送写请求并接收 ack/done 的事务握手通路。request 表示真正发出写，ack/done 表示下游已接受或完成；SQ 只有在正确事务完成后才能释放对应表项。</t>
        </is>
      </c>
      <c r="E120" s="22" t="inlineStr">
        <is>
          <t>时序</t>
        </is>
      </c>
      <c r="F120"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20" s="22" t="inlineStr">
        <is>
          <t>F6</t>
        </is>
      </c>
      <c r="H120" s="22" t="inlineStr">
        <is>
          <t>首次出现指定事件时注入一次，如 TLB hit、SQ forward、dirty eviction、CAS 成功</t>
        </is>
      </c>
      <c r="I120" s="22" t="inlineStr">
        <is>
          <t>SQ-Forward 转发探针（同地址/部分重叠 store-to-load forwarding、字节掩码、alias、replay）</t>
        </is>
      </c>
      <c r="J120" s="22" t="inlineStr">
        <is>
          <t>SQ-Forward 转发探针（同地址/部分重叠 store-to-load forwarding、字节掩码、alias、replay）
执行定义与 oracle：同地址与部分重叠 store-to-load forwarding、不同字节掩码、地址晚到/数据晚到、alias、replay</t>
        </is>
      </c>
      <c r="K120" s="22" t="inlineStr">
        <is>
          <t>store drain或writeback</t>
        </is>
      </c>
      <c r="L120" s="22" t="inlineStr">
        <is>
          <t>L0 项是否被读/转发/提交；L1 addr/data/mask/valid/age与影子SQ；L2 forwarding/replay/violation/SSIT-LFST；L3 cache写请求与ack；L4 commit及内存写日志；L5结局；request ID、发送/接收次数、释放周期、最终内存</t>
        </is>
      </c>
      <c r="M120" s="22" t="inlineStr">
        <is>
          <t>提前done/丢request可静默漏写；重复request通常幂等但MMIO/原子场景危险</t>
        </is>
      </c>
      <c r="N120" s="22" t="inlineStr">
        <is>
          <t>覆盖事务时序而非存储位</t>
        </is>
      </c>
      <c r="O120" s="22" t="inlineStr">
        <is>
          <t>MICRO'24时延故障方法论类比</t>
        </is>
      </c>
      <c r="P120" s="23" t="n"/>
      <c r="Q120" s="23" t="n"/>
      <c r="R120" s="23" t="n"/>
      <c r="S120" s="23" t="n"/>
      <c r="T120" s="23" t="n"/>
      <c r="U120" s="23" t="n"/>
      <c r="V120" s="23" t="n"/>
      <c r="W120" s="23" t="n"/>
      <c r="X120" s="35">
        <f>IF(OR(R120="",R120-AP120&lt;=0),"",AB120/(R120-AP120))</f>
        <v/>
      </c>
      <c r="Y120" s="35">
        <f>IF(OR(AR120="",AR120=0),"",R120/AR120)</f>
        <v/>
      </c>
      <c r="Z120" s="24" t="inlineStr">
        <is>
          <t>待执行</t>
        </is>
      </c>
      <c r="AA120" s="23" t="n"/>
      <c r="AB120" s="38" t="n"/>
      <c r="AC120" s="38" t="n"/>
      <c r="AD120" s="38" t="n"/>
      <c r="AE120" s="38" t="n"/>
      <c r="AF120" s="38" t="n"/>
      <c r="AG120" s="38" t="n"/>
      <c r="AH120" s="38" t="n"/>
      <c r="AI120" s="38" t="n"/>
      <c r="AJ120" s="38" t="n"/>
      <c r="AK120" s="39" t="n"/>
      <c r="AL120" s="40">
        <f>IF(OR(R120="",R120-AP120&lt;=0),"",AO120/(R120-AP120))</f>
        <v/>
      </c>
      <c r="AM120" s="41">
        <f>IF(R120="","",SUM(AC120:AF120)-(R120-AP120))</f>
        <v/>
      </c>
      <c r="AN120" s="41">
        <f>IF(R120="","",SUM(S120:W120)+AP120-R120)</f>
        <v/>
      </c>
      <c r="AO120" s="44" t="n"/>
      <c r="AP120" s="45" t="n"/>
      <c r="AQ120" s="47" t="inlineStr">
        <is>
          <t>S11-a request丢失；S11-b acknowledgement丢失；S11-c request重复；S11-d done过早</t>
        </is>
      </c>
      <c r="AR120" s="23" t="n"/>
      <c r="AS120" s="35">
        <f>IF(OR(Q120="",Q120=0),"",AR120/Q120)</f>
        <v/>
      </c>
      <c r="AT120" s="62" t="n">
        <v>30</v>
      </c>
      <c r="AU120" s="62" t="n">
        <v>385</v>
      </c>
      <c r="AV120" s="62" t="inlineStr">
        <is>
          <t>常规</t>
        </is>
      </c>
      <c r="AW120" s="62" t="inlineStr">
        <is>
          <t>累计至少385，不机械扩展到2401</t>
        </is>
      </c>
    </row>
    <row r="121" ht="94.15000000000001" customHeight="1" s="58">
      <c r="A121" s="21" t="inlineStr">
        <is>
          <t>S11-F6-W6</t>
        </is>
      </c>
      <c r="B121" s="21" t="inlineStr">
        <is>
          <t>S11</t>
        </is>
      </c>
      <c r="C121" s="21" t="inlineStr">
        <is>
          <t>Store Queue</t>
        </is>
      </c>
      <c r="D121" s="22" t="inlineStr">
        <is>
          <t>Store Queue 向 L1D 发送写请求并接收 ack/done 的事务握手通路。request 表示真正发出写，ack/done 表示下游已接受或完成；SQ 只有在正确事务完成后才能释放对应表项。</t>
        </is>
      </c>
      <c r="E121" s="22" t="inlineStr">
        <is>
          <t>时序</t>
        </is>
      </c>
      <c r="F121"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21" s="22" t="inlineStr">
        <is>
          <t>F6</t>
        </is>
      </c>
      <c r="H121" s="22" t="inlineStr">
        <is>
          <t>首次出现指定事件时注入一次，如 TLB hit、SQ forward、dirty eviction、CAS 成功</t>
        </is>
      </c>
      <c r="I121" s="22" t="inlineStr">
        <is>
          <t>Cache-DirtyEvict 缓存探针（0.5×/1×/2×L1D working set、conflict set、dirty eviction、writeback）</t>
        </is>
      </c>
      <c r="J121" s="22" t="inlineStr">
        <is>
          <t>Cache-DirtyEvict 缓存探针（0.5×/1×/2×L1D working set、conflict set、dirty eviction、writeback）
执行定义与 oracle：working set=0.5×/1×/2×L1D；读改写、dirty eviction、writeback、conflict set、共享行 false sharing</t>
        </is>
      </c>
      <c r="K121" s="22" t="inlineStr">
        <is>
          <t>store drain或writeback</t>
        </is>
      </c>
      <c r="L121" s="22" t="inlineStr">
        <is>
          <t>L0 项是否被读/转发/提交；L1 addr/data/mask/valid/age与影子SQ；L2 forwarding/replay/violation/SSIT-LFST；L3 cache写请求与ack；L4 commit及内存写日志；L5结局；request ID、发送/接收次数、释放周期、最终内存</t>
        </is>
      </c>
      <c r="M121" s="22" t="inlineStr">
        <is>
          <t>提前done/丢request可静默漏写；重复request通常幂等但MMIO/原子场景危险</t>
        </is>
      </c>
      <c r="N121" s="22" t="inlineStr">
        <is>
          <t>覆盖事务时序而非存储位</t>
        </is>
      </c>
      <c r="O121" s="22" t="inlineStr">
        <is>
          <t>MICRO'24时延故障方法论类比</t>
        </is>
      </c>
      <c r="P121" s="23" t="n"/>
      <c r="Q121" s="23" t="n"/>
      <c r="R121" s="23" t="n"/>
      <c r="S121" s="23" t="n"/>
      <c r="T121" s="23" t="n"/>
      <c r="U121" s="23" t="n"/>
      <c r="V121" s="23" t="n"/>
      <c r="W121" s="23" t="n"/>
      <c r="X121" s="35">
        <f>IF(OR(R121="",R121-AP121&lt;=0),"",AB121/(R121-AP121))</f>
        <v/>
      </c>
      <c r="Y121" s="35">
        <f>IF(OR(AR121="",AR121=0),"",R121/AR121)</f>
        <v/>
      </c>
      <c r="Z121" s="24" t="inlineStr">
        <is>
          <t>待执行</t>
        </is>
      </c>
      <c r="AA121" s="23" t="n"/>
      <c r="AB121" s="38" t="n"/>
      <c r="AC121" s="38" t="n"/>
      <c r="AD121" s="38" t="n"/>
      <c r="AE121" s="38" t="n"/>
      <c r="AF121" s="38" t="n"/>
      <c r="AG121" s="38" t="n"/>
      <c r="AH121" s="38" t="n"/>
      <c r="AI121" s="38" t="n"/>
      <c r="AJ121" s="38" t="n"/>
      <c r="AK121" s="39" t="n"/>
      <c r="AL121" s="40">
        <f>IF(OR(R121="",R121-AP121&lt;=0),"",AO121/(R121-AP121))</f>
        <v/>
      </c>
      <c r="AM121" s="41">
        <f>IF(R121="","",SUM(AC121:AF121)-(R121-AP121))</f>
        <v/>
      </c>
      <c r="AN121" s="41">
        <f>IF(R121="","",SUM(S121:W121)+AP121-R121)</f>
        <v/>
      </c>
      <c r="AO121" s="44" t="n"/>
      <c r="AP121" s="45" t="n"/>
      <c r="AQ121" s="47" t="inlineStr">
        <is>
          <t>S11-a request丢失；S11-b acknowledgement丢失；S11-c request重复；S11-d done过早</t>
        </is>
      </c>
      <c r="AR121" s="23" t="n"/>
      <c r="AS121" s="35">
        <f>IF(OR(Q121="",Q121=0),"",AR121/Q121)</f>
        <v/>
      </c>
      <c r="AT121" s="62" t="n">
        <v>30</v>
      </c>
      <c r="AU121" s="62" t="n">
        <v>385</v>
      </c>
      <c r="AV121" s="62" t="inlineStr">
        <is>
          <t>常规</t>
        </is>
      </c>
      <c r="AW121" s="62" t="inlineStr">
        <is>
          <t>累计至少385，不机械扩展到2401</t>
        </is>
      </c>
    </row>
    <row r="122" ht="94.15000000000001" customHeight="1" s="58">
      <c r="A122" s="21" t="inlineStr">
        <is>
          <t>C01-F0-W1</t>
        </is>
      </c>
      <c r="B122" s="21" t="inlineStr">
        <is>
          <t>C01</t>
        </is>
      </c>
      <c r="C122" s="21" t="inlineStr">
        <is>
          <t>L1d-Cache</t>
        </is>
      </c>
      <c r="D122" s="22" t="inlineStr">
        <is>
          <t>L1D data array 的有效 cache line 数据位。data array 保存程序最近使用的真实数据；只有该行以后被需求 load 读取、被 store 修改或被 writeback 才可能向架构状态传播。</t>
        </is>
      </c>
      <c r="E122" s="22" t="inlineStr">
        <is>
          <t>单比特翻转</t>
        </is>
      </c>
      <c r="F122"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2" s="22" t="inlineStr">
        <is>
          <t>F0</t>
        </is>
      </c>
      <c r="H122" s="22" t="inlineStr">
        <is>
          <t>每次运行只注入 1 次；在 warm-up 后的 eligible event 中均匀抽样</t>
        </is>
      </c>
      <c r="I122" s="22" t="inlineStr">
        <is>
          <t>MiBench-TC23 论文负载（blowfish、patricia、fft、gsm、dijkstra、rijndael、sha、bitcount、edge、smooth）</t>
        </is>
      </c>
      <c r="J122" s="22" t="inlineStr">
        <is>
          <t>MiBench-TC23 论文负载（blowfish、patricia、fft、gsm、dijkstra、rijndael、sha、bitcount、edge、smooth）
执行定义与 oracle：blowfish、patricia、fft、gsm、dijkstra、rijndael、sha、bitcount、edge、smooth；最大输入集</t>
        </is>
      </c>
      <c r="K122" s="22" t="inlineStr">
        <is>
          <t>L1D存在valid line</t>
        </is>
      </c>
      <c r="L122" s="22" t="inlineStr">
        <is>
          <t>L0 行/way是否被需求读或驱逐；L1 tag/data/valid/dirty/coherence/PLRU；L2 hit/miss/MSHR/merge/fill；L3 writeback与一致性消息；L4 load值/store可见性；L5结局；byte位置、被读/写回/覆盖、内核/用户来源</t>
        </is>
      </c>
      <c r="M122" s="22" t="inlineStr">
        <is>
          <t>文献中L1D data是高SDC结构；TC'23 Armv8非benign中SDC占53.4%</t>
        </is>
      </c>
      <c r="N122" s="22" t="inlineStr">
        <is>
          <t>直接复现最成熟的文献基线</t>
        </is>
      </c>
      <c r="O122" s="22" t="inlineStr">
        <is>
          <t>IISWC'15、TC'22、TC'23、HPCA'24直接对照</t>
        </is>
      </c>
      <c r="P122" s="23" t="n"/>
      <c r="Q122" s="23" t="n"/>
      <c r="R122" s="23" t="n"/>
      <c r="S122" s="23" t="n"/>
      <c r="T122" s="23" t="n"/>
      <c r="U122" s="23" t="n"/>
      <c r="V122" s="23" t="n"/>
      <c r="W122" s="23" t="n"/>
      <c r="X122" s="35">
        <f>IF(OR(R122="",R122-AP122&lt;=0),"",AB122/(R122-AP122))</f>
        <v/>
      </c>
      <c r="Y122" s="35">
        <f>IF(OR(AR122="",AR122=0),"",R122/AR122)</f>
        <v/>
      </c>
      <c r="Z122" s="24" t="inlineStr">
        <is>
          <t>待执行</t>
        </is>
      </c>
      <c r="AA122" s="23" t="n"/>
      <c r="AB122" s="38" t="n"/>
      <c r="AC122" s="38" t="n"/>
      <c r="AD122" s="38" t="n"/>
      <c r="AE122" s="38" t="n"/>
      <c r="AF122" s="38" t="n"/>
      <c r="AG122" s="38" t="n"/>
      <c r="AH122" s="38" t="n"/>
      <c r="AI122" s="38" t="n"/>
      <c r="AJ122" s="38" t="n"/>
      <c r="AK122" s="39" t="n"/>
      <c r="AL122" s="40">
        <f>IF(OR(R122="",R122-AP122&lt;=0),"",AO122/(R122-AP122))</f>
        <v/>
      </c>
      <c r="AM122" s="41">
        <f>IF(R122="","",SUM(AC122:AF122)-(R122-AP122))</f>
        <v/>
      </c>
      <c r="AN122" s="41">
        <f>IF(R122="","",SUM(S122:W122)+AP122-R122)</f>
        <v/>
      </c>
      <c r="AO122" s="44" t="n"/>
      <c r="AP122" s="45" t="n"/>
      <c r="AQ122" s="47" t="inlineStr">
        <is>
          <t>C01-a cache data低位单bit；C01-b 中位单bit；C01-c 高位单bit</t>
        </is>
      </c>
      <c r="AR122" s="23" t="n"/>
      <c r="AS122" s="35">
        <f>IF(OR(Q122="",Q122=0),"",AR122/Q122)</f>
        <v/>
      </c>
      <c r="AT122" s="62" t="n">
        <v>30</v>
      </c>
      <c r="AU122" s="62" t="n">
        <v>385</v>
      </c>
      <c r="AV122" s="62" t="inlineStr">
        <is>
          <t>常规</t>
        </is>
      </c>
      <c r="AW122" s="62" t="inlineStr">
        <is>
          <t>累计至少385，不机械扩展到2401</t>
        </is>
      </c>
    </row>
    <row r="123" ht="94.15000000000001" customHeight="1" s="58">
      <c r="A123" s="21" t="inlineStr">
        <is>
          <t>C01-F0-W6</t>
        </is>
      </c>
      <c r="B123" s="21" t="inlineStr">
        <is>
          <t>C01</t>
        </is>
      </c>
      <c r="C123" s="21" t="inlineStr">
        <is>
          <t>L1d-Cache</t>
        </is>
      </c>
      <c r="D123" s="22" t="inlineStr">
        <is>
          <t>L1D data array 的有效 cache line 数据位。data array 保存程序最近使用的真实数据；只有该行以后被需求 load 读取、被 store 修改或被 writeback 才可能向架构状态传播。</t>
        </is>
      </c>
      <c r="E123" s="22" t="inlineStr">
        <is>
          <t>单比特翻转</t>
        </is>
      </c>
      <c r="F123"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3" s="22" t="inlineStr">
        <is>
          <t>F0</t>
        </is>
      </c>
      <c r="H123" s="22" t="inlineStr">
        <is>
          <t>每次运行只注入 1 次；在 warm-up 后的 eligible event 中均匀抽样</t>
        </is>
      </c>
      <c r="I123" s="22" t="inlineStr">
        <is>
          <t>Cache-DirtyEvict 缓存探针（0.5×/1×/2×L1D working set、conflict set、dirty eviction、writeback）</t>
        </is>
      </c>
      <c r="J123" s="22" t="inlineStr">
        <is>
          <t>Cache-DirtyEvict 缓存探针（0.5×/1×/2×L1D working set、conflict set、dirty eviction、writeback）
执行定义与 oracle：working set=0.5×/1×/2×L1D；读改写、dirty eviction、writeback、conflict set、共享行 false sharing</t>
        </is>
      </c>
      <c r="K123" s="22" t="inlineStr">
        <is>
          <t>L1D存在valid line</t>
        </is>
      </c>
      <c r="L123" s="22" t="inlineStr">
        <is>
          <t>L0 行/way是否被需求读或驱逐；L1 tag/data/valid/dirty/coherence/PLRU；L2 hit/miss/MSHR/merge/fill；L3 writeback与一致性消息；L4 load值/store可见性；L5结局；byte位置、被读/写回/覆盖、内核/用户来源</t>
        </is>
      </c>
      <c r="M123" s="22" t="inlineStr">
        <is>
          <t>文献中L1D data是高SDC结构；TC'23 Armv8非benign中SDC占53.4%</t>
        </is>
      </c>
      <c r="N123" s="22" t="inlineStr">
        <is>
          <t>直接复现最成熟的文献基线</t>
        </is>
      </c>
      <c r="O123" s="22" t="inlineStr">
        <is>
          <t>IISWC'15、TC'22、TC'23、HPCA'24直接对照</t>
        </is>
      </c>
      <c r="P123" s="23" t="n"/>
      <c r="Q123" s="23" t="n"/>
      <c r="R123" s="23" t="n"/>
      <c r="S123" s="23" t="n"/>
      <c r="T123" s="23" t="n"/>
      <c r="U123" s="23" t="n"/>
      <c r="V123" s="23" t="n"/>
      <c r="W123" s="23" t="n"/>
      <c r="X123" s="35">
        <f>IF(OR(R123="",R123-AP123&lt;=0),"",AB123/(R123-AP123))</f>
        <v/>
      </c>
      <c r="Y123" s="35">
        <f>IF(OR(AR123="",AR123=0),"",R123/AR123)</f>
        <v/>
      </c>
      <c r="Z123" s="24" t="inlineStr">
        <is>
          <t>待执行</t>
        </is>
      </c>
      <c r="AA123" s="23" t="n"/>
      <c r="AB123" s="38" t="n"/>
      <c r="AC123" s="38" t="n"/>
      <c r="AD123" s="38" t="n"/>
      <c r="AE123" s="38" t="n"/>
      <c r="AF123" s="38" t="n"/>
      <c r="AG123" s="38" t="n"/>
      <c r="AH123" s="38" t="n"/>
      <c r="AI123" s="38" t="n"/>
      <c r="AJ123" s="38" t="n"/>
      <c r="AK123" s="39" t="n"/>
      <c r="AL123" s="40">
        <f>IF(OR(R123="",R123-AP123&lt;=0),"",AO123/(R123-AP123))</f>
        <v/>
      </c>
      <c r="AM123" s="41">
        <f>IF(R123="","",SUM(AC123:AF123)-(R123-AP123))</f>
        <v/>
      </c>
      <c r="AN123" s="41">
        <f>IF(R123="","",SUM(S123:W123)+AP123-R123)</f>
        <v/>
      </c>
      <c r="AO123" s="44" t="n"/>
      <c r="AP123" s="45" t="n"/>
      <c r="AQ123" s="47" t="inlineStr">
        <is>
          <t>C01-a cache data低位单bit；C01-b 中位单bit；C01-c 高位单bit</t>
        </is>
      </c>
      <c r="AR123" s="23" t="n"/>
      <c r="AS123" s="35">
        <f>IF(OR(Q123="",Q123=0),"",AR123/Q123)</f>
        <v/>
      </c>
      <c r="AT123" s="62" t="n">
        <v>30</v>
      </c>
      <c r="AU123" s="62" t="n">
        <v>385</v>
      </c>
      <c r="AV123" s="62" t="inlineStr">
        <is>
          <t>常规</t>
        </is>
      </c>
      <c r="AW123" s="62" t="inlineStr">
        <is>
          <t>累计至少385，不机械扩展到2401</t>
        </is>
      </c>
    </row>
    <row r="124" ht="94.15000000000001" customHeight="1" s="58">
      <c r="A124" s="21" t="inlineStr">
        <is>
          <t>C01-F1-W1</t>
        </is>
      </c>
      <c r="B124" s="21" t="inlineStr">
        <is>
          <t>C01</t>
        </is>
      </c>
      <c r="C124" s="21" t="inlineStr">
        <is>
          <t>L1d-Cache</t>
        </is>
      </c>
      <c r="D124" s="22" t="inlineStr">
        <is>
          <t>L1D data array 的有效 cache line 数据位。data array 保存程序最近使用的真实数据；只有该行以后被需求 load 读取、被 store 修改或被 writeback 才可能向架构状态传播。</t>
        </is>
      </c>
      <c r="E124" s="22" t="inlineStr">
        <is>
          <t>单比特翻转</t>
        </is>
      </c>
      <c r="F124"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4" s="22" t="inlineStr">
        <is>
          <t>F1</t>
        </is>
      </c>
      <c r="H124" s="22" t="inlineStr">
        <is>
          <t>平均每 1,000,000 个 eligible events 注入 1 次，间隔加入 ±50% 抖动</t>
        </is>
      </c>
      <c r="I124" s="22" t="inlineStr">
        <is>
          <t>MiBench-TC23 论文负载（blowfish、patricia、fft、gsm、dijkstra、rijndael、sha、bitcount、edge、smooth）</t>
        </is>
      </c>
      <c r="J124" s="22" t="inlineStr">
        <is>
          <t>MiBench-TC23 论文负载（blowfish、patricia、fft、gsm、dijkstra、rijndael、sha、bitcount、edge、smooth）
执行定义与 oracle：blowfish、patricia、fft、gsm、dijkstra、rijndael、sha、bitcount、edge、smooth；最大输入集</t>
        </is>
      </c>
      <c r="K124" s="22" t="inlineStr">
        <is>
          <t>L1D存在valid line</t>
        </is>
      </c>
      <c r="L124" s="22" t="inlineStr">
        <is>
          <t>L0 行/way是否被需求读或驱逐；L1 tag/data/valid/dirty/coherence/PLRU；L2 hit/miss/MSHR/merge/fill；L3 writeback与一致性消息；L4 load值/store可见性；L5结局；byte位置、被读/写回/覆盖、内核/用户来源</t>
        </is>
      </c>
      <c r="M124" s="22" t="inlineStr">
        <is>
          <t>文献中L1D data是高SDC结构；TC'23 Armv8非benign中SDC占53.4%</t>
        </is>
      </c>
      <c r="N124" s="22" t="inlineStr">
        <is>
          <t>直接复现最成熟的文献基线</t>
        </is>
      </c>
      <c r="O124" s="22" t="inlineStr">
        <is>
          <t>IISWC'15、TC'22、TC'23、HPCA'24直接对照</t>
        </is>
      </c>
      <c r="P124" s="23" t="n"/>
      <c r="Q124" s="23" t="n"/>
      <c r="R124" s="23" t="n"/>
      <c r="S124" s="23" t="n"/>
      <c r="T124" s="23" t="n"/>
      <c r="U124" s="23" t="n"/>
      <c r="V124" s="23" t="n"/>
      <c r="W124" s="23" t="n"/>
      <c r="X124" s="35">
        <f>IF(OR(R124="",R124-AP124&lt;=0),"",AB124/(R124-AP124))</f>
        <v/>
      </c>
      <c r="Y124" s="35">
        <f>IF(OR(AR124="",AR124=0),"",R124/AR124)</f>
        <v/>
      </c>
      <c r="Z124" s="24" t="inlineStr">
        <is>
          <t>待执行</t>
        </is>
      </c>
      <c r="AA124" s="23" t="n"/>
      <c r="AB124" s="38" t="n"/>
      <c r="AC124" s="38" t="n"/>
      <c r="AD124" s="38" t="n"/>
      <c r="AE124" s="38" t="n"/>
      <c r="AF124" s="38" t="n"/>
      <c r="AG124" s="38" t="n"/>
      <c r="AH124" s="38" t="n"/>
      <c r="AI124" s="38" t="n"/>
      <c r="AJ124" s="38" t="n"/>
      <c r="AK124" s="39" t="n"/>
      <c r="AL124" s="40">
        <f>IF(OR(R124="",R124-AP124&lt;=0),"",AO124/(R124-AP124))</f>
        <v/>
      </c>
      <c r="AM124" s="41">
        <f>IF(R124="","",SUM(AC124:AF124)-(R124-AP124))</f>
        <v/>
      </c>
      <c r="AN124" s="41">
        <f>IF(R124="","",SUM(S124:W124)+AP124-R124)</f>
        <v/>
      </c>
      <c r="AO124" s="44" t="n"/>
      <c r="AP124" s="45" t="n"/>
      <c r="AQ124" s="47" t="inlineStr">
        <is>
          <t>C01-a cache data低位单bit；C01-b 中位单bit；C01-c 高位单bit</t>
        </is>
      </c>
      <c r="AR124" s="23" t="n"/>
      <c r="AS124" s="35">
        <f>IF(OR(Q124="",Q124=0),"",AR124/Q124)</f>
        <v/>
      </c>
      <c r="AT124" s="62" t="n">
        <v>30</v>
      </c>
      <c r="AU124" s="62" t="n">
        <v>385</v>
      </c>
      <c r="AV124" s="62" t="inlineStr">
        <is>
          <t>常规</t>
        </is>
      </c>
      <c r="AW124" s="62" t="inlineStr">
        <is>
          <t>累计至少385，不机械扩展到2401</t>
        </is>
      </c>
    </row>
    <row r="125" ht="94.15000000000001" customHeight="1" s="58">
      <c r="A125" s="21" t="inlineStr">
        <is>
          <t>C01-F1-W6</t>
        </is>
      </c>
      <c r="B125" s="21" t="inlineStr">
        <is>
          <t>C01</t>
        </is>
      </c>
      <c r="C125" s="21" t="inlineStr">
        <is>
          <t>L1d-Cache</t>
        </is>
      </c>
      <c r="D125" s="22" t="inlineStr">
        <is>
          <t>L1D data array 的有效 cache line 数据位。data array 保存程序最近使用的真实数据；只有该行以后被需求 load 读取、被 store 修改或被 writeback 才可能向架构状态传播。</t>
        </is>
      </c>
      <c r="E125" s="22" t="inlineStr">
        <is>
          <t>单比特翻转</t>
        </is>
      </c>
      <c r="F125"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5" s="22" t="inlineStr">
        <is>
          <t>F1</t>
        </is>
      </c>
      <c r="H125" s="22" t="inlineStr">
        <is>
          <t>平均每 1,000,000 个 eligible events 注入 1 次，间隔加入 ±50% 抖动</t>
        </is>
      </c>
      <c r="I125" s="22" t="inlineStr">
        <is>
          <t>Cache-DirtyEvict 缓存探针（0.5×/1×/2×L1D working set、conflict set、dirty eviction、writeback）</t>
        </is>
      </c>
      <c r="J125" s="22" t="inlineStr">
        <is>
          <t>Cache-DirtyEvict 缓存探针（0.5×/1×/2×L1D working set、conflict set、dirty eviction、writeback）
执行定义与 oracle：working set=0.5×/1×/2×L1D；读改写、dirty eviction、writeback、conflict set、共享行 false sharing</t>
        </is>
      </c>
      <c r="K125" s="22" t="inlineStr">
        <is>
          <t>L1D存在valid line</t>
        </is>
      </c>
      <c r="L125" s="22" t="inlineStr">
        <is>
          <t>L0 行/way是否被需求读或驱逐；L1 tag/data/valid/dirty/coherence/PLRU；L2 hit/miss/MSHR/merge/fill；L3 writeback与一致性消息；L4 load值/store可见性；L5结局；byte位置、被读/写回/覆盖、内核/用户来源</t>
        </is>
      </c>
      <c r="M125" s="22" t="inlineStr">
        <is>
          <t>文献中L1D data是高SDC结构；TC'23 Armv8非benign中SDC占53.4%</t>
        </is>
      </c>
      <c r="N125" s="22" t="inlineStr">
        <is>
          <t>直接复现最成熟的文献基线</t>
        </is>
      </c>
      <c r="O125" s="22" t="inlineStr">
        <is>
          <t>IISWC'15、TC'22、TC'23、HPCA'24直接对照</t>
        </is>
      </c>
      <c r="P125" s="23" t="n"/>
      <c r="Q125" s="23" t="n"/>
      <c r="R125" s="23" t="n"/>
      <c r="S125" s="23" t="n"/>
      <c r="T125" s="23" t="n"/>
      <c r="U125" s="23" t="n"/>
      <c r="V125" s="23" t="n"/>
      <c r="W125" s="23" t="n"/>
      <c r="X125" s="35">
        <f>IF(OR(R125="",R125-AP125&lt;=0),"",AB125/(R125-AP125))</f>
        <v/>
      </c>
      <c r="Y125" s="35">
        <f>IF(OR(AR125="",AR125=0),"",R125/AR125)</f>
        <v/>
      </c>
      <c r="Z125" s="24" t="inlineStr">
        <is>
          <t>待执行</t>
        </is>
      </c>
      <c r="AA125" s="23" t="n"/>
      <c r="AB125" s="38" t="n"/>
      <c r="AC125" s="38" t="n"/>
      <c r="AD125" s="38" t="n"/>
      <c r="AE125" s="38" t="n"/>
      <c r="AF125" s="38" t="n"/>
      <c r="AG125" s="38" t="n"/>
      <c r="AH125" s="38" t="n"/>
      <c r="AI125" s="38" t="n"/>
      <c r="AJ125" s="38" t="n"/>
      <c r="AK125" s="39" t="n"/>
      <c r="AL125" s="40">
        <f>IF(OR(R125="",R125-AP125&lt;=0),"",AO125/(R125-AP125))</f>
        <v/>
      </c>
      <c r="AM125" s="41">
        <f>IF(R125="","",SUM(AC125:AF125)-(R125-AP125))</f>
        <v/>
      </c>
      <c r="AN125" s="41">
        <f>IF(R125="","",SUM(S125:W125)+AP125-R125)</f>
        <v/>
      </c>
      <c r="AO125" s="44" t="n"/>
      <c r="AP125" s="45" t="n"/>
      <c r="AQ125" s="47" t="inlineStr">
        <is>
          <t>C01-a cache data低位单bit；C01-b 中位单bit；C01-c 高位单bit</t>
        </is>
      </c>
      <c r="AR125" s="23" t="n"/>
      <c r="AS125" s="35">
        <f>IF(OR(Q125="",Q125=0),"",AR125/Q125)</f>
        <v/>
      </c>
      <c r="AT125" s="62" t="n">
        <v>30</v>
      </c>
      <c r="AU125" s="62" t="n">
        <v>385</v>
      </c>
      <c r="AV125" s="62" t="inlineStr">
        <is>
          <t>常规</t>
        </is>
      </c>
      <c r="AW125" s="62" t="inlineStr">
        <is>
          <t>累计至少385，不机械扩展到2401</t>
        </is>
      </c>
    </row>
    <row r="126" ht="94.15000000000001" customHeight="1" s="58">
      <c r="A126" s="21" t="inlineStr">
        <is>
          <t>C01-F2-W1</t>
        </is>
      </c>
      <c r="B126" s="21" t="inlineStr">
        <is>
          <t>C01</t>
        </is>
      </c>
      <c r="C126" s="21" t="inlineStr">
        <is>
          <t>L1d-Cache</t>
        </is>
      </c>
      <c r="D126" s="22" t="inlineStr">
        <is>
          <t>L1D data array 的有效 cache line 数据位。data array 保存程序最近使用的真实数据；只有该行以后被需求 load 读取、被 store 修改或被 writeback 才可能向架构状态传播。</t>
        </is>
      </c>
      <c r="E126" s="22" t="inlineStr">
        <is>
          <t>单比特翻转</t>
        </is>
      </c>
      <c r="F126"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6" s="22" t="inlineStr">
        <is>
          <t>F2</t>
        </is>
      </c>
      <c r="H126" s="22" t="inlineStr">
        <is>
          <t>平均每 100,000 个 eligible events 注入 1 次，间隔加入 ±50% 抖动</t>
        </is>
      </c>
      <c r="I126" s="22" t="inlineStr">
        <is>
          <t>MiBench-TC23 论文负载（blowfish、patricia、fft、gsm、dijkstra、rijndael、sha、bitcount、edge、smooth）</t>
        </is>
      </c>
      <c r="J126" s="22" t="inlineStr">
        <is>
          <t>MiBench-TC23 论文负载（blowfish、patricia、fft、gsm、dijkstra、rijndael、sha、bitcount、edge、smooth）
执行定义与 oracle：blowfish、patricia、fft、gsm、dijkstra、rijndael、sha、bitcount、edge、smooth；最大输入集</t>
        </is>
      </c>
      <c r="K126" s="22" t="inlineStr">
        <is>
          <t>L1D存在valid line</t>
        </is>
      </c>
      <c r="L126" s="22" t="inlineStr">
        <is>
          <t>L0 行/way是否被需求读或驱逐；L1 tag/data/valid/dirty/coherence/PLRU；L2 hit/miss/MSHR/merge/fill；L3 writeback与一致性消息；L4 load值/store可见性；L5结局；byte位置、被读/写回/覆盖、内核/用户来源</t>
        </is>
      </c>
      <c r="M126" s="22" t="inlineStr">
        <is>
          <t>文献中L1D data是高SDC结构；TC'23 Armv8非benign中SDC占53.4%</t>
        </is>
      </c>
      <c r="N126" s="22" t="inlineStr">
        <is>
          <t>直接复现最成熟的文献基线</t>
        </is>
      </c>
      <c r="O126" s="22" t="inlineStr">
        <is>
          <t>IISWC'15、TC'22、TC'23、HPCA'24直接对照</t>
        </is>
      </c>
      <c r="P126" s="23" t="n"/>
      <c r="Q126" s="23" t="n"/>
      <c r="R126" s="23" t="n"/>
      <c r="S126" s="23" t="n"/>
      <c r="T126" s="23" t="n"/>
      <c r="U126" s="23" t="n"/>
      <c r="V126" s="23" t="n"/>
      <c r="W126" s="23" t="n"/>
      <c r="X126" s="35">
        <f>IF(OR(R126="",R126-AP126&lt;=0),"",AB126/(R126-AP126))</f>
        <v/>
      </c>
      <c r="Y126" s="35">
        <f>IF(OR(AR126="",AR126=0),"",R126/AR126)</f>
        <v/>
      </c>
      <c r="Z126" s="24" t="inlineStr">
        <is>
          <t>待执行</t>
        </is>
      </c>
      <c r="AA126" s="23" t="n"/>
      <c r="AB126" s="38" t="n"/>
      <c r="AC126" s="38" t="n"/>
      <c r="AD126" s="38" t="n"/>
      <c r="AE126" s="38" t="n"/>
      <c r="AF126" s="38" t="n"/>
      <c r="AG126" s="38" t="n"/>
      <c r="AH126" s="38" t="n"/>
      <c r="AI126" s="38" t="n"/>
      <c r="AJ126" s="38" t="n"/>
      <c r="AK126" s="39" t="n"/>
      <c r="AL126" s="40">
        <f>IF(OR(R126="",R126-AP126&lt;=0),"",AO126/(R126-AP126))</f>
        <v/>
      </c>
      <c r="AM126" s="41">
        <f>IF(R126="","",SUM(AC126:AF126)-(R126-AP126))</f>
        <v/>
      </c>
      <c r="AN126" s="41">
        <f>IF(R126="","",SUM(S126:W126)+AP126-R126)</f>
        <v/>
      </c>
      <c r="AO126" s="44" t="n"/>
      <c r="AP126" s="45" t="n"/>
      <c r="AQ126" s="47" t="inlineStr">
        <is>
          <t>C01-a cache data低位单bit；C01-b 中位单bit；C01-c 高位单bit</t>
        </is>
      </c>
      <c r="AR126" s="23" t="n"/>
      <c r="AS126" s="35">
        <f>IF(OR(Q126="",Q126=0),"",AR126/Q126)</f>
        <v/>
      </c>
      <c r="AT126" s="62" t="n">
        <v>30</v>
      </c>
      <c r="AU126" s="62" t="n">
        <v>385</v>
      </c>
      <c r="AV126" s="62" t="inlineStr">
        <is>
          <t>常规</t>
        </is>
      </c>
      <c r="AW126" s="62" t="inlineStr">
        <is>
          <t>累计至少385，不机械扩展到2401</t>
        </is>
      </c>
    </row>
    <row r="127" ht="94.15000000000001" customHeight="1" s="58">
      <c r="A127" s="21" t="inlineStr">
        <is>
          <t>C01-F2-W6</t>
        </is>
      </c>
      <c r="B127" s="21" t="inlineStr">
        <is>
          <t>C01</t>
        </is>
      </c>
      <c r="C127" s="21" t="inlineStr">
        <is>
          <t>L1d-Cache</t>
        </is>
      </c>
      <c r="D127" s="22" t="inlineStr">
        <is>
          <t>L1D data array 的有效 cache line 数据位。data array 保存程序最近使用的真实数据；只有该行以后被需求 load 读取、被 store 修改或被 writeback 才可能向架构状态传播。</t>
        </is>
      </c>
      <c r="E127" s="22" t="inlineStr">
        <is>
          <t>单比特翻转</t>
        </is>
      </c>
      <c r="F127"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7" s="22" t="inlineStr">
        <is>
          <t>F2</t>
        </is>
      </c>
      <c r="H127" s="22" t="inlineStr">
        <is>
          <t>平均每 100,000 个 eligible events 注入 1 次，间隔加入 ±50% 抖动</t>
        </is>
      </c>
      <c r="I127" s="22" t="inlineStr">
        <is>
          <t>Cache-DirtyEvict 缓存探针（0.5×/1×/2×L1D working set、conflict set、dirty eviction、writeback）</t>
        </is>
      </c>
      <c r="J127" s="22" t="inlineStr">
        <is>
          <t>Cache-DirtyEvict 缓存探针（0.5×/1×/2×L1D working set、conflict set、dirty eviction、writeback）
执行定义与 oracle：working set=0.5×/1×/2×L1D；读改写、dirty eviction、writeback、conflict set、共享行 false sharing</t>
        </is>
      </c>
      <c r="K127" s="22" t="inlineStr">
        <is>
          <t>L1D存在valid line</t>
        </is>
      </c>
      <c r="L127" s="22" t="inlineStr">
        <is>
          <t>L0 行/way是否被需求读或驱逐；L1 tag/data/valid/dirty/coherence/PLRU；L2 hit/miss/MSHR/merge/fill；L3 writeback与一致性消息；L4 load值/store可见性；L5结局；byte位置、被读/写回/覆盖、内核/用户来源</t>
        </is>
      </c>
      <c r="M127" s="22" t="inlineStr">
        <is>
          <t>文献中L1D data是高SDC结构；TC'23 Armv8非benign中SDC占53.4%</t>
        </is>
      </c>
      <c r="N127" s="22" t="inlineStr">
        <is>
          <t>直接复现最成熟的文献基线</t>
        </is>
      </c>
      <c r="O127" s="22" t="inlineStr">
        <is>
          <t>IISWC'15、TC'22、TC'23、HPCA'24直接对照</t>
        </is>
      </c>
      <c r="P127" s="23" t="n"/>
      <c r="Q127" s="23" t="n"/>
      <c r="R127" s="23" t="n"/>
      <c r="S127" s="23" t="n"/>
      <c r="T127" s="23" t="n"/>
      <c r="U127" s="23" t="n"/>
      <c r="V127" s="23" t="n"/>
      <c r="W127" s="23" t="n"/>
      <c r="X127" s="35">
        <f>IF(OR(R127="",R127-AP127&lt;=0),"",AB127/(R127-AP127))</f>
        <v/>
      </c>
      <c r="Y127" s="35">
        <f>IF(OR(AR127="",AR127=0),"",R127/AR127)</f>
        <v/>
      </c>
      <c r="Z127" s="24" t="inlineStr">
        <is>
          <t>待执行</t>
        </is>
      </c>
      <c r="AA127" s="23" t="n"/>
      <c r="AB127" s="38" t="n"/>
      <c r="AC127" s="38" t="n"/>
      <c r="AD127" s="38" t="n"/>
      <c r="AE127" s="38" t="n"/>
      <c r="AF127" s="38" t="n"/>
      <c r="AG127" s="38" t="n"/>
      <c r="AH127" s="38" t="n"/>
      <c r="AI127" s="38" t="n"/>
      <c r="AJ127" s="38" t="n"/>
      <c r="AK127" s="39" t="n"/>
      <c r="AL127" s="40">
        <f>IF(OR(R127="",R127-AP127&lt;=0),"",AO127/(R127-AP127))</f>
        <v/>
      </c>
      <c r="AM127" s="41">
        <f>IF(R127="","",SUM(AC127:AF127)-(R127-AP127))</f>
        <v/>
      </c>
      <c r="AN127" s="41">
        <f>IF(R127="","",SUM(S127:W127)+AP127-R127)</f>
        <v/>
      </c>
      <c r="AO127" s="44" t="n"/>
      <c r="AP127" s="45" t="n"/>
      <c r="AQ127" s="47" t="inlineStr">
        <is>
          <t>C01-a cache data低位单bit；C01-b 中位单bit；C01-c 高位单bit</t>
        </is>
      </c>
      <c r="AR127" s="23" t="n"/>
      <c r="AS127" s="35">
        <f>IF(OR(Q127="",Q127=0),"",AR127/Q127)</f>
        <v/>
      </c>
      <c r="AT127" s="62" t="n">
        <v>30</v>
      </c>
      <c r="AU127" s="62" t="n">
        <v>385</v>
      </c>
      <c r="AV127" s="62" t="inlineStr">
        <is>
          <t>常规</t>
        </is>
      </c>
      <c r="AW127" s="62" t="inlineStr">
        <is>
          <t>累计至少385，不机械扩展到2401</t>
        </is>
      </c>
    </row>
    <row r="128" ht="94.15000000000001" customHeight="1" s="58">
      <c r="A128" s="21" t="inlineStr">
        <is>
          <t>C02-F0-W6</t>
        </is>
      </c>
      <c r="B128" s="21" t="inlineStr">
        <is>
          <t>C02</t>
        </is>
      </c>
      <c r="C128" s="21" t="inlineStr">
        <is>
          <t>L1d-Cache</t>
        </is>
      </c>
      <c r="D128" s="22" t="inlineStr">
        <is>
          <t>L1D data array 同一有效 cache line 内的两个数据位。可把两个位限制在同一 32-bit 数据字、同一 byte 或分散位置，从而区分局部 MBU 与逻辑分散双错。</t>
        </is>
      </c>
      <c r="E128" s="22" t="inlineStr">
        <is>
          <t>双比特翻转</t>
        </is>
      </c>
      <c r="F128"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28" s="22" t="inlineStr">
        <is>
          <t>F0</t>
        </is>
      </c>
      <c r="H128" s="22" t="inlineStr">
        <is>
          <t>每次运行只注入 1 次；在 warm-up 后的 eligible event 中均匀抽样</t>
        </is>
      </c>
      <c r="I128" s="22" t="inlineStr">
        <is>
          <t>Cache-DirtyEvict 缓存探针（0.5×/1×/2×L1D working set、conflict set、dirty eviction、writeback）</t>
        </is>
      </c>
      <c r="J128" s="22" t="inlineStr">
        <is>
          <t>Cache-DirtyEvict 缓存探针（0.5×/1×/2×L1D working set、conflict set、dirty eviction、writeback）
执行定义与 oracle：working set=0.5×/1×/2×L1D；读改写、dirty eviction、writeback、conflict set、共享行 false sharing</t>
        </is>
      </c>
      <c r="K128" s="22" t="inlineStr">
        <is>
          <t>valid line</t>
        </is>
      </c>
      <c r="L128" s="22" t="inlineStr">
        <is>
          <t>L0 行/way是否被需求读或驱逐；L1 tag/data/valid/dirty/coherence/PLRU；L2 hit/miss/MSHR/merge/fill；L3 writeback与一致性消息；L4 load值/store可见性；L5结局；两个bit距离、相同word/byte</t>
        </is>
      </c>
      <c r="M128" s="22" t="inlineStr">
        <is>
          <t>双比特错误仍可能形成合法但错误的数据；需比较相邻与分散翻转的SDC、Crash和Masked分布</t>
        </is>
      </c>
      <c r="N128" s="22" t="inlineStr">
        <is>
          <t>覆盖MBU，并比较相邻与分散双比特错误</t>
        </is>
      </c>
      <c r="O128" s="22" t="inlineStr">
        <is>
          <t>CHAOS多bit结果作规律性类比</t>
        </is>
      </c>
      <c r="P128" s="23" t="n"/>
      <c r="Q128" s="23" t="n"/>
      <c r="R128" s="23" t="n"/>
      <c r="S128" s="23" t="n"/>
      <c r="T128" s="23" t="n"/>
      <c r="U128" s="23" t="n"/>
      <c r="V128" s="23" t="n"/>
      <c r="W128" s="23" t="n"/>
      <c r="X128" s="35">
        <f>IF(OR(R128="",R128-AP128&lt;=0),"",AB128/(R128-AP128))</f>
        <v/>
      </c>
      <c r="Y128" s="35">
        <f>IF(OR(AR128="",AR128=0),"",R128/AR128)</f>
        <v/>
      </c>
      <c r="Z128" s="24" t="inlineStr">
        <is>
          <t>待执行</t>
        </is>
      </c>
      <c r="AA128" s="23" t="n"/>
      <c r="AB128" s="38" t="n"/>
      <c r="AC128" s="38" t="n"/>
      <c r="AD128" s="38" t="n"/>
      <c r="AE128" s="38" t="n"/>
      <c r="AF128" s="38" t="n"/>
      <c r="AG128" s="38" t="n"/>
      <c r="AH128" s="38" t="n"/>
      <c r="AI128" s="38" t="n"/>
      <c r="AJ128" s="38" t="n"/>
      <c r="AK128" s="39" t="n"/>
      <c r="AL128" s="40">
        <f>IF(OR(R128="",R128-AP128&lt;=0),"",AO128/(R128-AP128))</f>
        <v/>
      </c>
      <c r="AM128" s="41">
        <f>IF(R128="","",SUM(AC128:AF128)-(R128-AP128))</f>
        <v/>
      </c>
      <c r="AN128" s="41">
        <f>IF(R128="","",SUM(S128:W128)+AP128-R128)</f>
        <v/>
      </c>
      <c r="AO128" s="44" t="n"/>
      <c r="AP128" s="45" t="n"/>
      <c r="AQ128" s="47" t="inlineStr">
        <is>
          <t>C02-a 同一word相邻双bit；C02-b 同一cache line非相邻双bit</t>
        </is>
      </c>
      <c r="AR128" s="23" t="n"/>
      <c r="AS128" s="35">
        <f>IF(OR(Q128="",Q128=0),"",AR128/Q128)</f>
        <v/>
      </c>
      <c r="AT128" s="62" t="n">
        <v>30</v>
      </c>
      <c r="AU128" s="62" t="n">
        <v>385</v>
      </c>
      <c r="AV128" s="62" t="inlineStr">
        <is>
          <t>常规</t>
        </is>
      </c>
      <c r="AW128" s="62" t="inlineStr">
        <is>
          <t>累计至少385，不机械扩展到2401</t>
        </is>
      </c>
    </row>
    <row r="129" ht="94.15000000000001" customHeight="1" s="58">
      <c r="A129" s="21" t="inlineStr">
        <is>
          <t>C02-F0-W1</t>
        </is>
      </c>
      <c r="B129" s="21" t="inlineStr">
        <is>
          <t>C02</t>
        </is>
      </c>
      <c r="C129" s="21" t="inlineStr">
        <is>
          <t>L1d-Cache</t>
        </is>
      </c>
      <c r="D129" s="22" t="inlineStr">
        <is>
          <t>L1D data array 同一有效 cache line 内的两个数据位。可把两个位限制在同一 32-bit 数据字、同一 byte 或分散位置，从而区分局部 MBU 与逻辑分散双错。</t>
        </is>
      </c>
      <c r="E129" s="22" t="inlineStr">
        <is>
          <t>双比特翻转</t>
        </is>
      </c>
      <c r="F129"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29" s="22" t="inlineStr">
        <is>
          <t>F0</t>
        </is>
      </c>
      <c r="H129" s="22" t="inlineStr">
        <is>
          <t>每次运行只注入 1 次；在 warm-up 后的 eligible event 中均匀抽样</t>
        </is>
      </c>
      <c r="I129" s="22" t="inlineStr">
        <is>
          <t>MiBench-TC23 论文负载（blowfish、patricia、fft、gsm、dijkstra、rijndael、sha、bitcount、edge、smooth）</t>
        </is>
      </c>
      <c r="J129" s="22" t="inlineStr">
        <is>
          <t>MiBench-TC23 论文负载（blowfish、patricia、fft、gsm、dijkstra、rijndael、sha、bitcount、edge、smooth）
执行定义与 oracle：blowfish、patricia、fft、gsm、dijkstra、rijndael、sha、bitcount、edge、smooth；最大输入集</t>
        </is>
      </c>
      <c r="K129" s="22" t="inlineStr">
        <is>
          <t>valid line</t>
        </is>
      </c>
      <c r="L129" s="22" t="inlineStr">
        <is>
          <t>L0 行/way是否被需求读或驱逐；L1 tag/data/valid/dirty/coherence/PLRU；L2 hit/miss/MSHR/merge/fill；L3 writeback与一致性消息；L4 load值/store可见性；L5结局；两个bit距离、相同word/byte</t>
        </is>
      </c>
      <c r="M129" s="22" t="inlineStr">
        <is>
          <t>双比特错误仍可能形成合法但错误的数据；需比较相邻与分散翻转的SDC、Crash和Masked分布</t>
        </is>
      </c>
      <c r="N129" s="22" t="inlineStr">
        <is>
          <t>覆盖MBU，并比较相邻与分散双比特错误</t>
        </is>
      </c>
      <c r="O129" s="22" t="inlineStr">
        <is>
          <t>CHAOS多bit结果作规律性类比</t>
        </is>
      </c>
      <c r="P129" s="23" t="n"/>
      <c r="Q129" s="23" t="n"/>
      <c r="R129" s="23" t="n"/>
      <c r="S129" s="23" t="n"/>
      <c r="T129" s="23" t="n"/>
      <c r="U129" s="23" t="n"/>
      <c r="V129" s="23" t="n"/>
      <c r="W129" s="23" t="n"/>
      <c r="X129" s="35">
        <f>IF(OR(R129="",R129-AP129&lt;=0),"",AB129/(R129-AP129))</f>
        <v/>
      </c>
      <c r="Y129" s="35">
        <f>IF(OR(AR129="",AR129=0),"",R129/AR129)</f>
        <v/>
      </c>
      <c r="Z129" s="24" t="inlineStr">
        <is>
          <t>待执行</t>
        </is>
      </c>
      <c r="AA129" s="23" t="n"/>
      <c r="AB129" s="38" t="n"/>
      <c r="AC129" s="38" t="n"/>
      <c r="AD129" s="38" t="n"/>
      <c r="AE129" s="38" t="n"/>
      <c r="AF129" s="38" t="n"/>
      <c r="AG129" s="38" t="n"/>
      <c r="AH129" s="38" t="n"/>
      <c r="AI129" s="38" t="n"/>
      <c r="AJ129" s="38" t="n"/>
      <c r="AK129" s="39" t="n"/>
      <c r="AL129" s="40">
        <f>IF(OR(R129="",R129-AP129&lt;=0),"",AO129/(R129-AP129))</f>
        <v/>
      </c>
      <c r="AM129" s="41">
        <f>IF(R129="","",SUM(AC129:AF129)-(R129-AP129))</f>
        <v/>
      </c>
      <c r="AN129" s="41">
        <f>IF(R129="","",SUM(S129:W129)+AP129-R129)</f>
        <v/>
      </c>
      <c r="AO129" s="44" t="n"/>
      <c r="AP129" s="45" t="n"/>
      <c r="AQ129" s="47" t="inlineStr">
        <is>
          <t>C02-a 同一word相邻双bit；C02-b 同一cache line非相邻双bit</t>
        </is>
      </c>
      <c r="AR129" s="23" t="n"/>
      <c r="AS129" s="35">
        <f>IF(OR(Q129="",Q129=0),"",AR129/Q129)</f>
        <v/>
      </c>
      <c r="AT129" s="62" t="n">
        <v>30</v>
      </c>
      <c r="AU129" s="62" t="n">
        <v>385</v>
      </c>
      <c r="AV129" s="62" t="inlineStr">
        <is>
          <t>常规</t>
        </is>
      </c>
      <c r="AW129" s="62" t="inlineStr">
        <is>
          <t>累计至少385，不机械扩展到2401</t>
        </is>
      </c>
    </row>
    <row r="130" ht="94.15000000000001" customHeight="1" s="58">
      <c r="A130" s="21" t="inlineStr">
        <is>
          <t>C02-F2-W6</t>
        </is>
      </c>
      <c r="B130" s="21" t="inlineStr">
        <is>
          <t>C02</t>
        </is>
      </c>
      <c r="C130" s="21" t="inlineStr">
        <is>
          <t>L1d-Cache</t>
        </is>
      </c>
      <c r="D130" s="22" t="inlineStr">
        <is>
          <t>L1D data array 同一有效 cache line 内的两个数据位。可把两个位限制在同一 32-bit 数据字、同一 byte 或分散位置，从而区分局部 MBU 与逻辑分散双错。</t>
        </is>
      </c>
      <c r="E130" s="22" t="inlineStr">
        <is>
          <t>双比特翻转</t>
        </is>
      </c>
      <c r="F130"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30" s="22" t="inlineStr">
        <is>
          <t>F2</t>
        </is>
      </c>
      <c r="H130" s="22" t="inlineStr">
        <is>
          <t>平均每 100,000 个 eligible events 注入 1 次，间隔加入 ±50% 抖动</t>
        </is>
      </c>
      <c r="I130" s="22" t="inlineStr">
        <is>
          <t>Cache-DirtyEvict 缓存探针（0.5×/1×/2×L1D working set、conflict set、dirty eviction、writeback）</t>
        </is>
      </c>
      <c r="J130" s="22" t="inlineStr">
        <is>
          <t>Cache-DirtyEvict 缓存探针（0.5×/1×/2×L1D working set、conflict set、dirty eviction、writeback）
执行定义与 oracle：working set=0.5×/1×/2×L1D；读改写、dirty eviction、writeback、conflict set、共享行 false sharing</t>
        </is>
      </c>
      <c r="K130" s="22" t="inlineStr">
        <is>
          <t>valid line</t>
        </is>
      </c>
      <c r="L130" s="22" t="inlineStr">
        <is>
          <t>L0 行/way是否被需求读或驱逐；L1 tag/data/valid/dirty/coherence/PLRU；L2 hit/miss/MSHR/merge/fill；L3 writeback与一致性消息；L4 load值/store可见性；L5结局；两个bit距离、相同word/byte</t>
        </is>
      </c>
      <c r="M130" s="22" t="inlineStr">
        <is>
          <t>双比特错误仍可能形成合法但错误的数据；需比较相邻与分散翻转的SDC、Crash和Masked分布</t>
        </is>
      </c>
      <c r="N130" s="22" t="inlineStr">
        <is>
          <t>覆盖MBU，并比较相邻与分散双比特错误</t>
        </is>
      </c>
      <c r="O130" s="22" t="inlineStr">
        <is>
          <t>CHAOS多bit结果作规律性类比</t>
        </is>
      </c>
      <c r="P130" s="23" t="n"/>
      <c r="Q130" s="23" t="n"/>
      <c r="R130" s="23" t="n"/>
      <c r="S130" s="23" t="n"/>
      <c r="T130" s="23" t="n"/>
      <c r="U130" s="23" t="n"/>
      <c r="V130" s="23" t="n"/>
      <c r="W130" s="23" t="n"/>
      <c r="X130" s="35">
        <f>IF(OR(R130="",R130-AP130&lt;=0),"",AB130/(R130-AP130))</f>
        <v/>
      </c>
      <c r="Y130" s="35">
        <f>IF(OR(AR130="",AR130=0),"",R130/AR130)</f>
        <v/>
      </c>
      <c r="Z130" s="24" t="inlineStr">
        <is>
          <t>待执行</t>
        </is>
      </c>
      <c r="AA130" s="23" t="n"/>
      <c r="AB130" s="38" t="n"/>
      <c r="AC130" s="38" t="n"/>
      <c r="AD130" s="38" t="n"/>
      <c r="AE130" s="38" t="n"/>
      <c r="AF130" s="38" t="n"/>
      <c r="AG130" s="38" t="n"/>
      <c r="AH130" s="38" t="n"/>
      <c r="AI130" s="38" t="n"/>
      <c r="AJ130" s="38" t="n"/>
      <c r="AK130" s="39" t="n"/>
      <c r="AL130" s="40">
        <f>IF(OR(R130="",R130-AP130&lt;=0),"",AO130/(R130-AP130))</f>
        <v/>
      </c>
      <c r="AM130" s="41">
        <f>IF(R130="","",SUM(AC130:AF130)-(R130-AP130))</f>
        <v/>
      </c>
      <c r="AN130" s="41">
        <f>IF(R130="","",SUM(S130:W130)+AP130-R130)</f>
        <v/>
      </c>
      <c r="AO130" s="44" t="n"/>
      <c r="AP130" s="45" t="n"/>
      <c r="AQ130" s="47" t="inlineStr">
        <is>
          <t>C02-a 同一word相邻双bit；C02-b 同一cache line非相邻双bit</t>
        </is>
      </c>
      <c r="AR130" s="23" t="n"/>
      <c r="AS130" s="35">
        <f>IF(OR(Q130="",Q130=0),"",AR130/Q130)</f>
        <v/>
      </c>
      <c r="AT130" s="62" t="n">
        <v>30</v>
      </c>
      <c r="AU130" s="62" t="n">
        <v>385</v>
      </c>
      <c r="AV130" s="62" t="inlineStr">
        <is>
          <t>常规</t>
        </is>
      </c>
      <c r="AW130" s="62" t="inlineStr">
        <is>
          <t>累计至少385，不机械扩展到2401</t>
        </is>
      </c>
    </row>
    <row r="131" ht="94.15000000000001" customHeight="1" s="58">
      <c r="A131" s="21" t="inlineStr">
        <is>
          <t>C02-F2-W1</t>
        </is>
      </c>
      <c r="B131" s="21" t="inlineStr">
        <is>
          <t>C02</t>
        </is>
      </c>
      <c r="C131" s="21" t="inlineStr">
        <is>
          <t>L1d-Cache</t>
        </is>
      </c>
      <c r="D131" s="22" t="inlineStr">
        <is>
          <t>L1D data array 同一有效 cache line 内的两个数据位。可把两个位限制在同一 32-bit 数据字、同一 byte 或分散位置，从而区分局部 MBU 与逻辑分散双错。</t>
        </is>
      </c>
      <c r="E131" s="22" t="inlineStr">
        <is>
          <t>双比特翻转</t>
        </is>
      </c>
      <c r="F131"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31" s="22" t="inlineStr">
        <is>
          <t>F2</t>
        </is>
      </c>
      <c r="H131" s="22" t="inlineStr">
        <is>
          <t>平均每 100,000 个 eligible events 注入 1 次，间隔加入 ±50% 抖动</t>
        </is>
      </c>
      <c r="I131" s="22" t="inlineStr">
        <is>
          <t>MiBench-TC23 论文负载（blowfish、patricia、fft、gsm、dijkstra、rijndael、sha、bitcount、edge、smooth）</t>
        </is>
      </c>
      <c r="J131" s="22" t="inlineStr">
        <is>
          <t>MiBench-TC23 论文负载（blowfish、patricia、fft、gsm、dijkstra、rijndael、sha、bitcount、edge、smooth）
执行定义与 oracle：blowfish、patricia、fft、gsm、dijkstra、rijndael、sha、bitcount、edge、smooth；最大输入集</t>
        </is>
      </c>
      <c r="K131" s="22" t="inlineStr">
        <is>
          <t>valid line</t>
        </is>
      </c>
      <c r="L131" s="22" t="inlineStr">
        <is>
          <t>L0 行/way是否被需求读或驱逐；L1 tag/data/valid/dirty/coherence/PLRU；L2 hit/miss/MSHR/merge/fill；L3 writeback与一致性消息；L4 load值/store可见性；L5结局；两个bit距离、相同word/byte</t>
        </is>
      </c>
      <c r="M131" s="22" t="inlineStr">
        <is>
          <t>双比特错误仍可能形成合法但错误的数据；需比较相邻与分散翻转的SDC、Crash和Masked分布</t>
        </is>
      </c>
      <c r="N131" s="22" t="inlineStr">
        <is>
          <t>覆盖MBU，并比较相邻与分散双比特错误</t>
        </is>
      </c>
      <c r="O131" s="22" t="inlineStr">
        <is>
          <t>CHAOS多bit结果作规律性类比</t>
        </is>
      </c>
      <c r="P131" s="23" t="n"/>
      <c r="Q131" s="23" t="n"/>
      <c r="R131" s="23" t="n"/>
      <c r="S131" s="23" t="n"/>
      <c r="T131" s="23" t="n"/>
      <c r="U131" s="23" t="n"/>
      <c r="V131" s="23" t="n"/>
      <c r="W131" s="23" t="n"/>
      <c r="X131" s="35">
        <f>IF(OR(R131="",R131-AP131&lt;=0),"",AB131/(R131-AP131))</f>
        <v/>
      </c>
      <c r="Y131" s="35">
        <f>IF(OR(AR131="",AR131=0),"",R131/AR131)</f>
        <v/>
      </c>
      <c r="Z131" s="24" t="inlineStr">
        <is>
          <t>待执行</t>
        </is>
      </c>
      <c r="AA131" s="23" t="n"/>
      <c r="AB131" s="38" t="n"/>
      <c r="AC131" s="38" t="n"/>
      <c r="AD131" s="38" t="n"/>
      <c r="AE131" s="38" t="n"/>
      <c r="AF131" s="38" t="n"/>
      <c r="AG131" s="38" t="n"/>
      <c r="AH131" s="38" t="n"/>
      <c r="AI131" s="38" t="n"/>
      <c r="AJ131" s="38" t="n"/>
      <c r="AK131" s="39" t="n"/>
      <c r="AL131" s="40">
        <f>IF(OR(R131="",R131-AP131&lt;=0),"",AO131/(R131-AP131))</f>
        <v/>
      </c>
      <c r="AM131" s="41">
        <f>IF(R131="","",SUM(AC131:AF131)-(R131-AP131))</f>
        <v/>
      </c>
      <c r="AN131" s="41">
        <f>IF(R131="","",SUM(S131:W131)+AP131-R131)</f>
        <v/>
      </c>
      <c r="AO131" s="44" t="n"/>
      <c r="AP131" s="45" t="n"/>
      <c r="AQ131" s="47" t="inlineStr">
        <is>
          <t>C02-a 同一word相邻双bit；C02-b 同一cache line非相邻双bit</t>
        </is>
      </c>
      <c r="AR131" s="23" t="n"/>
      <c r="AS131" s="35">
        <f>IF(OR(Q131="",Q131=0),"",AR131/Q131)</f>
        <v/>
      </c>
      <c r="AT131" s="62" t="n">
        <v>30</v>
      </c>
      <c r="AU131" s="62" t="n">
        <v>385</v>
      </c>
      <c r="AV131" s="62" t="inlineStr">
        <is>
          <t>常规</t>
        </is>
      </c>
      <c r="AW131" s="62" t="inlineStr">
        <is>
          <t>累计至少385，不机械扩展到2401</t>
        </is>
      </c>
    </row>
    <row r="132" ht="94.15000000000001" customHeight="1" s="58">
      <c r="A132" s="21" t="inlineStr">
        <is>
          <t>C03-F5-W6</t>
        </is>
      </c>
      <c r="B132" s="21" t="inlineStr">
        <is>
          <t>C03</t>
        </is>
      </c>
      <c r="C132" s="21" t="inlineStr">
        <is>
          <t>L1d-Cache</t>
        </is>
      </c>
      <c r="D132" s="22" t="inlineStr">
        <is>
          <t>L1D data array 的固定 set/way/bit，或共用的读口/写口数据线。set/way 定位一条物理 cache line，端口故障则影响所有经该通路读写的行；两种子位置必须分开统计。</t>
        </is>
      </c>
      <c r="E132" s="22" t="inlineStr">
        <is>
          <t>卡死</t>
        </is>
      </c>
      <c r="F132" s="22"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G132" s="22" t="inlineStr">
        <is>
          <t>F5</t>
        </is>
      </c>
      <c r="H132" s="22" t="inlineStr">
        <is>
          <t>warm-up 后第一个 eligible event 起持续到运行结束；每次运行仅选一个 bit/字段</t>
        </is>
      </c>
      <c r="I132" s="22" t="inlineStr">
        <is>
          <t>Cache-DirtyEvict 缓存探针（0.5×/1×/2×L1D working set、conflict set、dirty eviction、writeback）</t>
        </is>
      </c>
      <c r="J132" s="22" t="inlineStr">
        <is>
          <t>Cache-DirtyEvict 缓存探针（0.5×/1×/2×L1D working set、conflict set、dirty eviction、writeback）
执行定义与 oracle：working set=0.5×/1×/2×L1D；读改写、dirty eviction、writeback、conflict set、共享行 false sharing</t>
        </is>
      </c>
      <c r="K132" s="22" t="inlineStr">
        <is>
          <t>首个目标set访问后持续</t>
        </is>
      </c>
      <c r="L132" s="22" t="inlineStr">
        <is>
          <t>L0 行/way是否被需求读或驱逐；L1 tag/data/valid/dirty/coherence/PLRU；L2 hit/miss/MSHR/merge/fill；L3 writeback与一致性消息；L4 load值/store可见性；L5结局；同一bit激活次数、覆盖/驱逐后是否复现</t>
        </is>
      </c>
      <c r="M132" s="22" t="inlineStr">
        <is>
          <t>HPCA'24报告永久L1D SDC概率范围高，具体随ISA/负载变化；预期重复污染</t>
        </is>
      </c>
      <c r="N132" s="22" t="inlineStr">
        <is>
          <t>复现永久故障类别并定位读口/写口差异</t>
        </is>
      </c>
      <c r="O132" s="22" t="inlineStr">
        <is>
          <t>HPCA'24永久故障直接类别对照</t>
        </is>
      </c>
      <c r="P132" s="23" t="n"/>
      <c r="Q132" s="23" t="n"/>
      <c r="R132" s="23" t="n"/>
      <c r="S132" s="23" t="n"/>
      <c r="T132" s="23" t="n"/>
      <c r="U132" s="23" t="n"/>
      <c r="V132" s="23" t="n"/>
      <c r="W132" s="23" t="n"/>
      <c r="X132" s="35">
        <f>IF(OR(R132="",R132-AP132&lt;=0),"",AB132/(R132-AP132))</f>
        <v/>
      </c>
      <c r="Y132" s="35">
        <f>IF(OR(AR132="",AR132=0),"",R132/AR132)</f>
        <v/>
      </c>
      <c r="Z132" s="24" t="inlineStr">
        <is>
          <t>待执行</t>
        </is>
      </c>
      <c r="AA132" s="23" t="n"/>
      <c r="AB132" s="38" t="n"/>
      <c r="AC132" s="38" t="n"/>
      <c r="AD132" s="38" t="n"/>
      <c r="AE132" s="38" t="n"/>
      <c r="AF132" s="38" t="n"/>
      <c r="AG132" s="38" t="n"/>
      <c r="AH132" s="38" t="n"/>
      <c r="AI132" s="38" t="n"/>
      <c r="AJ132" s="38" t="n"/>
      <c r="AK132" s="39" t="n"/>
      <c r="AL132" s="40">
        <f>IF(OR(R132="",R132-AP132&lt;=0),"",AO132/(R132-AP132))</f>
        <v/>
      </c>
      <c r="AM132" s="41">
        <f>IF(R132="","",SUM(AC132:AF132)-(R132-AP132))</f>
        <v/>
      </c>
      <c r="AN132" s="41">
        <f>IF(R132="","",SUM(S132:W132)+AP132-R132)</f>
        <v/>
      </c>
      <c r="AO132" s="44" t="n"/>
      <c r="AP132" s="45" t="n"/>
      <c r="AQ132" s="47" t="inlineStr">
        <is>
          <t>C03-a set位stuck-at-0/1；C03-b way位stuck-at-0/1；C03-c data bit stuck-at-0/1</t>
        </is>
      </c>
      <c r="AR132" s="23" t="n"/>
      <c r="AS132" s="35">
        <f>IF(OR(Q132="",Q132=0),"",AR132/Q132)</f>
        <v/>
      </c>
      <c r="AT132" s="62" t="n">
        <v>30</v>
      </c>
      <c r="AU132" s="62" t="n">
        <v>385</v>
      </c>
      <c r="AV132" s="62" t="inlineStr">
        <is>
          <t>常规</t>
        </is>
      </c>
      <c r="AW132" s="62" t="inlineStr">
        <is>
          <t>累计至少385，不机械扩展到2401</t>
        </is>
      </c>
    </row>
    <row r="133" ht="94.15000000000001" customHeight="1" s="58">
      <c r="A133" s="21" t="inlineStr">
        <is>
          <t>C03-F5-W10</t>
        </is>
      </c>
      <c r="B133" s="21" t="inlineStr">
        <is>
          <t>C03</t>
        </is>
      </c>
      <c r="C133" s="21" t="inlineStr">
        <is>
          <t>L1d-Cache</t>
        </is>
      </c>
      <c r="D133" s="22" t="inlineStr">
        <is>
          <t>L1D data array 的固定 set/way/bit，或共用的读口/写口数据线。set/way 定位一条物理 cache line，端口故障则影响所有经该通路读写的行；两种子位置必须分开统计。</t>
        </is>
      </c>
      <c r="E133" s="22" t="inlineStr">
        <is>
          <t>卡死</t>
        </is>
      </c>
      <c r="F133" s="22"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G133" s="22" t="inlineStr">
        <is>
          <t>F5</t>
        </is>
      </c>
      <c r="H133" s="22" t="inlineStr">
        <is>
          <t>warm-up 后第一个 eligible event 起持续到运行结束；每次运行仅选一个 bit/字段</t>
        </is>
      </c>
      <c r="I133" s="22" t="inlineStr">
        <is>
          <t>STREAM+PointerChase（Copy、Scale、Add、Triad 与随机指针链）</t>
        </is>
      </c>
      <c r="J133" s="22" t="inlineStr">
        <is>
          <t>STREAM+PointerChase（Copy、Scale、Add、Triad 与随机指针链）
执行定义与 oracle：STREAM Copy/Scale/Add/Triad 加随机 pointer chase；检查数组 hash 与遍历节点数</t>
        </is>
      </c>
      <c r="K133" s="22" t="inlineStr">
        <is>
          <t>首个目标set访问后持续</t>
        </is>
      </c>
      <c r="L133" s="22" t="inlineStr">
        <is>
          <t>L0 行/way是否被需求读或驱逐；L1 tag/data/valid/dirty/coherence/PLRU；L2 hit/miss/MSHR/merge/fill；L3 writeback与一致性消息；L4 load值/store可见性；L5结局；同一bit激活次数、覆盖/驱逐后是否复现</t>
        </is>
      </c>
      <c r="M133" s="22" t="inlineStr">
        <is>
          <t>HPCA'24报告永久L1D SDC概率范围高，具体随ISA/负载变化；预期重复污染</t>
        </is>
      </c>
      <c r="N133" s="22" t="inlineStr">
        <is>
          <t>复现永久故障类别并定位读口/写口差异</t>
        </is>
      </c>
      <c r="O133" s="22" t="inlineStr">
        <is>
          <t>HPCA'24永久故障直接类别对照</t>
        </is>
      </c>
      <c r="P133" s="23" t="n"/>
      <c r="Q133" s="23" t="n"/>
      <c r="R133" s="23" t="n"/>
      <c r="S133" s="23" t="n"/>
      <c r="T133" s="23" t="n"/>
      <c r="U133" s="23" t="n"/>
      <c r="V133" s="23" t="n"/>
      <c r="W133" s="23" t="n"/>
      <c r="X133" s="35">
        <f>IF(OR(R133="",R133-AP133&lt;=0),"",AB133/(R133-AP133))</f>
        <v/>
      </c>
      <c r="Y133" s="35">
        <f>IF(OR(AR133="",AR133=0),"",R133/AR133)</f>
        <v/>
      </c>
      <c r="Z133" s="24" t="inlineStr">
        <is>
          <t>待执行</t>
        </is>
      </c>
      <c r="AA133" s="23" t="n"/>
      <c r="AB133" s="38" t="n"/>
      <c r="AC133" s="38" t="n"/>
      <c r="AD133" s="38" t="n"/>
      <c r="AE133" s="38" t="n"/>
      <c r="AF133" s="38" t="n"/>
      <c r="AG133" s="38" t="n"/>
      <c r="AH133" s="38" t="n"/>
      <c r="AI133" s="38" t="n"/>
      <c r="AJ133" s="38" t="n"/>
      <c r="AK133" s="39" t="n"/>
      <c r="AL133" s="40">
        <f>IF(OR(R133="",R133-AP133&lt;=0),"",AO133/(R133-AP133))</f>
        <v/>
      </c>
      <c r="AM133" s="41">
        <f>IF(R133="","",SUM(AC133:AF133)-(R133-AP133))</f>
        <v/>
      </c>
      <c r="AN133" s="41">
        <f>IF(R133="","",SUM(S133:W133)+AP133-R133)</f>
        <v/>
      </c>
      <c r="AO133" s="44" t="n"/>
      <c r="AP133" s="45" t="n"/>
      <c r="AQ133" s="47" t="inlineStr">
        <is>
          <t>C03-a set位stuck-at-0/1；C03-b way位stuck-at-0/1；C03-c data bit stuck-at-0/1</t>
        </is>
      </c>
      <c r="AR133" s="23" t="n"/>
      <c r="AS133" s="35">
        <f>IF(OR(Q133="",Q133=0),"",AR133/Q133)</f>
        <v/>
      </c>
      <c r="AT133" s="62" t="n">
        <v>30</v>
      </c>
      <c r="AU133" s="62" t="n">
        <v>385</v>
      </c>
      <c r="AV133" s="62" t="inlineStr">
        <is>
          <t>常规</t>
        </is>
      </c>
      <c r="AW133" s="62" t="inlineStr">
        <is>
          <t>累计至少385，不机械扩展到2401</t>
        </is>
      </c>
    </row>
    <row r="134" ht="94.15000000000001" customHeight="1" s="58">
      <c r="A134" s="21" t="inlineStr">
        <is>
          <t>C04-F0-W1</t>
        </is>
      </c>
      <c r="B134" s="21" t="inlineStr">
        <is>
          <t>C04</t>
        </is>
      </c>
      <c r="C134" s="21" t="inlineStr">
        <is>
          <t>L1d-Cache</t>
        </is>
      </c>
      <c r="D134" s="22" t="inlineStr">
        <is>
          <t>L1D tag array 的物理地址标签。访问某个 set 后，tag 与请求地址比较以判断各 way 是否命中；tag 错误可能造成 false miss、false hit，或把 dirty 数据写回到错误地址。</t>
        </is>
      </c>
      <c r="E134" s="22" t="inlineStr">
        <is>
          <t>单比特翻转</t>
        </is>
      </c>
      <c r="F134"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4" s="22" t="inlineStr">
        <is>
          <t>F0</t>
        </is>
      </c>
      <c r="H134" s="22" t="inlineStr">
        <is>
          <t>每次运行只注入 1 次；在 warm-up 后的 eligible event 中均匀抽样</t>
        </is>
      </c>
      <c r="I134" s="22" t="inlineStr">
        <is>
          <t>MiBench-TC23 论文负载（blowfish、patricia、fft、gsm、dijkstra、rijndael、sha、bitcount、edge、smooth）</t>
        </is>
      </c>
      <c r="J134" s="22" t="inlineStr">
        <is>
          <t>MiBench-TC23 论文负载（blowfish、patricia、fft、gsm、dijkstra、rijndael、sha、bitcount、edge、smooth）
执行定义与 oracle：blowfish、patricia、fft、gsm、dijkstra、rijndael、sha、bitcount、edge、smooth；最大输入集</t>
        </is>
      </c>
      <c r="K134" s="22" t="inlineStr">
        <is>
          <t>valid line</t>
        </is>
      </c>
      <c r="L134" s="22" t="inlineStr">
        <is>
          <t>L0 行/way是否被需求读或驱逐；L1 tag/data/valid/dirty/coherence/PLRU；L2 hit/miss/MSHR/merge/fill；L3 writeback与一致性消息；L4 load值/store可见性；L5结局；false hit/miss、受害line、写回地址</t>
        </is>
      </c>
      <c r="M134" s="22" t="inlineStr">
        <is>
          <t>TC'23 Armv8非benign中SDC占38.0%；也常因错miss/错hit导致Crash</t>
        </is>
      </c>
      <c r="N134" s="22" t="inlineStr">
        <is>
          <t>直接文献基线，需与data分开</t>
        </is>
      </c>
      <c r="O134" s="22" t="inlineStr">
        <is>
          <t>TC'22、TC'23直接对照</t>
        </is>
      </c>
      <c r="P134" s="23" t="n"/>
      <c r="Q134" s="23" t="n"/>
      <c r="R134" s="23" t="n"/>
      <c r="S134" s="23" t="n"/>
      <c r="T134" s="23" t="n"/>
      <c r="U134" s="23" t="n"/>
      <c r="V134" s="23" t="n"/>
      <c r="W134" s="23" t="n"/>
      <c r="X134" s="35">
        <f>IF(OR(R134="",R134-AP134&lt;=0),"",AB134/(R134-AP134))</f>
        <v/>
      </c>
      <c r="Y134" s="35">
        <f>IF(OR(AR134="",AR134=0),"",R134/AR134)</f>
        <v/>
      </c>
      <c r="Z134" s="24" t="inlineStr">
        <is>
          <t>待执行</t>
        </is>
      </c>
      <c r="AA134" s="23" t="n"/>
      <c r="AB134" s="38" t="n"/>
      <c r="AC134" s="38" t="n"/>
      <c r="AD134" s="38" t="n"/>
      <c r="AE134" s="38" t="n"/>
      <c r="AF134" s="38" t="n"/>
      <c r="AG134" s="38" t="n"/>
      <c r="AH134" s="38" t="n"/>
      <c r="AI134" s="38" t="n"/>
      <c r="AJ134" s="38" t="n"/>
      <c r="AK134" s="39" t="n"/>
      <c r="AL134" s="40">
        <f>IF(OR(R134="",R134-AP134&lt;=0),"",AO134/(R134-AP134))</f>
        <v/>
      </c>
      <c r="AM134" s="41">
        <f>IF(R134="","",SUM(AC134:AF134)-(R134-AP134))</f>
        <v/>
      </c>
      <c r="AN134" s="41">
        <f>IF(R134="","",SUM(S134:W134)+AP134-R134)</f>
        <v/>
      </c>
      <c r="AO134" s="44" t="n"/>
      <c r="AP134" s="45" t="n"/>
      <c r="AQ134" s="47" t="inlineStr">
        <is>
          <t>C04-a cache tag低位单bit；C04-b 中位单bit；C04-c 高位单bit</t>
        </is>
      </c>
      <c r="AR134" s="23" t="n"/>
      <c r="AS134" s="35">
        <f>IF(OR(Q134="",Q134=0),"",AR134/Q134)</f>
        <v/>
      </c>
      <c r="AT134" s="62" t="n">
        <v>30</v>
      </c>
      <c r="AU134" s="62" t="n">
        <v>385</v>
      </c>
      <c r="AV134" s="62" t="inlineStr">
        <is>
          <t>常规</t>
        </is>
      </c>
      <c r="AW134" s="62" t="inlineStr">
        <is>
          <t>累计至少385，不机械扩展到2401</t>
        </is>
      </c>
    </row>
    <row r="135" ht="94.15000000000001" customHeight="1" s="58">
      <c r="A135" s="21" t="inlineStr">
        <is>
          <t>C04-F0-W6</t>
        </is>
      </c>
      <c r="B135" s="21" t="inlineStr">
        <is>
          <t>C04</t>
        </is>
      </c>
      <c r="C135" s="21" t="inlineStr">
        <is>
          <t>L1d-Cache</t>
        </is>
      </c>
      <c r="D135" s="22" t="inlineStr">
        <is>
          <t>L1D tag array 的物理地址标签。访问某个 set 后，tag 与请求地址比较以判断各 way 是否命中；tag 错误可能造成 false miss、false hit，或把 dirty 数据写回到错误地址。</t>
        </is>
      </c>
      <c r="E135" s="22" t="inlineStr">
        <is>
          <t>单比特翻转</t>
        </is>
      </c>
      <c r="F135"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5" s="22" t="inlineStr">
        <is>
          <t>F0</t>
        </is>
      </c>
      <c r="H135" s="22" t="inlineStr">
        <is>
          <t>每次运行只注入 1 次；在 warm-up 后的 eligible event 中均匀抽样</t>
        </is>
      </c>
      <c r="I135" s="22" t="inlineStr">
        <is>
          <t>Cache-DirtyEvict 缓存探针（0.5×/1×/2×L1D working set、conflict set、dirty eviction、writeback）</t>
        </is>
      </c>
      <c r="J135" s="22" t="inlineStr">
        <is>
          <t>Cache-DirtyEvict 缓存探针（0.5×/1×/2×L1D working set、conflict set、dirty eviction、writeback）
执行定义与 oracle：working set=0.5×/1×/2×L1D；读改写、dirty eviction、writeback、conflict set、共享行 false sharing</t>
        </is>
      </c>
      <c r="K135" s="22" t="inlineStr">
        <is>
          <t>valid line</t>
        </is>
      </c>
      <c r="L135" s="22" t="inlineStr">
        <is>
          <t>L0 行/way是否被需求读或驱逐；L1 tag/data/valid/dirty/coherence/PLRU；L2 hit/miss/MSHR/merge/fill；L3 writeback与一致性消息；L4 load值/store可见性；L5结局；false hit/miss、受害line、写回地址</t>
        </is>
      </c>
      <c r="M135" s="22" t="inlineStr">
        <is>
          <t>TC'23 Armv8非benign中SDC占38.0%；也常因错miss/错hit导致Crash</t>
        </is>
      </c>
      <c r="N135" s="22" t="inlineStr">
        <is>
          <t>直接文献基线，需与data分开</t>
        </is>
      </c>
      <c r="O135" s="22" t="inlineStr">
        <is>
          <t>TC'22、TC'23直接对照</t>
        </is>
      </c>
      <c r="P135" s="23" t="n"/>
      <c r="Q135" s="23" t="n"/>
      <c r="R135" s="23" t="n"/>
      <c r="S135" s="23" t="n"/>
      <c r="T135" s="23" t="n"/>
      <c r="U135" s="23" t="n"/>
      <c r="V135" s="23" t="n"/>
      <c r="W135" s="23" t="n"/>
      <c r="X135" s="35">
        <f>IF(OR(R135="",R135-AP135&lt;=0),"",AB135/(R135-AP135))</f>
        <v/>
      </c>
      <c r="Y135" s="35">
        <f>IF(OR(AR135="",AR135=0),"",R135/AR135)</f>
        <v/>
      </c>
      <c r="Z135" s="24" t="inlineStr">
        <is>
          <t>待执行</t>
        </is>
      </c>
      <c r="AA135" s="23" t="n"/>
      <c r="AB135" s="38" t="n"/>
      <c r="AC135" s="38" t="n"/>
      <c r="AD135" s="38" t="n"/>
      <c r="AE135" s="38" t="n"/>
      <c r="AF135" s="38" t="n"/>
      <c r="AG135" s="38" t="n"/>
      <c r="AH135" s="38" t="n"/>
      <c r="AI135" s="38" t="n"/>
      <c r="AJ135" s="38" t="n"/>
      <c r="AK135" s="39" t="n"/>
      <c r="AL135" s="40">
        <f>IF(OR(R135="",R135-AP135&lt;=0),"",AO135/(R135-AP135))</f>
        <v/>
      </c>
      <c r="AM135" s="41">
        <f>IF(R135="","",SUM(AC135:AF135)-(R135-AP135))</f>
        <v/>
      </c>
      <c r="AN135" s="41">
        <f>IF(R135="","",SUM(S135:W135)+AP135-R135)</f>
        <v/>
      </c>
      <c r="AO135" s="44" t="n"/>
      <c r="AP135" s="45" t="n"/>
      <c r="AQ135" s="47" t="inlineStr">
        <is>
          <t>C04-a cache tag低位单bit；C04-b 中位单bit；C04-c 高位单bit</t>
        </is>
      </c>
      <c r="AR135" s="23" t="n"/>
      <c r="AS135" s="35">
        <f>IF(OR(Q135="",Q135=0),"",AR135/Q135)</f>
        <v/>
      </c>
      <c r="AT135" s="62" t="n">
        <v>30</v>
      </c>
      <c r="AU135" s="62" t="n">
        <v>2401</v>
      </c>
      <c r="AV135" s="62" t="inlineStr">
        <is>
          <t>重点（预登记21项）</t>
        </is>
      </c>
      <c r="AW135" s="62" t="inlineStr">
        <is>
          <t>累计到2401（含前385）</t>
        </is>
      </c>
    </row>
    <row r="136" ht="94.15000000000001" customHeight="1" s="58">
      <c r="A136" s="21" t="inlineStr">
        <is>
          <t>C04-F1-W1</t>
        </is>
      </c>
      <c r="B136" s="21" t="inlineStr">
        <is>
          <t>C04</t>
        </is>
      </c>
      <c r="C136" s="21" t="inlineStr">
        <is>
          <t>L1d-Cache</t>
        </is>
      </c>
      <c r="D136" s="22" t="inlineStr">
        <is>
          <t>L1D tag array 的物理地址标签。访问某个 set 后，tag 与请求地址比较以判断各 way 是否命中；tag 错误可能造成 false miss、false hit，或把 dirty 数据写回到错误地址。</t>
        </is>
      </c>
      <c r="E136" s="22" t="inlineStr">
        <is>
          <t>单比特翻转</t>
        </is>
      </c>
      <c r="F136"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6" s="22" t="inlineStr">
        <is>
          <t>F1</t>
        </is>
      </c>
      <c r="H136" s="22" t="inlineStr">
        <is>
          <t>平均每 1,000,000 个 eligible events 注入 1 次，间隔加入 ±50% 抖动</t>
        </is>
      </c>
      <c r="I136" s="22" t="inlineStr">
        <is>
          <t>MiBench-TC23 论文负载（blowfish、patricia、fft、gsm、dijkstra、rijndael、sha、bitcount、edge、smooth）</t>
        </is>
      </c>
      <c r="J136" s="22" t="inlineStr">
        <is>
          <t>MiBench-TC23 论文负载（blowfish、patricia、fft、gsm、dijkstra、rijndael、sha、bitcount、edge、smooth）
执行定义与 oracle：blowfish、patricia、fft、gsm、dijkstra、rijndael、sha、bitcount、edge、smooth；最大输入集</t>
        </is>
      </c>
      <c r="K136" s="22" t="inlineStr">
        <is>
          <t>valid line</t>
        </is>
      </c>
      <c r="L136" s="22" t="inlineStr">
        <is>
          <t>L0 行/way是否被需求读或驱逐；L1 tag/data/valid/dirty/coherence/PLRU；L2 hit/miss/MSHR/merge/fill；L3 writeback与一致性消息；L4 load值/store可见性；L5结局；false hit/miss、受害line、写回地址</t>
        </is>
      </c>
      <c r="M136" s="22" t="inlineStr">
        <is>
          <t>TC'23 Armv8非benign中SDC占38.0%；也常因错miss/错hit导致Crash</t>
        </is>
      </c>
      <c r="N136" s="22" t="inlineStr">
        <is>
          <t>直接文献基线，需与data分开</t>
        </is>
      </c>
      <c r="O136" s="22" t="inlineStr">
        <is>
          <t>TC'22、TC'23直接对照</t>
        </is>
      </c>
      <c r="P136" s="23" t="n"/>
      <c r="Q136" s="23" t="n"/>
      <c r="R136" s="23" t="n"/>
      <c r="S136" s="23" t="n"/>
      <c r="T136" s="23" t="n"/>
      <c r="U136" s="23" t="n"/>
      <c r="V136" s="23" t="n"/>
      <c r="W136" s="23" t="n"/>
      <c r="X136" s="35">
        <f>IF(OR(R136="",R136-AP136&lt;=0),"",AB136/(R136-AP136))</f>
        <v/>
      </c>
      <c r="Y136" s="35">
        <f>IF(OR(AR136="",AR136=0),"",R136/AR136)</f>
        <v/>
      </c>
      <c r="Z136" s="24" t="inlineStr">
        <is>
          <t>待执行</t>
        </is>
      </c>
      <c r="AA136" s="23" t="n"/>
      <c r="AB136" s="38" t="n"/>
      <c r="AC136" s="38" t="n"/>
      <c r="AD136" s="38" t="n"/>
      <c r="AE136" s="38" t="n"/>
      <c r="AF136" s="38" t="n"/>
      <c r="AG136" s="38" t="n"/>
      <c r="AH136" s="38" t="n"/>
      <c r="AI136" s="38" t="n"/>
      <c r="AJ136" s="38" t="n"/>
      <c r="AK136" s="39" t="n"/>
      <c r="AL136" s="40">
        <f>IF(OR(R136="",R136-AP136&lt;=0),"",AO136/(R136-AP136))</f>
        <v/>
      </c>
      <c r="AM136" s="41">
        <f>IF(R136="","",SUM(AC136:AF136)-(R136-AP136))</f>
        <v/>
      </c>
      <c r="AN136" s="41">
        <f>IF(R136="","",SUM(S136:W136)+AP136-R136)</f>
        <v/>
      </c>
      <c r="AO136" s="44" t="n"/>
      <c r="AP136" s="45" t="n"/>
      <c r="AQ136" s="47" t="inlineStr">
        <is>
          <t>C04-a cache tag低位单bit；C04-b 中位单bit；C04-c 高位单bit</t>
        </is>
      </c>
      <c r="AR136" s="23" t="n"/>
      <c r="AS136" s="35">
        <f>IF(OR(Q136="",Q136=0),"",AR136/Q136)</f>
        <v/>
      </c>
      <c r="AT136" s="62" t="n">
        <v>30</v>
      </c>
      <c r="AU136" s="62" t="n">
        <v>385</v>
      </c>
      <c r="AV136" s="62" t="inlineStr">
        <is>
          <t>常规</t>
        </is>
      </c>
      <c r="AW136" s="62" t="inlineStr">
        <is>
          <t>累计至少385，不机械扩展到2401</t>
        </is>
      </c>
    </row>
    <row r="137" ht="94.15000000000001" customHeight="1" s="58">
      <c r="A137" s="21" t="inlineStr">
        <is>
          <t>C04-F1-W6</t>
        </is>
      </c>
      <c r="B137" s="21" t="inlineStr">
        <is>
          <t>C04</t>
        </is>
      </c>
      <c r="C137" s="21" t="inlineStr">
        <is>
          <t>L1d-Cache</t>
        </is>
      </c>
      <c r="D137" s="22" t="inlineStr">
        <is>
          <t>L1D tag array 的物理地址标签。访问某个 set 后，tag 与请求地址比较以判断各 way 是否命中；tag 错误可能造成 false miss、false hit，或把 dirty 数据写回到错误地址。</t>
        </is>
      </c>
      <c r="E137" s="22" t="inlineStr">
        <is>
          <t>单比特翻转</t>
        </is>
      </c>
      <c r="F137"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7" s="22" t="inlineStr">
        <is>
          <t>F1</t>
        </is>
      </c>
      <c r="H137" s="22" t="inlineStr">
        <is>
          <t>平均每 1,000,000 个 eligible events 注入 1 次，间隔加入 ±50% 抖动</t>
        </is>
      </c>
      <c r="I137" s="22" t="inlineStr">
        <is>
          <t>Cache-DirtyEvict 缓存探针（0.5×/1×/2×L1D working set、conflict set、dirty eviction、writeback）</t>
        </is>
      </c>
      <c r="J137" s="22" t="inlineStr">
        <is>
          <t>Cache-DirtyEvict 缓存探针（0.5×/1×/2×L1D working set、conflict set、dirty eviction、writeback）
执行定义与 oracle：working set=0.5×/1×/2×L1D；读改写、dirty eviction、writeback、conflict set、共享行 false sharing</t>
        </is>
      </c>
      <c r="K137" s="22" t="inlineStr">
        <is>
          <t>valid line</t>
        </is>
      </c>
      <c r="L137" s="22" t="inlineStr">
        <is>
          <t>L0 行/way是否被需求读或驱逐；L1 tag/data/valid/dirty/coherence/PLRU；L2 hit/miss/MSHR/merge/fill；L3 writeback与一致性消息；L4 load值/store可见性；L5结局；false hit/miss、受害line、写回地址</t>
        </is>
      </c>
      <c r="M137" s="22" t="inlineStr">
        <is>
          <t>TC'23 Armv8非benign中SDC占38.0%；也常因错miss/错hit导致Crash</t>
        </is>
      </c>
      <c r="N137" s="22" t="inlineStr">
        <is>
          <t>直接文献基线，需与data分开</t>
        </is>
      </c>
      <c r="O137" s="22" t="inlineStr">
        <is>
          <t>TC'22、TC'23直接对照</t>
        </is>
      </c>
      <c r="P137" s="23" t="n"/>
      <c r="Q137" s="23" t="n"/>
      <c r="R137" s="23" t="n"/>
      <c r="S137" s="23" t="n"/>
      <c r="T137" s="23" t="n"/>
      <c r="U137" s="23" t="n"/>
      <c r="V137" s="23" t="n"/>
      <c r="W137" s="23" t="n"/>
      <c r="X137" s="35">
        <f>IF(OR(R137="",R137-AP137&lt;=0),"",AB137/(R137-AP137))</f>
        <v/>
      </c>
      <c r="Y137" s="35">
        <f>IF(OR(AR137="",AR137=0),"",R137/AR137)</f>
        <v/>
      </c>
      <c r="Z137" s="24" t="inlineStr">
        <is>
          <t>待执行</t>
        </is>
      </c>
      <c r="AA137" s="23" t="n"/>
      <c r="AB137" s="38" t="n"/>
      <c r="AC137" s="38" t="n"/>
      <c r="AD137" s="38" t="n"/>
      <c r="AE137" s="38" t="n"/>
      <c r="AF137" s="38" t="n"/>
      <c r="AG137" s="38" t="n"/>
      <c r="AH137" s="38" t="n"/>
      <c r="AI137" s="38" t="n"/>
      <c r="AJ137" s="38" t="n"/>
      <c r="AK137" s="39" t="n"/>
      <c r="AL137" s="40">
        <f>IF(OR(R137="",R137-AP137&lt;=0),"",AO137/(R137-AP137))</f>
        <v/>
      </c>
      <c r="AM137" s="41">
        <f>IF(R137="","",SUM(AC137:AF137)-(R137-AP137))</f>
        <v/>
      </c>
      <c r="AN137" s="41">
        <f>IF(R137="","",SUM(S137:W137)+AP137-R137)</f>
        <v/>
      </c>
      <c r="AO137" s="44" t="n"/>
      <c r="AP137" s="45" t="n"/>
      <c r="AQ137" s="47" t="inlineStr">
        <is>
          <t>C04-a cache tag低位单bit；C04-b 中位单bit；C04-c 高位单bit</t>
        </is>
      </c>
      <c r="AR137" s="23" t="n"/>
      <c r="AS137" s="35">
        <f>IF(OR(Q137="",Q137=0),"",AR137/Q137)</f>
        <v/>
      </c>
      <c r="AT137" s="62" t="n">
        <v>30</v>
      </c>
      <c r="AU137" s="62" t="n">
        <v>385</v>
      </c>
      <c r="AV137" s="62" t="inlineStr">
        <is>
          <t>常规</t>
        </is>
      </c>
      <c r="AW137" s="62" t="inlineStr">
        <is>
          <t>累计至少385，不机械扩展到2401</t>
        </is>
      </c>
    </row>
    <row r="138" ht="94.15000000000001" customHeight="1" s="58">
      <c r="A138" s="21" t="inlineStr">
        <is>
          <t>C04-F2-W1</t>
        </is>
      </c>
      <c r="B138" s="21" t="inlineStr">
        <is>
          <t>C04</t>
        </is>
      </c>
      <c r="C138" s="21" t="inlineStr">
        <is>
          <t>L1d-Cache</t>
        </is>
      </c>
      <c r="D138" s="22" t="inlineStr">
        <is>
          <t>L1D tag array 的物理地址标签。访问某个 set 后，tag 与请求地址比较以判断各 way 是否命中；tag 错误可能造成 false miss、false hit，或把 dirty 数据写回到错误地址。</t>
        </is>
      </c>
      <c r="E138" s="22" t="inlineStr">
        <is>
          <t>单比特翻转</t>
        </is>
      </c>
      <c r="F138"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8" s="22" t="inlineStr">
        <is>
          <t>F2</t>
        </is>
      </c>
      <c r="H138" s="22" t="inlineStr">
        <is>
          <t>平均每 100,000 个 eligible events 注入 1 次，间隔加入 ±50% 抖动</t>
        </is>
      </c>
      <c r="I138" s="22" t="inlineStr">
        <is>
          <t>MiBench-TC23 论文负载（blowfish、patricia、fft、gsm、dijkstra、rijndael、sha、bitcount、edge、smooth）</t>
        </is>
      </c>
      <c r="J138" s="22" t="inlineStr">
        <is>
          <t>MiBench-TC23 论文负载（blowfish、patricia、fft、gsm、dijkstra、rijndael、sha、bitcount、edge、smooth）
执行定义与 oracle：blowfish、patricia、fft、gsm、dijkstra、rijndael、sha、bitcount、edge、smooth；最大输入集</t>
        </is>
      </c>
      <c r="K138" s="22" t="inlineStr">
        <is>
          <t>valid line</t>
        </is>
      </c>
      <c r="L138" s="22" t="inlineStr">
        <is>
          <t>L0 行/way是否被需求读或驱逐；L1 tag/data/valid/dirty/coherence/PLRU；L2 hit/miss/MSHR/merge/fill；L3 writeback与一致性消息；L4 load值/store可见性；L5结局；false hit/miss、受害line、写回地址</t>
        </is>
      </c>
      <c r="M138" s="22" t="inlineStr">
        <is>
          <t>TC'23 Armv8非benign中SDC占38.0%；也常因错miss/错hit导致Crash</t>
        </is>
      </c>
      <c r="N138" s="22" t="inlineStr">
        <is>
          <t>直接文献基线，需与data分开</t>
        </is>
      </c>
      <c r="O138" s="22" t="inlineStr">
        <is>
          <t>TC'22、TC'23直接对照</t>
        </is>
      </c>
      <c r="P138" s="23" t="n"/>
      <c r="Q138" s="23" t="n"/>
      <c r="R138" s="23" t="n"/>
      <c r="S138" s="23" t="n"/>
      <c r="T138" s="23" t="n"/>
      <c r="U138" s="23" t="n"/>
      <c r="V138" s="23" t="n"/>
      <c r="W138" s="23" t="n"/>
      <c r="X138" s="35">
        <f>IF(OR(R138="",R138-AP138&lt;=0),"",AB138/(R138-AP138))</f>
        <v/>
      </c>
      <c r="Y138" s="35">
        <f>IF(OR(AR138="",AR138=0),"",R138/AR138)</f>
        <v/>
      </c>
      <c r="Z138" s="24" t="inlineStr">
        <is>
          <t>待执行</t>
        </is>
      </c>
      <c r="AA138" s="23" t="n"/>
      <c r="AB138" s="38" t="n"/>
      <c r="AC138" s="38" t="n"/>
      <c r="AD138" s="38" t="n"/>
      <c r="AE138" s="38" t="n"/>
      <c r="AF138" s="38" t="n"/>
      <c r="AG138" s="38" t="n"/>
      <c r="AH138" s="38" t="n"/>
      <c r="AI138" s="38" t="n"/>
      <c r="AJ138" s="38" t="n"/>
      <c r="AK138" s="39" t="n"/>
      <c r="AL138" s="40">
        <f>IF(OR(R138="",R138-AP138&lt;=0),"",AO138/(R138-AP138))</f>
        <v/>
      </c>
      <c r="AM138" s="41">
        <f>IF(R138="","",SUM(AC138:AF138)-(R138-AP138))</f>
        <v/>
      </c>
      <c r="AN138" s="41">
        <f>IF(R138="","",SUM(S138:W138)+AP138-R138)</f>
        <v/>
      </c>
      <c r="AO138" s="44" t="n"/>
      <c r="AP138" s="45" t="n"/>
      <c r="AQ138" s="47" t="inlineStr">
        <is>
          <t>C04-a cache tag低位单bit；C04-b 中位单bit；C04-c 高位单bit</t>
        </is>
      </c>
      <c r="AR138" s="23" t="n"/>
      <c r="AS138" s="35">
        <f>IF(OR(Q138="",Q138=0),"",AR138/Q138)</f>
        <v/>
      </c>
      <c r="AT138" s="62" t="n">
        <v>30</v>
      </c>
      <c r="AU138" s="62" t="n">
        <v>385</v>
      </c>
      <c r="AV138" s="62" t="inlineStr">
        <is>
          <t>常规</t>
        </is>
      </c>
      <c r="AW138" s="62" t="inlineStr">
        <is>
          <t>累计至少385，不机械扩展到2401</t>
        </is>
      </c>
    </row>
    <row r="139" ht="94.15000000000001" customHeight="1" s="58">
      <c r="A139" s="21" t="inlineStr">
        <is>
          <t>C04-F2-W6</t>
        </is>
      </c>
      <c r="B139" s="21" t="inlineStr">
        <is>
          <t>C04</t>
        </is>
      </c>
      <c r="C139" s="21" t="inlineStr">
        <is>
          <t>L1d-Cache</t>
        </is>
      </c>
      <c r="D139" s="22" t="inlineStr">
        <is>
          <t>L1D tag array 的物理地址标签。访问某个 set 后，tag 与请求地址比较以判断各 way 是否命中；tag 错误可能造成 false miss、false hit，或把 dirty 数据写回到错误地址。</t>
        </is>
      </c>
      <c r="E139" s="22" t="inlineStr">
        <is>
          <t>单比特翻转</t>
        </is>
      </c>
      <c r="F139"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9" s="22" t="inlineStr">
        <is>
          <t>F2</t>
        </is>
      </c>
      <c r="H139" s="22" t="inlineStr">
        <is>
          <t>平均每 100,000 个 eligible events 注入 1 次，间隔加入 ±50% 抖动</t>
        </is>
      </c>
      <c r="I139" s="22" t="inlineStr">
        <is>
          <t>Cache-DirtyEvict 缓存探针（0.5×/1×/2×L1D working set、conflict set、dirty eviction、writeback）</t>
        </is>
      </c>
      <c r="J139" s="22" t="inlineStr">
        <is>
          <t>Cache-DirtyEvict 缓存探针（0.5×/1×/2×L1D working set、conflict set、dirty eviction、writeback）
执行定义与 oracle：working set=0.5×/1×/2×L1D；读改写、dirty eviction、writeback、conflict set、共享行 false sharing</t>
        </is>
      </c>
      <c r="K139" s="22" t="inlineStr">
        <is>
          <t>valid line</t>
        </is>
      </c>
      <c r="L139" s="22" t="inlineStr">
        <is>
          <t>L0 行/way是否被需求读或驱逐；L1 tag/data/valid/dirty/coherence/PLRU；L2 hit/miss/MSHR/merge/fill；L3 writeback与一致性消息；L4 load值/store可见性；L5结局；false hit/miss、受害line、写回地址</t>
        </is>
      </c>
      <c r="M139" s="22" t="inlineStr">
        <is>
          <t>TC'23 Armv8非benign中SDC占38.0%；也常因错miss/错hit导致Crash</t>
        </is>
      </c>
      <c r="N139" s="22" t="inlineStr">
        <is>
          <t>直接文献基线，需与data分开</t>
        </is>
      </c>
      <c r="O139" s="22" t="inlineStr">
        <is>
          <t>TC'22、TC'23直接对照</t>
        </is>
      </c>
      <c r="P139" s="23" t="n"/>
      <c r="Q139" s="23" t="n"/>
      <c r="R139" s="23" t="n"/>
      <c r="S139" s="23" t="n"/>
      <c r="T139" s="23" t="n"/>
      <c r="U139" s="23" t="n"/>
      <c r="V139" s="23" t="n"/>
      <c r="W139" s="23" t="n"/>
      <c r="X139" s="35">
        <f>IF(OR(R139="",R139-AP139&lt;=0),"",AB139/(R139-AP139))</f>
        <v/>
      </c>
      <c r="Y139" s="35">
        <f>IF(OR(AR139="",AR139=0),"",R139/AR139)</f>
        <v/>
      </c>
      <c r="Z139" s="24" t="inlineStr">
        <is>
          <t>待执行</t>
        </is>
      </c>
      <c r="AA139" s="23" t="n"/>
      <c r="AB139" s="38" t="n"/>
      <c r="AC139" s="38" t="n"/>
      <c r="AD139" s="38" t="n"/>
      <c r="AE139" s="38" t="n"/>
      <c r="AF139" s="38" t="n"/>
      <c r="AG139" s="38" t="n"/>
      <c r="AH139" s="38" t="n"/>
      <c r="AI139" s="38" t="n"/>
      <c r="AJ139" s="38" t="n"/>
      <c r="AK139" s="39" t="n"/>
      <c r="AL139" s="40">
        <f>IF(OR(R139="",R139-AP139&lt;=0),"",AO139/(R139-AP139))</f>
        <v/>
      </c>
      <c r="AM139" s="41">
        <f>IF(R139="","",SUM(AC139:AF139)-(R139-AP139))</f>
        <v/>
      </c>
      <c r="AN139" s="41">
        <f>IF(R139="","",SUM(S139:W139)+AP139-R139)</f>
        <v/>
      </c>
      <c r="AO139" s="44" t="n"/>
      <c r="AP139" s="45" t="n"/>
      <c r="AQ139" s="47" t="inlineStr">
        <is>
          <t>C04-a cache tag低位单bit；C04-b 中位单bit；C04-c 高位单bit</t>
        </is>
      </c>
      <c r="AR139" s="23" t="n"/>
      <c r="AS139" s="35">
        <f>IF(OR(Q139="",Q139=0),"",AR139/Q139)</f>
        <v/>
      </c>
      <c r="AT139" s="62" t="n">
        <v>30</v>
      </c>
      <c r="AU139" s="62" t="n">
        <v>385</v>
      </c>
      <c r="AV139" s="62" t="inlineStr">
        <is>
          <t>常规</t>
        </is>
      </c>
      <c r="AW139" s="62" t="inlineStr">
        <is>
          <t>累计至少385，不机械扩展到2401</t>
        </is>
      </c>
    </row>
    <row r="140" ht="94.15000000000001" customHeight="1" s="58">
      <c r="A140" s="21" t="inlineStr">
        <is>
          <t>C05-F0-W6</t>
        </is>
      </c>
      <c r="B140" s="21" t="inlineStr">
        <is>
          <t>C05</t>
        </is>
      </c>
      <c r="C140" s="21" t="inlineStr">
        <is>
          <t>L1d-Cache</t>
        </is>
      </c>
      <c r="D140" s="22" t="inlineStr">
        <is>
          <t>L1D 的 tag 比较结果与 way-select 数据选择器。tag 比较器产生命中向量，way-select 决定返回哪一路 data；模型保持候选 tag 合法，专门研究错选另一条有效 line 的后果。</t>
        </is>
      </c>
      <c r="E140" s="22" t="inlineStr">
        <is>
          <t>换值</t>
        </is>
      </c>
      <c r="F140"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0" s="22" t="inlineStr">
        <is>
          <t>F0</t>
        </is>
      </c>
      <c r="H140" s="22" t="inlineStr">
        <is>
          <t>每次运行只注入 1 次；在 warm-up 后的 eligible event 中均匀抽样</t>
        </is>
      </c>
      <c r="I140" s="22" t="inlineStr">
        <is>
          <t>Cache-DirtyEvict 缓存探针（0.5×/1×/2×L1D working set、conflict set、dirty eviction、writeback）</t>
        </is>
      </c>
      <c r="J140" s="22" t="inlineStr">
        <is>
          <t>Cache-DirtyEvict 缓存探针（0.5×/1×/2×L1D working set、conflict set、dirty eviction、writeback）
执行定义与 oracle：working set=0.5×/1×/2×L1D；读改写、dirty eviction、writeback、conflict set、共享行 false sharing</t>
        </is>
      </c>
      <c r="K140" s="22" t="inlineStr">
        <is>
          <t>同set至少2条valid line</t>
        </is>
      </c>
      <c r="L140" s="22" t="inlineStr">
        <is>
          <t>L0 行/way是否被需求读或驱逐；L1 tag/data/valid/dirty/coherence/PLRU；L2 hit/miss/MSHR/merge/fill；L3 writeback与一致性消息；L4 load值/store可见性；L5结局；match vector、选中way、需求PA与line来源</t>
        </is>
      </c>
      <c r="M140" s="22" t="inlineStr">
        <is>
          <t>合法false hit把错误line数据送给load，预期SDC高于随机tag翻转</t>
        </is>
      </c>
      <c r="N140" s="22" t="inlineStr">
        <is>
          <t>绕开无效地址与自然miss防线</t>
        </is>
      </c>
      <c r="O140" s="22" t="inlineStr">
        <is>
          <t>本方案结构化模型</t>
        </is>
      </c>
      <c r="P140" s="23" t="n"/>
      <c r="Q140" s="23" t="n"/>
      <c r="R140" s="23" t="n"/>
      <c r="S140" s="23" t="n"/>
      <c r="T140" s="23" t="n"/>
      <c r="U140" s="23" t="n"/>
      <c r="V140" s="23" t="n"/>
      <c r="W140" s="23" t="n"/>
      <c r="X140" s="35">
        <f>IF(OR(R140="",R140-AP140&lt;=0),"",AB140/(R140-AP140))</f>
        <v/>
      </c>
      <c r="Y140" s="35">
        <f>IF(OR(AR140="",AR140=0),"",R140/AR140)</f>
        <v/>
      </c>
      <c r="Z140" s="24" t="inlineStr">
        <is>
          <t>待执行</t>
        </is>
      </c>
      <c r="AA140" s="23" t="n"/>
      <c r="AB140" s="38" t="n"/>
      <c r="AC140" s="38" t="n"/>
      <c r="AD140" s="38" t="n"/>
      <c r="AE140" s="38" t="n"/>
      <c r="AF140" s="38" t="n"/>
      <c r="AG140" s="38" t="n"/>
      <c r="AH140" s="38" t="n"/>
      <c r="AI140" s="38" t="n"/>
      <c r="AJ140" s="38" t="n"/>
      <c r="AK140" s="39" t="n"/>
      <c r="AL140" s="40">
        <f>IF(OR(R140="",R140-AP140&lt;=0),"",AO140/(R140-AP140))</f>
        <v/>
      </c>
      <c r="AM140" s="41">
        <f>IF(R140="","",SUM(AC140:AF140)-(R140-AP140))</f>
        <v/>
      </c>
      <c r="AN140" s="41">
        <f>IF(R140="","",SUM(S140:W140)+AP140-R140)</f>
        <v/>
      </c>
      <c r="AO140" s="44" t="n"/>
      <c r="AP140" s="45" t="n"/>
      <c r="AQ140" s="47" t="inlineStr">
        <is>
          <t>C05-a tag替换为另一合法tag；C05-b 选择错误valid way</t>
        </is>
      </c>
      <c r="AR140" s="23" t="n"/>
      <c r="AS140" s="35">
        <f>IF(OR(Q140="",Q140=0),"",AR140/Q140)</f>
        <v/>
      </c>
      <c r="AT140" s="62" t="n">
        <v>30</v>
      </c>
      <c r="AU140" s="62" t="n">
        <v>2401</v>
      </c>
      <c r="AV140" s="62" t="inlineStr">
        <is>
          <t>重点（预登记21项）</t>
        </is>
      </c>
      <c r="AW140" s="62" t="inlineStr">
        <is>
          <t>累计到2401（含前385）</t>
        </is>
      </c>
    </row>
    <row r="141" ht="94.15000000000001" customHeight="1" s="58">
      <c r="A141" s="21" t="inlineStr">
        <is>
          <t>C05-F2-W6</t>
        </is>
      </c>
      <c r="B141" s="21" t="inlineStr">
        <is>
          <t>C05</t>
        </is>
      </c>
      <c r="C141" s="21" t="inlineStr">
        <is>
          <t>L1d-Cache</t>
        </is>
      </c>
      <c r="D141" s="22" t="inlineStr">
        <is>
          <t>L1D 的 tag 比较结果与 way-select 数据选择器。tag 比较器产生命中向量，way-select 决定返回哪一路 data；模型保持候选 tag 合法，专门研究错选另一条有效 line 的后果。</t>
        </is>
      </c>
      <c r="E141" s="22" t="inlineStr">
        <is>
          <t>换值</t>
        </is>
      </c>
      <c r="F141"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1" s="22" t="inlineStr">
        <is>
          <t>F2</t>
        </is>
      </c>
      <c r="H141" s="22" t="inlineStr">
        <is>
          <t>平均每 100,000 个 eligible events 注入 1 次，间隔加入 ±50% 抖动</t>
        </is>
      </c>
      <c r="I141" s="22" t="inlineStr">
        <is>
          <t>Cache-DirtyEvict 缓存探针（0.5×/1×/2×L1D working set、conflict set、dirty eviction、writeback）</t>
        </is>
      </c>
      <c r="J141" s="22" t="inlineStr">
        <is>
          <t>Cache-DirtyEvict 缓存探针（0.5×/1×/2×L1D working set、conflict set、dirty eviction、writeback）
执行定义与 oracle：working set=0.5×/1×/2×L1D；读改写、dirty eviction、writeback、conflict set、共享行 false sharing</t>
        </is>
      </c>
      <c r="K141" s="22" t="inlineStr">
        <is>
          <t>同set至少2条valid line</t>
        </is>
      </c>
      <c r="L141" s="22" t="inlineStr">
        <is>
          <t>L0 行/way是否被需求读或驱逐；L1 tag/data/valid/dirty/coherence/PLRU；L2 hit/miss/MSHR/merge/fill；L3 writeback与一致性消息；L4 load值/store可见性；L5结局；match vector、选中way、需求PA与line来源</t>
        </is>
      </c>
      <c r="M141" s="22" t="inlineStr">
        <is>
          <t>合法false hit把错误line数据送给load，预期SDC高于随机tag翻转</t>
        </is>
      </c>
      <c r="N141" s="22" t="inlineStr">
        <is>
          <t>绕开无效地址与自然miss防线</t>
        </is>
      </c>
      <c r="O141" s="22" t="inlineStr">
        <is>
          <t>本方案结构化模型</t>
        </is>
      </c>
      <c r="P141" s="23" t="n"/>
      <c r="Q141" s="23" t="n"/>
      <c r="R141" s="23" t="n"/>
      <c r="S141" s="23" t="n"/>
      <c r="T141" s="23" t="n"/>
      <c r="U141" s="23" t="n"/>
      <c r="V141" s="23" t="n"/>
      <c r="W141" s="23" t="n"/>
      <c r="X141" s="35">
        <f>IF(OR(R141="",R141-AP141&lt;=0),"",AB141/(R141-AP141))</f>
        <v/>
      </c>
      <c r="Y141" s="35">
        <f>IF(OR(AR141="",AR141=0),"",R141/AR141)</f>
        <v/>
      </c>
      <c r="Z141" s="24" t="inlineStr">
        <is>
          <t>待执行</t>
        </is>
      </c>
      <c r="AA141" s="23" t="n"/>
      <c r="AB141" s="38" t="n"/>
      <c r="AC141" s="38" t="n"/>
      <c r="AD141" s="38" t="n"/>
      <c r="AE141" s="38" t="n"/>
      <c r="AF141" s="38" t="n"/>
      <c r="AG141" s="38" t="n"/>
      <c r="AH141" s="38" t="n"/>
      <c r="AI141" s="38" t="n"/>
      <c r="AJ141" s="38" t="n"/>
      <c r="AK141" s="39" t="n"/>
      <c r="AL141" s="40">
        <f>IF(OR(R141="",R141-AP141&lt;=0),"",AO141/(R141-AP141))</f>
        <v/>
      </c>
      <c r="AM141" s="41">
        <f>IF(R141="","",SUM(AC141:AF141)-(R141-AP141))</f>
        <v/>
      </c>
      <c r="AN141" s="41">
        <f>IF(R141="","",SUM(S141:W141)+AP141-R141)</f>
        <v/>
      </c>
      <c r="AO141" s="44" t="n"/>
      <c r="AP141" s="45" t="n"/>
      <c r="AQ141" s="47" t="inlineStr">
        <is>
          <t>C05-a tag替换为另一合法tag；C05-b 选择错误valid way</t>
        </is>
      </c>
      <c r="AR141" s="23" t="n"/>
      <c r="AS141" s="35">
        <f>IF(OR(Q141="",Q141=0),"",AR141/Q141)</f>
        <v/>
      </c>
      <c r="AT141" s="62" t="n">
        <v>30</v>
      </c>
      <c r="AU141" s="62" t="n">
        <v>385</v>
      </c>
      <c r="AV141" s="62" t="inlineStr">
        <is>
          <t>常规</t>
        </is>
      </c>
      <c r="AW141" s="62" t="inlineStr">
        <is>
          <t>累计至少385，不机械扩展到2401</t>
        </is>
      </c>
    </row>
    <row r="142" ht="94.15000000000001" customHeight="1" s="58">
      <c r="A142" s="21" t="inlineStr">
        <is>
          <t>C05-F6-W6</t>
        </is>
      </c>
      <c r="B142" s="21" t="inlineStr">
        <is>
          <t>C05</t>
        </is>
      </c>
      <c r="C142" s="21" t="inlineStr">
        <is>
          <t>L1d-Cache</t>
        </is>
      </c>
      <c r="D142" s="22" t="inlineStr">
        <is>
          <t>L1D 的 tag 比较结果与 way-select 数据选择器。tag 比较器产生命中向量，way-select 决定返回哪一路 data；模型保持候选 tag 合法，专门研究错选另一条有效 line 的后果。</t>
        </is>
      </c>
      <c r="E142" s="22" t="inlineStr">
        <is>
          <t>换值</t>
        </is>
      </c>
      <c r="F142"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2" s="22" t="inlineStr">
        <is>
          <t>F6</t>
        </is>
      </c>
      <c r="H142" s="22" t="inlineStr">
        <is>
          <t>首次出现指定事件时注入一次，如 TLB hit、SQ forward、dirty eviction、CAS 成功</t>
        </is>
      </c>
      <c r="I142" s="22" t="inlineStr">
        <is>
          <t>Cache-DirtyEvict 缓存探针（0.5×/1×/2×L1D working set、conflict set、dirty eviction、writeback）</t>
        </is>
      </c>
      <c r="J142" s="22" t="inlineStr">
        <is>
          <t>Cache-DirtyEvict 缓存探针（0.5×/1×/2×L1D working set、conflict set、dirty eviction、writeback）
执行定义与 oracle：working set=0.5×/1×/2×L1D；读改写、dirty eviction、writeback、conflict set、共享行 false sharing</t>
        </is>
      </c>
      <c r="K142" s="22" t="inlineStr">
        <is>
          <t>同set至少2条valid line</t>
        </is>
      </c>
      <c r="L142" s="22" t="inlineStr">
        <is>
          <t>L0 行/way是否被需求读或驱逐；L1 tag/data/valid/dirty/coherence/PLRU；L2 hit/miss/MSHR/merge/fill；L3 writeback与一致性消息；L4 load值/store可见性；L5结局；match vector、选中way、需求PA与line来源</t>
        </is>
      </c>
      <c r="M142" s="22" t="inlineStr">
        <is>
          <t>合法false hit把错误line数据送给load，预期SDC高于随机tag翻转</t>
        </is>
      </c>
      <c r="N142" s="22" t="inlineStr">
        <is>
          <t>绕开无效地址与自然miss防线</t>
        </is>
      </c>
      <c r="O142" s="22" t="inlineStr">
        <is>
          <t>本方案结构化模型</t>
        </is>
      </c>
      <c r="P142" s="23" t="n"/>
      <c r="Q142" s="23" t="n"/>
      <c r="R142" s="23" t="n"/>
      <c r="S142" s="23" t="n"/>
      <c r="T142" s="23" t="n"/>
      <c r="U142" s="23" t="n"/>
      <c r="V142" s="23" t="n"/>
      <c r="W142" s="23" t="n"/>
      <c r="X142" s="35">
        <f>IF(OR(R142="",R142-AP142&lt;=0),"",AB142/(R142-AP142))</f>
        <v/>
      </c>
      <c r="Y142" s="35">
        <f>IF(OR(AR142="",AR142=0),"",R142/AR142)</f>
        <v/>
      </c>
      <c r="Z142" s="24" t="inlineStr">
        <is>
          <t>待执行</t>
        </is>
      </c>
      <c r="AA142" s="23" t="n"/>
      <c r="AB142" s="38" t="n"/>
      <c r="AC142" s="38" t="n"/>
      <c r="AD142" s="38" t="n"/>
      <c r="AE142" s="38" t="n"/>
      <c r="AF142" s="38" t="n"/>
      <c r="AG142" s="38" t="n"/>
      <c r="AH142" s="38" t="n"/>
      <c r="AI142" s="38" t="n"/>
      <c r="AJ142" s="38" t="n"/>
      <c r="AK142" s="39" t="n"/>
      <c r="AL142" s="40">
        <f>IF(OR(R142="",R142-AP142&lt;=0),"",AO142/(R142-AP142))</f>
        <v/>
      </c>
      <c r="AM142" s="41">
        <f>IF(R142="","",SUM(AC142:AF142)-(R142-AP142))</f>
        <v/>
      </c>
      <c r="AN142" s="41">
        <f>IF(R142="","",SUM(S142:W142)+AP142-R142)</f>
        <v/>
      </c>
      <c r="AO142" s="44" t="n"/>
      <c r="AP142" s="45" t="n"/>
      <c r="AQ142" s="47" t="inlineStr">
        <is>
          <t>C05-a tag替换为另一合法tag；C05-b 选择错误valid way</t>
        </is>
      </c>
      <c r="AR142" s="23" t="n"/>
      <c r="AS142" s="35">
        <f>IF(OR(Q142="",Q142=0),"",AR142/Q142)</f>
        <v/>
      </c>
      <c r="AT142" s="62" t="n">
        <v>30</v>
      </c>
      <c r="AU142" s="62" t="n">
        <v>385</v>
      </c>
      <c r="AV142" s="62" t="inlineStr">
        <is>
          <t>常规</t>
        </is>
      </c>
      <c r="AW142" s="62" t="inlineStr">
        <is>
          <t>累计至少385，不机械扩展到2401</t>
        </is>
      </c>
    </row>
    <row r="143" ht="94.15000000000001" customHeight="1" s="58">
      <c r="A143" s="21" t="inlineStr">
        <is>
          <t>C06-F0-W6</t>
        </is>
      </c>
      <c r="B143" s="21" t="inlineStr">
        <is>
          <t>C06</t>
        </is>
      </c>
      <c r="C143" s="21" t="inlineStr">
        <is>
          <t>L1d-Cache</t>
        </is>
      </c>
      <c r="D143" s="22" t="inlineStr">
        <is>
          <t>L1D 每个 way 的 valid bit。valid=1 表示 tag/data 可参与命中，valid=0 表示该槽无效；清零通常只制造 miss，伪造有效则可能让残留 tag/data 形成 stale hit。</t>
        </is>
      </c>
      <c r="E143" s="22" t="inlineStr">
        <is>
          <t>状态</t>
        </is>
      </c>
      <c r="F143"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3" s="22" t="inlineStr">
        <is>
          <t>F0</t>
        </is>
      </c>
      <c r="H143" s="22" t="inlineStr">
        <is>
          <t>每次运行只注入 1 次；在 warm-up 后的 eligible event 中均匀抽样</t>
        </is>
      </c>
      <c r="I143" s="22" t="inlineStr">
        <is>
          <t>Cache-DirtyEvict 缓存探针（0.5×/1×/2×L1D working set、conflict set、dirty eviction、writeback）</t>
        </is>
      </c>
      <c r="J143" s="22" t="inlineStr">
        <is>
          <t>Cache-DirtyEvict 缓存探针（0.5×/1×/2×L1D working set、conflict set、dirty eviction、writeback）
执行定义与 oracle：working set=0.5×/1×/2×L1D；读改写、dirty eviction、writeback、conflict set、共享行 false sharing</t>
        </is>
      </c>
      <c r="K143" s="22" t="inlineStr">
        <is>
          <t>目标set访问</t>
        </is>
      </c>
      <c r="L143" s="22" t="inlineStr">
        <is>
          <t>L0 行/way是否被需求读或驱逐；L1 tag/data/valid/dirty/coherence/PLRU；L2 hit/miss/MSHR/merge/fill；L3 writeback与一致性消息；L4 load值/store可见性；L5结局；stale age、false hit、refill、自愈时间</t>
        </is>
      </c>
      <c r="M143" s="22" t="inlineStr">
        <is>
          <t>清零多为性能/重填；伪造valid可能读旧数据而SDC</t>
        </is>
      </c>
      <c r="N143" s="22" t="inlineStr">
        <is>
          <t>区分无害的额外miss与危险的stale hit</t>
        </is>
      </c>
      <c r="O143" s="22" t="inlineStr">
        <is>
          <t>IISWC'15覆盖valid类结构但未给独立结果</t>
        </is>
      </c>
      <c r="P143" s="23" t="n"/>
      <c r="Q143" s="23" t="n"/>
      <c r="R143" s="23" t="n"/>
      <c r="S143" s="23" t="n"/>
      <c r="T143" s="23" t="n"/>
      <c r="U143" s="23" t="n"/>
      <c r="V143" s="23" t="n"/>
      <c r="W143" s="23" t="n"/>
      <c r="X143" s="35">
        <f>IF(OR(R143="",R143-AP143&lt;=0),"",AB143/(R143-AP143))</f>
        <v/>
      </c>
      <c r="Y143" s="35">
        <f>IF(OR(AR143="",AR143=0),"",R143/AR143)</f>
        <v/>
      </c>
      <c r="Z143" s="24" t="inlineStr">
        <is>
          <t>待执行</t>
        </is>
      </c>
      <c r="AA143" s="23" t="n"/>
      <c r="AB143" s="38" t="n"/>
      <c r="AC143" s="38" t="n"/>
      <c r="AD143" s="38" t="n"/>
      <c r="AE143" s="38" t="n"/>
      <c r="AF143" s="38" t="n"/>
      <c r="AG143" s="38" t="n"/>
      <c r="AH143" s="38" t="n"/>
      <c r="AI143" s="38" t="n"/>
      <c r="AJ143" s="38" t="n"/>
      <c r="AK143" s="39" t="n"/>
      <c r="AL143" s="40">
        <f>IF(OR(R143="",R143-AP143&lt;=0),"",AO143/(R143-AP143))</f>
        <v/>
      </c>
      <c r="AM143" s="41">
        <f>IF(R143="","",SUM(AC143:AF143)-(R143-AP143))</f>
        <v/>
      </c>
      <c r="AN143" s="41">
        <f>IF(R143="","",SUM(S143:W143)+AP143-R143)</f>
        <v/>
      </c>
      <c r="AO143" s="44" t="n"/>
      <c r="AP143" s="45" t="n"/>
      <c r="AQ143" s="47" t="inlineStr">
        <is>
          <t>C06-a valid清零；C06-b valid伪置位</t>
        </is>
      </c>
      <c r="AR143" s="23" t="n"/>
      <c r="AS143" s="35">
        <f>IF(OR(Q143="",Q143=0),"",AR143/Q143)</f>
        <v/>
      </c>
      <c r="AT143" s="62" t="n">
        <v>30</v>
      </c>
      <c r="AU143" s="62" t="n">
        <v>385</v>
      </c>
      <c r="AV143" s="62" t="inlineStr">
        <is>
          <t>常规</t>
        </is>
      </c>
      <c r="AW143" s="62" t="inlineStr">
        <is>
          <t>累计至少385，不机械扩展到2401</t>
        </is>
      </c>
    </row>
    <row r="144" ht="94.15000000000001" customHeight="1" s="58">
      <c r="A144" s="21" t="inlineStr">
        <is>
          <t>C06-F2-W6</t>
        </is>
      </c>
      <c r="B144" s="21" t="inlineStr">
        <is>
          <t>C06</t>
        </is>
      </c>
      <c r="C144" s="21" t="inlineStr">
        <is>
          <t>L1d-Cache</t>
        </is>
      </c>
      <c r="D144" s="22" t="inlineStr">
        <is>
          <t>L1D 每个 way 的 valid bit。valid=1 表示 tag/data 可参与命中，valid=0 表示该槽无效；清零通常只制造 miss，伪造有效则可能让残留 tag/data 形成 stale hit。</t>
        </is>
      </c>
      <c r="E144" s="22" t="inlineStr">
        <is>
          <t>状态</t>
        </is>
      </c>
      <c r="F144"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4" s="22" t="inlineStr">
        <is>
          <t>F2</t>
        </is>
      </c>
      <c r="H144" s="22" t="inlineStr">
        <is>
          <t>平均每 100,000 个 eligible events 注入 1 次，间隔加入 ±50% 抖动</t>
        </is>
      </c>
      <c r="I144" s="22" t="inlineStr">
        <is>
          <t>Cache-DirtyEvict 缓存探针（0.5×/1×/2×L1D working set、conflict set、dirty eviction、writeback）</t>
        </is>
      </c>
      <c r="J144" s="22" t="inlineStr">
        <is>
          <t>Cache-DirtyEvict 缓存探针（0.5×/1×/2×L1D working set、conflict set、dirty eviction、writeback）
执行定义与 oracle：working set=0.5×/1×/2×L1D；读改写、dirty eviction、writeback、conflict set、共享行 false sharing</t>
        </is>
      </c>
      <c r="K144" s="22" t="inlineStr">
        <is>
          <t>目标set访问</t>
        </is>
      </c>
      <c r="L144" s="22" t="inlineStr">
        <is>
          <t>L0 行/way是否被需求读或驱逐；L1 tag/data/valid/dirty/coherence/PLRU；L2 hit/miss/MSHR/merge/fill；L3 writeback与一致性消息；L4 load值/store可见性；L5结局；stale age、false hit、refill、自愈时间</t>
        </is>
      </c>
      <c r="M144" s="22" t="inlineStr">
        <is>
          <t>清零多为性能/重填；伪造valid可能读旧数据而SDC</t>
        </is>
      </c>
      <c r="N144" s="22" t="inlineStr">
        <is>
          <t>区分无害的额外miss与危险的stale hit</t>
        </is>
      </c>
      <c r="O144" s="22" t="inlineStr">
        <is>
          <t>IISWC'15覆盖valid类结构但未给独立结果</t>
        </is>
      </c>
      <c r="P144" s="23" t="n"/>
      <c r="Q144" s="23" t="n"/>
      <c r="R144" s="23" t="n"/>
      <c r="S144" s="23" t="n"/>
      <c r="T144" s="23" t="n"/>
      <c r="U144" s="23" t="n"/>
      <c r="V144" s="23" t="n"/>
      <c r="W144" s="23" t="n"/>
      <c r="X144" s="35">
        <f>IF(OR(R144="",R144-AP144&lt;=0),"",AB144/(R144-AP144))</f>
        <v/>
      </c>
      <c r="Y144" s="35">
        <f>IF(OR(AR144="",AR144=0),"",R144/AR144)</f>
        <v/>
      </c>
      <c r="Z144" s="24" t="inlineStr">
        <is>
          <t>待执行</t>
        </is>
      </c>
      <c r="AA144" s="23" t="n"/>
      <c r="AB144" s="38" t="n"/>
      <c r="AC144" s="38" t="n"/>
      <c r="AD144" s="38" t="n"/>
      <c r="AE144" s="38" t="n"/>
      <c r="AF144" s="38" t="n"/>
      <c r="AG144" s="38" t="n"/>
      <c r="AH144" s="38" t="n"/>
      <c r="AI144" s="38" t="n"/>
      <c r="AJ144" s="38" t="n"/>
      <c r="AK144" s="39" t="n"/>
      <c r="AL144" s="40">
        <f>IF(OR(R144="",R144-AP144&lt;=0),"",AO144/(R144-AP144))</f>
        <v/>
      </c>
      <c r="AM144" s="41">
        <f>IF(R144="","",SUM(AC144:AF144)-(R144-AP144))</f>
        <v/>
      </c>
      <c r="AN144" s="41">
        <f>IF(R144="","",SUM(S144:W144)+AP144-R144)</f>
        <v/>
      </c>
      <c r="AO144" s="44" t="n"/>
      <c r="AP144" s="45" t="n"/>
      <c r="AQ144" s="47" t="inlineStr">
        <is>
          <t>C06-a valid清零；C06-b valid伪置位</t>
        </is>
      </c>
      <c r="AR144" s="23" t="n"/>
      <c r="AS144" s="35">
        <f>IF(OR(Q144="",Q144=0),"",AR144/Q144)</f>
        <v/>
      </c>
      <c r="AT144" s="62" t="n">
        <v>30</v>
      </c>
      <c r="AU144" s="62" t="n">
        <v>385</v>
      </c>
      <c r="AV144" s="62" t="inlineStr">
        <is>
          <t>常规</t>
        </is>
      </c>
      <c r="AW144" s="62" t="inlineStr">
        <is>
          <t>累计至少385，不机械扩展到2401</t>
        </is>
      </c>
    </row>
    <row r="145" ht="94.15000000000001" customHeight="1" s="58">
      <c r="A145" s="21" t="inlineStr">
        <is>
          <t>C06-F5-W6</t>
        </is>
      </c>
      <c r="B145" s="21" t="inlineStr">
        <is>
          <t>C06</t>
        </is>
      </c>
      <c r="C145" s="21" t="inlineStr">
        <is>
          <t>L1d-Cache</t>
        </is>
      </c>
      <c r="D145" s="22" t="inlineStr">
        <is>
          <t>L1D 每个 way 的 valid bit。valid=1 表示 tag/data 可参与命中，valid=0 表示该槽无效；清零通常只制造 miss，伪造有效则可能让残留 tag/data 形成 stale hit。</t>
        </is>
      </c>
      <c r="E145" s="22" t="inlineStr">
        <is>
          <t>状态</t>
        </is>
      </c>
      <c r="F145"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5" s="22" t="inlineStr">
        <is>
          <t>F5</t>
        </is>
      </c>
      <c r="H145" s="22" t="inlineStr">
        <is>
          <t>warm-up 后第一个 eligible event 起持续到运行结束；每次运行仅选一个 bit/字段</t>
        </is>
      </c>
      <c r="I145" s="22" t="inlineStr">
        <is>
          <t>Cache-DirtyEvict 缓存探针（0.5×/1×/2×L1D working set、conflict set、dirty eviction、writeback）</t>
        </is>
      </c>
      <c r="J145" s="22" t="inlineStr">
        <is>
          <t>Cache-DirtyEvict 缓存探针（0.5×/1×/2×L1D working set、conflict set、dirty eviction、writeback）
执行定义与 oracle：working set=0.5×/1×/2×L1D；读改写、dirty eviction、writeback、conflict set、共享行 false sharing</t>
        </is>
      </c>
      <c r="K145" s="22" t="inlineStr">
        <is>
          <t>目标set访问</t>
        </is>
      </c>
      <c r="L145" s="22" t="inlineStr">
        <is>
          <t>L0 行/way是否被需求读或驱逐；L1 tag/data/valid/dirty/coherence/PLRU；L2 hit/miss/MSHR/merge/fill；L3 writeback与一致性消息；L4 load值/store可见性；L5结局；stale age、false hit、refill、自愈时间</t>
        </is>
      </c>
      <c r="M145" s="22" t="inlineStr">
        <is>
          <t>清零多为性能/重填；伪造valid可能读旧数据而SDC</t>
        </is>
      </c>
      <c r="N145" s="22" t="inlineStr">
        <is>
          <t>区分无害的额外miss与危险的stale hit</t>
        </is>
      </c>
      <c r="O145" s="22" t="inlineStr">
        <is>
          <t>IISWC'15覆盖valid类结构但未给独立结果</t>
        </is>
      </c>
      <c r="P145" s="23" t="n"/>
      <c r="Q145" s="23" t="n"/>
      <c r="R145" s="23" t="n"/>
      <c r="S145" s="23" t="n"/>
      <c r="T145" s="23" t="n"/>
      <c r="U145" s="23" t="n"/>
      <c r="V145" s="23" t="n"/>
      <c r="W145" s="23" t="n"/>
      <c r="X145" s="35">
        <f>IF(OR(R145="",R145-AP145&lt;=0),"",AB145/(R145-AP145))</f>
        <v/>
      </c>
      <c r="Y145" s="35">
        <f>IF(OR(AR145="",AR145=0),"",R145/AR145)</f>
        <v/>
      </c>
      <c r="Z145" s="24" t="inlineStr">
        <is>
          <t>待执行</t>
        </is>
      </c>
      <c r="AA145" s="23" t="n"/>
      <c r="AB145" s="38" t="n"/>
      <c r="AC145" s="38" t="n"/>
      <c r="AD145" s="38" t="n"/>
      <c r="AE145" s="38" t="n"/>
      <c r="AF145" s="38" t="n"/>
      <c r="AG145" s="38" t="n"/>
      <c r="AH145" s="38" t="n"/>
      <c r="AI145" s="38" t="n"/>
      <c r="AJ145" s="38" t="n"/>
      <c r="AK145" s="39" t="n"/>
      <c r="AL145" s="40">
        <f>IF(OR(R145="",R145-AP145&lt;=0),"",AO145/(R145-AP145))</f>
        <v/>
      </c>
      <c r="AM145" s="41">
        <f>IF(R145="","",SUM(AC145:AF145)-(R145-AP145))</f>
        <v/>
      </c>
      <c r="AN145" s="41">
        <f>IF(R145="","",SUM(S145:W145)+AP145-R145)</f>
        <v/>
      </c>
      <c r="AO145" s="44" t="n"/>
      <c r="AP145" s="45" t="n"/>
      <c r="AQ145" s="47" t="inlineStr">
        <is>
          <t>C06-a valid清零；C06-b valid伪置位</t>
        </is>
      </c>
      <c r="AR145" s="23" t="n"/>
      <c r="AS145" s="35">
        <f>IF(OR(Q145="",Q145=0),"",AR145/Q145)</f>
        <v/>
      </c>
      <c r="AT145" s="62" t="n">
        <v>30</v>
      </c>
      <c r="AU145" s="62" t="n">
        <v>385</v>
      </c>
      <c r="AV145" s="62" t="inlineStr">
        <is>
          <t>常规</t>
        </is>
      </c>
      <c r="AW145" s="62" t="inlineStr">
        <is>
          <t>累计至少385，不机械扩展到2401</t>
        </is>
      </c>
    </row>
    <row r="146" ht="94.15000000000001" customHeight="1" s="58">
      <c r="A146" s="21" t="inlineStr">
        <is>
          <t>C07-F0-W6</t>
        </is>
      </c>
      <c r="B146" s="21" t="inlineStr">
        <is>
          <t>C07</t>
        </is>
      </c>
      <c r="C146" s="21" t="inlineStr">
        <is>
          <t>L1d-Cache</t>
        </is>
      </c>
      <c r="D146" s="22" t="inlineStr">
        <is>
          <t>L1D cache line 的 dirty bit。dirty=1 表示该行已被处理器修改、驱逐时必须写回下级；dirty 丢失会让最新数据被静默丢弃，伪造 dirty 会产生不必要写回。</t>
        </is>
      </c>
      <c r="E146" s="22" t="inlineStr">
        <is>
          <t>状态</t>
        </is>
      </c>
      <c r="F146"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6" s="22" t="inlineStr">
        <is>
          <t>F0</t>
        </is>
      </c>
      <c r="H146" s="22" t="inlineStr">
        <is>
          <t>每次运行只注入 1 次；在 warm-up 后的 eligible event 中均匀抽样</t>
        </is>
      </c>
      <c r="I146" s="22" t="inlineStr">
        <is>
          <t>Cache-DirtyEvict 缓存探针（0.5×/1×/2×L1D working set、conflict set、dirty eviction、writeback）</t>
        </is>
      </c>
      <c r="J146" s="22" t="inlineStr">
        <is>
          <t>Cache-DirtyEvict 缓存探针（0.5×/1×/2×L1D working set、conflict set、dirty eviction、writeback）
执行定义与 oracle：working set=0.5×/1×/2×L1D；读改写、dirty eviction、writeback、conflict set、共享行 false sharing</t>
        </is>
      </c>
      <c r="K146" s="22" t="inlineStr">
        <is>
          <t>dirty eviction</t>
        </is>
      </c>
      <c r="L146" s="22" t="inlineStr">
        <is>
          <t>L0 行/way是否被需求读或驱逐；L1 tag/data/valid/dirty/coherence/PLRU；L2 hit/miss/MSHR/merge/fill；L3 writeback与一致性消息；L4 load值/store可见性；L5结局；驱逐前后dirty、writeback地址/data、最终DRAM</t>
        </is>
      </c>
      <c r="M146" s="22" t="inlineStr">
        <is>
          <t>dirty丢失会在驱逐时静默丢写；伪造dirty通常多余写回/性能，写回地址错时才危险</t>
        </is>
      </c>
      <c r="N146" s="22" t="inlineStr">
        <is>
          <t>dirty位错误常有长潜伏期，必须观察到内存</t>
        </is>
      </c>
      <c r="O146" s="22" t="inlineStr">
        <is>
          <t>本方案结构化模型</t>
        </is>
      </c>
      <c r="P146" s="23" t="n"/>
      <c r="Q146" s="23" t="n"/>
      <c r="R146" s="23" t="n"/>
      <c r="S146" s="23" t="n"/>
      <c r="T146" s="23" t="n"/>
      <c r="U146" s="23" t="n"/>
      <c r="V146" s="23" t="n"/>
      <c r="W146" s="23" t="n"/>
      <c r="X146" s="35">
        <f>IF(OR(R146="",R146-AP146&lt;=0),"",AB146/(R146-AP146))</f>
        <v/>
      </c>
      <c r="Y146" s="35">
        <f>IF(OR(AR146="",AR146=0),"",R146/AR146)</f>
        <v/>
      </c>
      <c r="Z146" s="24" t="inlineStr">
        <is>
          <t>待执行</t>
        </is>
      </c>
      <c r="AA146" s="23" t="n"/>
      <c r="AB146" s="38" t="n"/>
      <c r="AC146" s="38" t="n"/>
      <c r="AD146" s="38" t="n"/>
      <c r="AE146" s="38" t="n"/>
      <c r="AF146" s="38" t="n"/>
      <c r="AG146" s="38" t="n"/>
      <c r="AH146" s="38" t="n"/>
      <c r="AI146" s="38" t="n"/>
      <c r="AJ146" s="38" t="n"/>
      <c r="AK146" s="39" t="n"/>
      <c r="AL146" s="40">
        <f>IF(OR(R146="",R146-AP146&lt;=0),"",AO146/(R146-AP146))</f>
        <v/>
      </c>
      <c r="AM146" s="41">
        <f>IF(R146="","",SUM(AC146:AF146)-(R146-AP146))</f>
        <v/>
      </c>
      <c r="AN146" s="41">
        <f>IF(R146="","",SUM(S146:W146)+AP146-R146)</f>
        <v/>
      </c>
      <c r="AO146" s="44" t="n"/>
      <c r="AP146" s="45" t="n"/>
      <c r="AQ146" s="47" t="inlineStr">
        <is>
          <t>C07-a dirty丢失；C07-b dirty伪置位</t>
        </is>
      </c>
      <c r="AR146" s="23" t="n"/>
      <c r="AS146" s="35">
        <f>IF(OR(Q146="",Q146=0),"",AR146/Q146)</f>
        <v/>
      </c>
      <c r="AT146" s="62" t="n">
        <v>30</v>
      </c>
      <c r="AU146" s="62" t="n">
        <v>385</v>
      </c>
      <c r="AV146" s="62" t="inlineStr">
        <is>
          <t>常规</t>
        </is>
      </c>
      <c r="AW146" s="62" t="inlineStr">
        <is>
          <t>累计至少385，不机械扩展到2401</t>
        </is>
      </c>
    </row>
    <row r="147" ht="94.15000000000001" customHeight="1" s="58">
      <c r="A147" s="21" t="inlineStr">
        <is>
          <t>C07-F2-W6</t>
        </is>
      </c>
      <c r="B147" s="21" t="inlineStr">
        <is>
          <t>C07</t>
        </is>
      </c>
      <c r="C147" s="21" t="inlineStr">
        <is>
          <t>L1d-Cache</t>
        </is>
      </c>
      <c r="D147" s="22" t="inlineStr">
        <is>
          <t>L1D cache line 的 dirty bit。dirty=1 表示该行已被处理器修改、驱逐时必须写回下级；dirty 丢失会让最新数据被静默丢弃，伪造 dirty 会产生不必要写回。</t>
        </is>
      </c>
      <c r="E147" s="22" t="inlineStr">
        <is>
          <t>状态</t>
        </is>
      </c>
      <c r="F147"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7" s="22" t="inlineStr">
        <is>
          <t>F2</t>
        </is>
      </c>
      <c r="H147" s="22" t="inlineStr">
        <is>
          <t>平均每 100,000 个 eligible events 注入 1 次，间隔加入 ±50% 抖动</t>
        </is>
      </c>
      <c r="I147" s="22" t="inlineStr">
        <is>
          <t>Cache-DirtyEvict 缓存探针（0.5×/1×/2×L1D working set、conflict set、dirty eviction、writeback）</t>
        </is>
      </c>
      <c r="J147" s="22" t="inlineStr">
        <is>
          <t>Cache-DirtyEvict 缓存探针（0.5×/1×/2×L1D working set、conflict set、dirty eviction、writeback）
执行定义与 oracle：working set=0.5×/1×/2×L1D；读改写、dirty eviction、writeback、conflict set、共享行 false sharing</t>
        </is>
      </c>
      <c r="K147" s="22" t="inlineStr">
        <is>
          <t>dirty eviction</t>
        </is>
      </c>
      <c r="L147" s="22" t="inlineStr">
        <is>
          <t>L0 行/way是否被需求读或驱逐；L1 tag/data/valid/dirty/coherence/PLRU；L2 hit/miss/MSHR/merge/fill；L3 writeback与一致性消息；L4 load值/store可见性；L5结局；驱逐前后dirty、writeback地址/data、最终DRAM</t>
        </is>
      </c>
      <c r="M147" s="22" t="inlineStr">
        <is>
          <t>dirty丢失会在驱逐时静默丢写；伪造dirty通常多余写回/性能，写回地址错时才危险</t>
        </is>
      </c>
      <c r="N147" s="22" t="inlineStr">
        <is>
          <t>dirty位错误常有长潜伏期，必须观察到内存</t>
        </is>
      </c>
      <c r="O147" s="22" t="inlineStr">
        <is>
          <t>本方案结构化模型</t>
        </is>
      </c>
      <c r="P147" s="23" t="n"/>
      <c r="Q147" s="23" t="n"/>
      <c r="R147" s="23" t="n"/>
      <c r="S147" s="23" t="n"/>
      <c r="T147" s="23" t="n"/>
      <c r="U147" s="23" t="n"/>
      <c r="V147" s="23" t="n"/>
      <c r="W147" s="23" t="n"/>
      <c r="X147" s="35">
        <f>IF(OR(R147="",R147-AP147&lt;=0),"",AB147/(R147-AP147))</f>
        <v/>
      </c>
      <c r="Y147" s="35">
        <f>IF(OR(AR147="",AR147=0),"",R147/AR147)</f>
        <v/>
      </c>
      <c r="Z147" s="24" t="inlineStr">
        <is>
          <t>待执行</t>
        </is>
      </c>
      <c r="AA147" s="23" t="n"/>
      <c r="AB147" s="38" t="n"/>
      <c r="AC147" s="38" t="n"/>
      <c r="AD147" s="38" t="n"/>
      <c r="AE147" s="38" t="n"/>
      <c r="AF147" s="38" t="n"/>
      <c r="AG147" s="38" t="n"/>
      <c r="AH147" s="38" t="n"/>
      <c r="AI147" s="38" t="n"/>
      <c r="AJ147" s="38" t="n"/>
      <c r="AK147" s="39" t="n"/>
      <c r="AL147" s="40">
        <f>IF(OR(R147="",R147-AP147&lt;=0),"",AO147/(R147-AP147))</f>
        <v/>
      </c>
      <c r="AM147" s="41">
        <f>IF(R147="","",SUM(AC147:AF147)-(R147-AP147))</f>
        <v/>
      </c>
      <c r="AN147" s="41">
        <f>IF(R147="","",SUM(S147:W147)+AP147-R147)</f>
        <v/>
      </c>
      <c r="AO147" s="44" t="n"/>
      <c r="AP147" s="45" t="n"/>
      <c r="AQ147" s="47" t="inlineStr">
        <is>
          <t>C07-a dirty丢失；C07-b dirty伪置位</t>
        </is>
      </c>
      <c r="AR147" s="23" t="n"/>
      <c r="AS147" s="35">
        <f>IF(OR(Q147="",Q147=0),"",AR147/Q147)</f>
        <v/>
      </c>
      <c r="AT147" s="62" t="n">
        <v>30</v>
      </c>
      <c r="AU147" s="62" t="n">
        <v>385</v>
      </c>
      <c r="AV147" s="62" t="inlineStr">
        <is>
          <t>常规</t>
        </is>
      </c>
      <c r="AW147" s="62" t="inlineStr">
        <is>
          <t>累计至少385，不机械扩展到2401</t>
        </is>
      </c>
    </row>
    <row r="148" ht="94.15000000000001" customHeight="1" s="58">
      <c r="A148" s="21" t="inlineStr">
        <is>
          <t>C07-F5-W6</t>
        </is>
      </c>
      <c r="B148" s="21" t="inlineStr">
        <is>
          <t>C07</t>
        </is>
      </c>
      <c r="C148" s="21" t="inlineStr">
        <is>
          <t>L1d-Cache</t>
        </is>
      </c>
      <c r="D148" s="22" t="inlineStr">
        <is>
          <t>L1D cache line 的 dirty bit。dirty=1 表示该行已被处理器修改、驱逐时必须写回下级；dirty 丢失会让最新数据被静默丢弃，伪造 dirty 会产生不必要写回。</t>
        </is>
      </c>
      <c r="E148" s="22" t="inlineStr">
        <is>
          <t>状态</t>
        </is>
      </c>
      <c r="F148"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8" s="22" t="inlineStr">
        <is>
          <t>F5</t>
        </is>
      </c>
      <c r="H148" s="22" t="inlineStr">
        <is>
          <t>warm-up 后第一个 eligible event 起持续到运行结束；每次运行仅选一个 bit/字段</t>
        </is>
      </c>
      <c r="I148" s="22" t="inlineStr">
        <is>
          <t>Cache-DirtyEvict 缓存探针（0.5×/1×/2×L1D working set、conflict set、dirty eviction、writeback）</t>
        </is>
      </c>
      <c r="J148" s="22" t="inlineStr">
        <is>
          <t>Cache-DirtyEvict 缓存探针（0.5×/1×/2×L1D working set、conflict set、dirty eviction、writeback）
执行定义与 oracle：working set=0.5×/1×/2×L1D；读改写、dirty eviction、writeback、conflict set、共享行 false sharing</t>
        </is>
      </c>
      <c r="K148" s="22" t="inlineStr">
        <is>
          <t>dirty eviction</t>
        </is>
      </c>
      <c r="L148" s="22" t="inlineStr">
        <is>
          <t>L0 行/way是否被需求读或驱逐；L1 tag/data/valid/dirty/coherence/PLRU；L2 hit/miss/MSHR/merge/fill；L3 writeback与一致性消息；L4 load值/store可见性；L5结局；驱逐前后dirty、writeback地址/data、最终DRAM</t>
        </is>
      </c>
      <c r="M148" s="22" t="inlineStr">
        <is>
          <t>dirty丢失会在驱逐时静默丢写；伪造dirty通常多余写回/性能，写回地址错时才危险</t>
        </is>
      </c>
      <c r="N148" s="22" t="inlineStr">
        <is>
          <t>dirty位错误常有长潜伏期，必须观察到内存</t>
        </is>
      </c>
      <c r="O148" s="22" t="inlineStr">
        <is>
          <t>本方案结构化模型</t>
        </is>
      </c>
      <c r="P148" s="23" t="n"/>
      <c r="Q148" s="23" t="n"/>
      <c r="R148" s="23" t="n"/>
      <c r="S148" s="23" t="n"/>
      <c r="T148" s="23" t="n"/>
      <c r="U148" s="23" t="n"/>
      <c r="V148" s="23" t="n"/>
      <c r="W148" s="23" t="n"/>
      <c r="X148" s="35">
        <f>IF(OR(R148="",R148-AP148&lt;=0),"",AB148/(R148-AP148))</f>
        <v/>
      </c>
      <c r="Y148" s="35">
        <f>IF(OR(AR148="",AR148=0),"",R148/AR148)</f>
        <v/>
      </c>
      <c r="Z148" s="24" t="inlineStr">
        <is>
          <t>待执行</t>
        </is>
      </c>
      <c r="AA148" s="23" t="n"/>
      <c r="AB148" s="38" t="n"/>
      <c r="AC148" s="38" t="n"/>
      <c r="AD148" s="38" t="n"/>
      <c r="AE148" s="38" t="n"/>
      <c r="AF148" s="38" t="n"/>
      <c r="AG148" s="38" t="n"/>
      <c r="AH148" s="38" t="n"/>
      <c r="AI148" s="38" t="n"/>
      <c r="AJ148" s="38" t="n"/>
      <c r="AK148" s="39" t="n"/>
      <c r="AL148" s="40">
        <f>IF(OR(R148="",R148-AP148&lt;=0),"",AO148/(R148-AP148))</f>
        <v/>
      </c>
      <c r="AM148" s="41">
        <f>IF(R148="","",SUM(AC148:AF148)-(R148-AP148))</f>
        <v/>
      </c>
      <c r="AN148" s="41">
        <f>IF(R148="","",SUM(S148:W148)+AP148-R148)</f>
        <v/>
      </c>
      <c r="AO148" s="44" t="n"/>
      <c r="AP148" s="45" t="n"/>
      <c r="AQ148" s="47" t="inlineStr">
        <is>
          <t>C07-a dirty丢失；C07-b dirty伪置位</t>
        </is>
      </c>
      <c r="AR148" s="23" t="n"/>
      <c r="AS148" s="35">
        <f>IF(OR(Q148="",Q148=0),"",AR148/Q148)</f>
        <v/>
      </c>
      <c r="AT148" s="62" t="n">
        <v>30</v>
      </c>
      <c r="AU148" s="62" t="n">
        <v>385</v>
      </c>
      <c r="AV148" s="62" t="inlineStr">
        <is>
          <t>常规</t>
        </is>
      </c>
      <c r="AW148" s="62" t="inlineStr">
        <is>
          <t>累计至少385，不机械扩展到2401</t>
        </is>
      </c>
    </row>
    <row r="149" ht="94.15000000000001" customHeight="1" s="58">
      <c r="A149" s="21" t="inlineStr">
        <is>
          <t>C07-F6-W6</t>
        </is>
      </c>
      <c r="B149" s="21" t="inlineStr">
        <is>
          <t>C07</t>
        </is>
      </c>
      <c r="C149" s="21" t="inlineStr">
        <is>
          <t>L1d-Cache</t>
        </is>
      </c>
      <c r="D149" s="22" t="inlineStr">
        <is>
          <t>L1D cache line 的 dirty bit。dirty=1 表示该行已被处理器修改、驱逐时必须写回下级；dirty 丢失会让最新数据被静默丢弃，伪造 dirty 会产生不必要写回。</t>
        </is>
      </c>
      <c r="E149" s="22" t="inlineStr">
        <is>
          <t>状态</t>
        </is>
      </c>
      <c r="F149"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9" s="22" t="inlineStr">
        <is>
          <t>F6</t>
        </is>
      </c>
      <c r="H149" s="22" t="inlineStr">
        <is>
          <t>首次出现指定事件时注入一次，如 TLB hit、SQ forward、dirty eviction、CAS 成功</t>
        </is>
      </c>
      <c r="I149" s="22" t="inlineStr">
        <is>
          <t>Cache-DirtyEvict 缓存探针（0.5×/1×/2×L1D working set、conflict set、dirty eviction、writeback）</t>
        </is>
      </c>
      <c r="J149" s="22" t="inlineStr">
        <is>
          <t>Cache-DirtyEvict 缓存探针（0.5×/1×/2×L1D working set、conflict set、dirty eviction、writeback）
执行定义与 oracle：working set=0.5×/1×/2×L1D；读改写、dirty eviction、writeback、conflict set、共享行 false sharing</t>
        </is>
      </c>
      <c r="K149" s="22" t="inlineStr">
        <is>
          <t>dirty eviction</t>
        </is>
      </c>
      <c r="L149" s="22" t="inlineStr">
        <is>
          <t>L0 行/way是否被需求读或驱逐；L1 tag/data/valid/dirty/coherence/PLRU；L2 hit/miss/MSHR/merge/fill；L3 writeback与一致性消息；L4 load值/store可见性；L5结局；驱逐前后dirty、writeback地址/data、最终DRAM</t>
        </is>
      </c>
      <c r="M149" s="22" t="inlineStr">
        <is>
          <t>dirty丢失会在驱逐时静默丢写；伪造dirty通常多余写回/性能，写回地址错时才危险</t>
        </is>
      </c>
      <c r="N149" s="22" t="inlineStr">
        <is>
          <t>dirty位错误常有长潜伏期，必须观察到内存</t>
        </is>
      </c>
      <c r="O149" s="22" t="inlineStr">
        <is>
          <t>本方案结构化模型</t>
        </is>
      </c>
      <c r="P149" s="23" t="n"/>
      <c r="Q149" s="23" t="n"/>
      <c r="R149" s="23" t="n"/>
      <c r="S149" s="23" t="n"/>
      <c r="T149" s="23" t="n"/>
      <c r="U149" s="23" t="n"/>
      <c r="V149" s="23" t="n"/>
      <c r="W149" s="23" t="n"/>
      <c r="X149" s="35">
        <f>IF(OR(R149="",R149-AP149&lt;=0),"",AB149/(R149-AP149))</f>
        <v/>
      </c>
      <c r="Y149" s="35">
        <f>IF(OR(AR149="",AR149=0),"",R149/AR149)</f>
        <v/>
      </c>
      <c r="Z149" s="24" t="inlineStr">
        <is>
          <t>待执行</t>
        </is>
      </c>
      <c r="AA149" s="23" t="n"/>
      <c r="AB149" s="38" t="n"/>
      <c r="AC149" s="38" t="n"/>
      <c r="AD149" s="38" t="n"/>
      <c r="AE149" s="38" t="n"/>
      <c r="AF149" s="38" t="n"/>
      <c r="AG149" s="38" t="n"/>
      <c r="AH149" s="38" t="n"/>
      <c r="AI149" s="38" t="n"/>
      <c r="AJ149" s="38" t="n"/>
      <c r="AK149" s="39" t="n"/>
      <c r="AL149" s="40">
        <f>IF(OR(R149="",R149-AP149&lt;=0),"",AO149/(R149-AP149))</f>
        <v/>
      </c>
      <c r="AM149" s="41">
        <f>IF(R149="","",SUM(AC149:AF149)-(R149-AP149))</f>
        <v/>
      </c>
      <c r="AN149" s="41">
        <f>IF(R149="","",SUM(S149:W149)+AP149-R149)</f>
        <v/>
      </c>
      <c r="AO149" s="44" t="n"/>
      <c r="AP149" s="45" t="n"/>
      <c r="AQ149" s="47" t="inlineStr">
        <is>
          <t>C07-a dirty丢失；C07-b dirty伪置位</t>
        </is>
      </c>
      <c r="AR149" s="23" t="n"/>
      <c r="AS149" s="35">
        <f>IF(OR(Q149="",Q149=0),"",AR149/Q149)</f>
        <v/>
      </c>
      <c r="AT149" s="62" t="n">
        <v>30</v>
      </c>
      <c r="AU149" s="62" t="n">
        <v>385</v>
      </c>
      <c r="AV149" s="62" t="inlineStr">
        <is>
          <t>常规</t>
        </is>
      </c>
      <c r="AW149" s="62" t="inlineStr">
        <is>
          <t>累计至少385，不机械扩展到2401</t>
        </is>
      </c>
    </row>
    <row r="150" ht="94.15000000000001" customHeight="1" s="58">
      <c r="A150" s="21" t="inlineStr">
        <is>
          <t>C08-F0-W6</t>
        </is>
      </c>
      <c r="B150" s="21" t="inlineStr">
        <is>
          <t>C08</t>
        </is>
      </c>
      <c r="C150" s="21" t="inlineStr">
        <is>
          <t>L1d-Cache</t>
        </is>
      </c>
      <c r="D150" s="22" t="inlineStr">
        <is>
          <t>L1D cache line 的 coherence state（如 M/E/S/I）及所有权信息。它描述本核是否拥有可写副本、其他核是否可能共享；错误状态可能漏掉 invalidation、保留陈旧副本或形成多个写者。</t>
        </is>
      </c>
      <c r="E150" s="22" t="inlineStr">
        <is>
          <t>换值</t>
        </is>
      </c>
      <c r="F150"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0" s="22" t="inlineStr">
        <is>
          <t>F0</t>
        </is>
      </c>
      <c r="H150" s="22" t="inlineStr">
        <is>
          <t>每次运行只注入 1 次；在 warm-up 后的 eligible event 中均匀抽样</t>
        </is>
      </c>
      <c r="I150" s="22" t="inlineStr">
        <is>
          <t>Cache-DirtyEvict 缓存探针（0.5×/1×/2×L1D working set、conflict set、dirty eviction、writeback）</t>
        </is>
      </c>
      <c r="J150" s="22" t="inlineStr">
        <is>
          <t>Cache-DirtyEvict 缓存探针（0.5×/1×/2×L1D working set、conflict set、dirty eviction、writeback）
执行定义与 oracle：working set=0.5×/1×/2×L1D；读改写、dirty eviction、writeback、conflict set、共享行 false sharing</t>
        </is>
      </c>
      <c r="K150" s="22" t="inlineStr">
        <is>
          <t>共享行或snoop</t>
        </is>
      </c>
      <c r="L150" s="22" t="inlineStr">
        <is>
          <t>L0 行/way是否被需求读或驱逐；L1 tag/data/valid/dirty/coherence/PLRU；L2 hit/miss/MSHR/merge/fill；L3 writeback与一致性消息；L4 load值/store可见性；L5结局；snoop、owner/sharer、失效ack、跨核读值</t>
        </is>
      </c>
      <c r="M150" s="22" t="inlineStr">
        <is>
          <t>单核多为额外miss；多核可能读旧值、漏失效或双写者，SDC/一致性违规风险高</t>
        </is>
      </c>
      <c r="N150" s="22" t="inlineStr">
        <is>
          <t>缓存正确性不仅是tag/data，还依赖一致性状态</t>
        </is>
      </c>
      <c r="O150" s="22" t="inlineStr">
        <is>
          <t>无直接本地论文结果</t>
        </is>
      </c>
      <c r="P150" s="23" t="n"/>
      <c r="Q150" s="23" t="n"/>
      <c r="R150" s="23" t="n"/>
      <c r="S150" s="23" t="n"/>
      <c r="T150" s="23" t="n"/>
      <c r="U150" s="23" t="n"/>
      <c r="V150" s="23" t="n"/>
      <c r="W150" s="23" t="n"/>
      <c r="X150" s="35">
        <f>IF(OR(R150="",R150-AP150&lt;=0),"",AB150/(R150-AP150))</f>
        <v/>
      </c>
      <c r="Y150" s="35">
        <f>IF(OR(AR150="",AR150=0),"",R150/AR150)</f>
        <v/>
      </c>
      <c r="Z150" s="24" t="inlineStr">
        <is>
          <t>待执行</t>
        </is>
      </c>
      <c r="AA150" s="23" t="n"/>
      <c r="AB150" s="38" t="n"/>
      <c r="AC150" s="38" t="n"/>
      <c r="AD150" s="38" t="n"/>
      <c r="AE150" s="38" t="n"/>
      <c r="AF150" s="38" t="n"/>
      <c r="AG150" s="38" t="n"/>
      <c r="AH150" s="38" t="n"/>
      <c r="AI150" s="38" t="n"/>
      <c r="AJ150" s="38" t="n"/>
      <c r="AK150" s="39" t="n"/>
      <c r="AL150" s="40">
        <f>IF(OR(R150="",R150-AP150&lt;=0),"",AO150/(R150-AP150))</f>
        <v/>
      </c>
      <c r="AM150" s="41">
        <f>IF(R150="","",SUM(AC150:AF150)-(R150-AP150))</f>
        <v/>
      </c>
      <c r="AN150" s="41">
        <f>IF(R150="","",SUM(S150:W150)+AP150-R150)</f>
        <v/>
      </c>
      <c r="AO150" s="44" t="n"/>
      <c r="AP150" s="45" t="n"/>
      <c r="AQ150" s="47" t="inlineStr">
        <is>
          <t>C08-a MESI状态替换为另一合法状态</t>
        </is>
      </c>
      <c r="AR150" s="23" t="n"/>
      <c r="AS150" s="35">
        <f>IF(OR(Q150="",Q150=0),"",AR150/Q150)</f>
        <v/>
      </c>
      <c r="AT150" s="62" t="n">
        <v>30</v>
      </c>
      <c r="AU150" s="62" t="n">
        <v>385</v>
      </c>
      <c r="AV150" s="62" t="inlineStr">
        <is>
          <t>常规</t>
        </is>
      </c>
      <c r="AW150" s="62" t="inlineStr">
        <is>
          <t>累计至少385，不机械扩展到2401</t>
        </is>
      </c>
    </row>
    <row r="151" ht="94.15000000000001" customHeight="1" s="58">
      <c r="A151" s="21" t="inlineStr">
        <is>
          <t>C08-F0-W7</t>
        </is>
      </c>
      <c r="B151" s="21" t="inlineStr">
        <is>
          <t>C08</t>
        </is>
      </c>
      <c r="C151" s="21" t="inlineStr">
        <is>
          <t>L1d-Cache</t>
        </is>
      </c>
      <c r="D151" s="22" t="inlineStr">
        <is>
          <t>L1D cache line 的 coherence state（如 M/E/S/I）及所有权信息。它描述本核是否拥有可写副本、其他核是否可能共享；错误状态可能漏掉 invalidation、保留陈旧副本或形成多个写者。</t>
        </is>
      </c>
      <c r="E151" s="22" t="inlineStr">
        <is>
          <t>换值</t>
        </is>
      </c>
      <c r="F151"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1" s="22" t="inlineStr">
        <is>
          <t>F0</t>
        </is>
      </c>
      <c r="H151" s="22" t="inlineStr">
        <is>
          <t>每次运行只注入 1 次；在 warm-up 后的 eligible event 中均匀抽样</t>
        </is>
      </c>
      <c r="I151" s="22" t="inlineStr">
        <is>
          <t>Atomic-Litmus 并发探针（MP、SB、LB、IRIW、Dekker、ticket lock、CAS counter、LDXR/STXR）</t>
        </is>
      </c>
      <c r="J151" s="22" t="inlineStr">
        <is>
          <t>Atomic-Litmus 并发探针（MP、SB、LB、IRIW、Dekker、ticket lock、CAS counter、LDXR/STXR）
执行定义与 oracle：MP、SB、LB、IRIW、Dekker、ticket lock、CAS counter、LDXR/STXR 竞争；每轮检查禁出现结果</t>
        </is>
      </c>
      <c r="K151" s="22" t="inlineStr">
        <is>
          <t>共享行或snoop</t>
        </is>
      </c>
      <c r="L151" s="22" t="inlineStr">
        <is>
          <t>L0 行/way是否被需求读或驱逐；L1 tag/data/valid/dirty/coherence/PLRU；L2 hit/miss/MSHR/merge/fill；L3 writeback与一致性消息；L4 load值/store可见性；L5结局；snoop、owner/sharer、失效ack、跨核读值</t>
        </is>
      </c>
      <c r="M151" s="22" t="inlineStr">
        <is>
          <t>单核多为额外miss；多核可能读旧值、漏失效或双写者，SDC/一致性违规风险高</t>
        </is>
      </c>
      <c r="N151" s="22" t="inlineStr">
        <is>
          <t>缓存正确性不仅是tag/data，还依赖一致性状态</t>
        </is>
      </c>
      <c r="O151" s="22" t="inlineStr">
        <is>
          <t>无直接本地论文结果</t>
        </is>
      </c>
      <c r="P151" s="23" t="n"/>
      <c r="Q151" s="23" t="n"/>
      <c r="R151" s="23" t="n"/>
      <c r="S151" s="23" t="n"/>
      <c r="T151" s="23" t="n"/>
      <c r="U151" s="23" t="n"/>
      <c r="V151" s="23" t="n"/>
      <c r="W151" s="23" t="n"/>
      <c r="X151" s="35">
        <f>IF(OR(R151="",R151-AP151&lt;=0),"",AB151/(R151-AP151))</f>
        <v/>
      </c>
      <c r="Y151" s="35">
        <f>IF(OR(AR151="",AR151=0),"",R151/AR151)</f>
        <v/>
      </c>
      <c r="Z151" s="24" t="inlineStr">
        <is>
          <t>待执行</t>
        </is>
      </c>
      <c r="AA151" s="23" t="n"/>
      <c r="AB151" s="38" t="n"/>
      <c r="AC151" s="38" t="n"/>
      <c r="AD151" s="38" t="n"/>
      <c r="AE151" s="38" t="n"/>
      <c r="AF151" s="38" t="n"/>
      <c r="AG151" s="38" t="n"/>
      <c r="AH151" s="38" t="n"/>
      <c r="AI151" s="38" t="n"/>
      <c r="AJ151" s="38" t="n"/>
      <c r="AK151" s="39" t="n"/>
      <c r="AL151" s="40">
        <f>IF(OR(R151="",R151-AP151&lt;=0),"",AO151/(R151-AP151))</f>
        <v/>
      </c>
      <c r="AM151" s="41">
        <f>IF(R151="","",SUM(AC151:AF151)-(R151-AP151))</f>
        <v/>
      </c>
      <c r="AN151" s="41">
        <f>IF(R151="","",SUM(S151:W151)+AP151-R151)</f>
        <v/>
      </c>
      <c r="AO151" s="44" t="n"/>
      <c r="AP151" s="45" t="n"/>
      <c r="AQ151" s="47" t="inlineStr">
        <is>
          <t>C08-a MESI状态替换为另一合法状态</t>
        </is>
      </c>
      <c r="AR151" s="23" t="n"/>
      <c r="AS151" s="35">
        <f>IF(OR(Q151="",Q151=0),"",AR151/Q151)</f>
        <v/>
      </c>
      <c r="AT151" s="62" t="n">
        <v>30</v>
      </c>
      <c r="AU151" s="62" t="n">
        <v>385</v>
      </c>
      <c r="AV151" s="62" t="inlineStr">
        <is>
          <t>常规</t>
        </is>
      </c>
      <c r="AW151" s="62" t="inlineStr">
        <is>
          <t>累计至少385，不机械扩展到2401</t>
        </is>
      </c>
    </row>
    <row r="152" ht="94.15000000000001" customHeight="1" s="58">
      <c r="A152" s="21" t="inlineStr">
        <is>
          <t>C08-F2-W6</t>
        </is>
      </c>
      <c r="B152" s="21" t="inlineStr">
        <is>
          <t>C08</t>
        </is>
      </c>
      <c r="C152" s="21" t="inlineStr">
        <is>
          <t>L1d-Cache</t>
        </is>
      </c>
      <c r="D152" s="22" t="inlineStr">
        <is>
          <t>L1D cache line 的 coherence state（如 M/E/S/I）及所有权信息。它描述本核是否拥有可写副本、其他核是否可能共享；错误状态可能漏掉 invalidation、保留陈旧副本或形成多个写者。</t>
        </is>
      </c>
      <c r="E152" s="22" t="inlineStr">
        <is>
          <t>换值</t>
        </is>
      </c>
      <c r="F152"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2" s="22" t="inlineStr">
        <is>
          <t>F2</t>
        </is>
      </c>
      <c r="H152" s="22" t="inlineStr">
        <is>
          <t>平均每 100,000 个 eligible events 注入 1 次，间隔加入 ±50% 抖动</t>
        </is>
      </c>
      <c r="I152" s="22" t="inlineStr">
        <is>
          <t>Cache-DirtyEvict 缓存探针（0.5×/1×/2×L1D working set、conflict set、dirty eviction、writeback）</t>
        </is>
      </c>
      <c r="J152" s="22" t="inlineStr">
        <is>
          <t>Cache-DirtyEvict 缓存探针（0.5×/1×/2×L1D working set、conflict set、dirty eviction、writeback）
执行定义与 oracle：working set=0.5×/1×/2×L1D；读改写、dirty eviction、writeback、conflict set、共享行 false sharing</t>
        </is>
      </c>
      <c r="K152" s="22" t="inlineStr">
        <is>
          <t>共享行或snoop</t>
        </is>
      </c>
      <c r="L152" s="22" t="inlineStr">
        <is>
          <t>L0 行/way是否被需求读或驱逐；L1 tag/data/valid/dirty/coherence/PLRU；L2 hit/miss/MSHR/merge/fill；L3 writeback与一致性消息；L4 load值/store可见性；L5结局；snoop、owner/sharer、失效ack、跨核读值</t>
        </is>
      </c>
      <c r="M152" s="22" t="inlineStr">
        <is>
          <t>单核多为额外miss；多核可能读旧值、漏失效或双写者，SDC/一致性违规风险高</t>
        </is>
      </c>
      <c r="N152" s="22" t="inlineStr">
        <is>
          <t>缓存正确性不仅是tag/data，还依赖一致性状态</t>
        </is>
      </c>
      <c r="O152" s="22" t="inlineStr">
        <is>
          <t>无直接本地论文结果</t>
        </is>
      </c>
      <c r="P152" s="23" t="n"/>
      <c r="Q152" s="23" t="n"/>
      <c r="R152" s="23" t="n"/>
      <c r="S152" s="23" t="n"/>
      <c r="T152" s="23" t="n"/>
      <c r="U152" s="23" t="n"/>
      <c r="V152" s="23" t="n"/>
      <c r="W152" s="23" t="n"/>
      <c r="X152" s="35">
        <f>IF(OR(R152="",R152-AP152&lt;=0),"",AB152/(R152-AP152))</f>
        <v/>
      </c>
      <c r="Y152" s="35">
        <f>IF(OR(AR152="",AR152=0),"",R152/AR152)</f>
        <v/>
      </c>
      <c r="Z152" s="24" t="inlineStr">
        <is>
          <t>待执行</t>
        </is>
      </c>
      <c r="AA152" s="23" t="n"/>
      <c r="AB152" s="38" t="n"/>
      <c r="AC152" s="38" t="n"/>
      <c r="AD152" s="38" t="n"/>
      <c r="AE152" s="38" t="n"/>
      <c r="AF152" s="38" t="n"/>
      <c r="AG152" s="38" t="n"/>
      <c r="AH152" s="38" t="n"/>
      <c r="AI152" s="38" t="n"/>
      <c r="AJ152" s="38" t="n"/>
      <c r="AK152" s="39" t="n"/>
      <c r="AL152" s="40">
        <f>IF(OR(R152="",R152-AP152&lt;=0),"",AO152/(R152-AP152))</f>
        <v/>
      </c>
      <c r="AM152" s="41">
        <f>IF(R152="","",SUM(AC152:AF152)-(R152-AP152))</f>
        <v/>
      </c>
      <c r="AN152" s="41">
        <f>IF(R152="","",SUM(S152:W152)+AP152-R152)</f>
        <v/>
      </c>
      <c r="AO152" s="44" t="n"/>
      <c r="AP152" s="45" t="n"/>
      <c r="AQ152" s="47" t="inlineStr">
        <is>
          <t>C08-a MESI状态替换为另一合法状态</t>
        </is>
      </c>
      <c r="AR152" s="23" t="n"/>
      <c r="AS152" s="35">
        <f>IF(OR(Q152="",Q152=0),"",AR152/Q152)</f>
        <v/>
      </c>
      <c r="AT152" s="62" t="n">
        <v>30</v>
      </c>
      <c r="AU152" s="62" t="n">
        <v>385</v>
      </c>
      <c r="AV152" s="62" t="inlineStr">
        <is>
          <t>常规</t>
        </is>
      </c>
      <c r="AW152" s="62" t="inlineStr">
        <is>
          <t>累计至少385，不机械扩展到2401</t>
        </is>
      </c>
    </row>
    <row r="153" ht="94.15000000000001" customHeight="1" s="58">
      <c r="A153" s="21" t="inlineStr">
        <is>
          <t>C08-F2-W7</t>
        </is>
      </c>
      <c r="B153" s="21" t="inlineStr">
        <is>
          <t>C08</t>
        </is>
      </c>
      <c r="C153" s="21" t="inlineStr">
        <is>
          <t>L1d-Cache</t>
        </is>
      </c>
      <c r="D153" s="22" t="inlineStr">
        <is>
          <t>L1D cache line 的 coherence state（如 M/E/S/I）及所有权信息。它描述本核是否拥有可写副本、其他核是否可能共享；错误状态可能漏掉 invalidation、保留陈旧副本或形成多个写者。</t>
        </is>
      </c>
      <c r="E153" s="22" t="inlineStr">
        <is>
          <t>换值</t>
        </is>
      </c>
      <c r="F153"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3" s="22" t="inlineStr">
        <is>
          <t>F2</t>
        </is>
      </c>
      <c r="H153" s="22" t="inlineStr">
        <is>
          <t>平均每 100,000 个 eligible events 注入 1 次，间隔加入 ±50% 抖动</t>
        </is>
      </c>
      <c r="I153" s="22" t="inlineStr">
        <is>
          <t>Atomic-Litmus 并发探针（MP、SB、LB、IRIW、Dekker、ticket lock、CAS counter、LDXR/STXR）</t>
        </is>
      </c>
      <c r="J153" s="22" t="inlineStr">
        <is>
          <t>Atomic-Litmus 并发探针（MP、SB、LB、IRIW、Dekker、ticket lock、CAS counter、LDXR/STXR）
执行定义与 oracle：MP、SB、LB、IRIW、Dekker、ticket lock、CAS counter、LDXR/STXR 竞争；每轮检查禁出现结果</t>
        </is>
      </c>
      <c r="K153" s="22" t="inlineStr">
        <is>
          <t>共享行或snoop</t>
        </is>
      </c>
      <c r="L153" s="22" t="inlineStr">
        <is>
          <t>L0 行/way是否被需求读或驱逐；L1 tag/data/valid/dirty/coherence/PLRU；L2 hit/miss/MSHR/merge/fill；L3 writeback与一致性消息；L4 load值/store可见性；L5结局；snoop、owner/sharer、失效ack、跨核读值</t>
        </is>
      </c>
      <c r="M153" s="22" t="inlineStr">
        <is>
          <t>单核多为额外miss；多核可能读旧值、漏失效或双写者，SDC/一致性违规风险高</t>
        </is>
      </c>
      <c r="N153" s="22" t="inlineStr">
        <is>
          <t>缓存正确性不仅是tag/data，还依赖一致性状态</t>
        </is>
      </c>
      <c r="O153" s="22" t="inlineStr">
        <is>
          <t>无直接本地论文结果</t>
        </is>
      </c>
      <c r="P153" s="23" t="n"/>
      <c r="Q153" s="23" t="n"/>
      <c r="R153" s="23" t="n"/>
      <c r="S153" s="23" t="n"/>
      <c r="T153" s="23" t="n"/>
      <c r="U153" s="23" t="n"/>
      <c r="V153" s="23" t="n"/>
      <c r="W153" s="23" t="n"/>
      <c r="X153" s="35">
        <f>IF(OR(R153="",R153-AP153&lt;=0),"",AB153/(R153-AP153))</f>
        <v/>
      </c>
      <c r="Y153" s="35">
        <f>IF(OR(AR153="",AR153=0),"",R153/AR153)</f>
        <v/>
      </c>
      <c r="Z153" s="24" t="inlineStr">
        <is>
          <t>待执行</t>
        </is>
      </c>
      <c r="AA153" s="23" t="n"/>
      <c r="AB153" s="38" t="n"/>
      <c r="AC153" s="38" t="n"/>
      <c r="AD153" s="38" t="n"/>
      <c r="AE153" s="38" t="n"/>
      <c r="AF153" s="38" t="n"/>
      <c r="AG153" s="38" t="n"/>
      <c r="AH153" s="38" t="n"/>
      <c r="AI153" s="38" t="n"/>
      <c r="AJ153" s="38" t="n"/>
      <c r="AK153" s="39" t="n"/>
      <c r="AL153" s="40">
        <f>IF(OR(R153="",R153-AP153&lt;=0),"",AO153/(R153-AP153))</f>
        <v/>
      </c>
      <c r="AM153" s="41">
        <f>IF(R153="","",SUM(AC153:AF153)-(R153-AP153))</f>
        <v/>
      </c>
      <c r="AN153" s="41">
        <f>IF(R153="","",SUM(S153:W153)+AP153-R153)</f>
        <v/>
      </c>
      <c r="AO153" s="44" t="n"/>
      <c r="AP153" s="45" t="n"/>
      <c r="AQ153" s="47" t="inlineStr">
        <is>
          <t>C08-a MESI状态替换为另一合法状态</t>
        </is>
      </c>
      <c r="AR153" s="23" t="n"/>
      <c r="AS153" s="35">
        <f>IF(OR(Q153="",Q153=0),"",AR153/Q153)</f>
        <v/>
      </c>
      <c r="AT153" s="62" t="n">
        <v>30</v>
      </c>
      <c r="AU153" s="62" t="n">
        <v>385</v>
      </c>
      <c r="AV153" s="62" t="inlineStr">
        <is>
          <t>常规</t>
        </is>
      </c>
      <c r="AW153" s="62" t="inlineStr">
        <is>
          <t>累计至少385，不机械扩展到2401</t>
        </is>
      </c>
    </row>
    <row r="154" ht="94.15000000000001" customHeight="1" s="58">
      <c r="A154" s="21" t="inlineStr">
        <is>
          <t>C08-F5-W6</t>
        </is>
      </c>
      <c r="B154" s="21" t="inlineStr">
        <is>
          <t>C08</t>
        </is>
      </c>
      <c r="C154" s="21" t="inlineStr">
        <is>
          <t>L1d-Cache</t>
        </is>
      </c>
      <c r="D154" s="22" t="inlineStr">
        <is>
          <t>L1D cache line 的 coherence state（如 M/E/S/I）及所有权信息。它描述本核是否拥有可写副本、其他核是否可能共享；错误状态可能漏掉 invalidation、保留陈旧副本或形成多个写者。</t>
        </is>
      </c>
      <c r="E154" s="22" t="inlineStr">
        <is>
          <t>换值</t>
        </is>
      </c>
      <c r="F154"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4" s="22" t="inlineStr">
        <is>
          <t>F5</t>
        </is>
      </c>
      <c r="H154" s="22" t="inlineStr">
        <is>
          <t>warm-up 后第一个 eligible event 起持续到运行结束；每次运行仅选一个 bit/字段</t>
        </is>
      </c>
      <c r="I154" s="22" t="inlineStr">
        <is>
          <t>Cache-DirtyEvict 缓存探针（0.5×/1×/2×L1D working set、conflict set、dirty eviction、writeback）</t>
        </is>
      </c>
      <c r="J154" s="22" t="inlineStr">
        <is>
          <t>Cache-DirtyEvict 缓存探针（0.5×/1×/2×L1D working set、conflict set、dirty eviction、writeback）
执行定义与 oracle：working set=0.5×/1×/2×L1D；读改写、dirty eviction、writeback、conflict set、共享行 false sharing</t>
        </is>
      </c>
      <c r="K154" s="22" t="inlineStr">
        <is>
          <t>共享行或snoop</t>
        </is>
      </c>
      <c r="L154" s="22" t="inlineStr">
        <is>
          <t>L0 行/way是否被需求读或驱逐；L1 tag/data/valid/dirty/coherence/PLRU；L2 hit/miss/MSHR/merge/fill；L3 writeback与一致性消息；L4 load值/store可见性；L5结局；snoop、owner/sharer、失效ack、跨核读值</t>
        </is>
      </c>
      <c r="M154" s="22" t="inlineStr">
        <is>
          <t>单核多为额外miss；多核可能读旧值、漏失效或双写者，SDC/一致性违规风险高</t>
        </is>
      </c>
      <c r="N154" s="22" t="inlineStr">
        <is>
          <t>缓存正确性不仅是tag/data，还依赖一致性状态</t>
        </is>
      </c>
      <c r="O154" s="22" t="inlineStr">
        <is>
          <t>无直接本地论文结果</t>
        </is>
      </c>
      <c r="P154" s="23" t="n"/>
      <c r="Q154" s="23" t="n"/>
      <c r="R154" s="23" t="n"/>
      <c r="S154" s="23" t="n"/>
      <c r="T154" s="23" t="n"/>
      <c r="U154" s="23" t="n"/>
      <c r="V154" s="23" t="n"/>
      <c r="W154" s="23" t="n"/>
      <c r="X154" s="35">
        <f>IF(OR(R154="",R154-AP154&lt;=0),"",AB154/(R154-AP154))</f>
        <v/>
      </c>
      <c r="Y154" s="35">
        <f>IF(OR(AR154="",AR154=0),"",R154/AR154)</f>
        <v/>
      </c>
      <c r="Z154" s="24" t="inlineStr">
        <is>
          <t>待执行</t>
        </is>
      </c>
      <c r="AA154" s="23" t="n"/>
      <c r="AB154" s="38" t="n"/>
      <c r="AC154" s="38" t="n"/>
      <c r="AD154" s="38" t="n"/>
      <c r="AE154" s="38" t="n"/>
      <c r="AF154" s="38" t="n"/>
      <c r="AG154" s="38" t="n"/>
      <c r="AH154" s="38" t="n"/>
      <c r="AI154" s="38" t="n"/>
      <c r="AJ154" s="38" t="n"/>
      <c r="AK154" s="39" t="n"/>
      <c r="AL154" s="40">
        <f>IF(OR(R154="",R154-AP154&lt;=0),"",AO154/(R154-AP154))</f>
        <v/>
      </c>
      <c r="AM154" s="41">
        <f>IF(R154="","",SUM(AC154:AF154)-(R154-AP154))</f>
        <v/>
      </c>
      <c r="AN154" s="41">
        <f>IF(R154="","",SUM(S154:W154)+AP154-R154)</f>
        <v/>
      </c>
      <c r="AO154" s="44" t="n"/>
      <c r="AP154" s="45" t="n"/>
      <c r="AQ154" s="47" t="inlineStr">
        <is>
          <t>C08-a MESI状态替换为另一合法状态</t>
        </is>
      </c>
      <c r="AR154" s="23" t="n"/>
      <c r="AS154" s="35">
        <f>IF(OR(Q154="",Q154=0),"",AR154/Q154)</f>
        <v/>
      </c>
      <c r="AT154" s="62" t="n">
        <v>30</v>
      </c>
      <c r="AU154" s="62" t="n">
        <v>385</v>
      </c>
      <c r="AV154" s="62" t="inlineStr">
        <is>
          <t>常规</t>
        </is>
      </c>
      <c r="AW154" s="62" t="inlineStr">
        <is>
          <t>累计至少385，不机械扩展到2401</t>
        </is>
      </c>
    </row>
    <row r="155" ht="94.15000000000001" customHeight="1" s="58">
      <c r="A155" s="21" t="inlineStr">
        <is>
          <t>C08-F5-W7</t>
        </is>
      </c>
      <c r="B155" s="21" t="inlineStr">
        <is>
          <t>C08</t>
        </is>
      </c>
      <c r="C155" s="21" t="inlineStr">
        <is>
          <t>L1d-Cache</t>
        </is>
      </c>
      <c r="D155" s="22" t="inlineStr">
        <is>
          <t>L1D cache line 的 coherence state（如 M/E/S/I）及所有权信息。它描述本核是否拥有可写副本、其他核是否可能共享；错误状态可能漏掉 invalidation、保留陈旧副本或形成多个写者。</t>
        </is>
      </c>
      <c r="E155" s="22" t="inlineStr">
        <is>
          <t>换值</t>
        </is>
      </c>
      <c r="F155"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5" s="22" t="inlineStr">
        <is>
          <t>F5</t>
        </is>
      </c>
      <c r="H155" s="22" t="inlineStr">
        <is>
          <t>warm-up 后第一个 eligible event 起持续到运行结束；每次运行仅选一个 bit/字段</t>
        </is>
      </c>
      <c r="I155" s="22" t="inlineStr">
        <is>
          <t>Atomic-Litmus 并发探针（MP、SB、LB、IRIW、Dekker、ticket lock、CAS counter、LDXR/STXR）</t>
        </is>
      </c>
      <c r="J155" s="22" t="inlineStr">
        <is>
          <t>Atomic-Litmus 并发探针（MP、SB、LB、IRIW、Dekker、ticket lock、CAS counter、LDXR/STXR）
执行定义与 oracle：MP、SB、LB、IRIW、Dekker、ticket lock、CAS counter、LDXR/STXR 竞争；每轮检查禁出现结果</t>
        </is>
      </c>
      <c r="K155" s="22" t="inlineStr">
        <is>
          <t>共享行或snoop</t>
        </is>
      </c>
      <c r="L155" s="22" t="inlineStr">
        <is>
          <t>L0 行/way是否被需求读或驱逐；L1 tag/data/valid/dirty/coherence/PLRU；L2 hit/miss/MSHR/merge/fill；L3 writeback与一致性消息；L4 load值/store可见性；L5结局；snoop、owner/sharer、失效ack、跨核读值</t>
        </is>
      </c>
      <c r="M155" s="22" t="inlineStr">
        <is>
          <t>单核多为额外miss；多核可能读旧值、漏失效或双写者，SDC/一致性违规风险高</t>
        </is>
      </c>
      <c r="N155" s="22" t="inlineStr">
        <is>
          <t>缓存正确性不仅是tag/data，还依赖一致性状态</t>
        </is>
      </c>
      <c r="O155" s="22" t="inlineStr">
        <is>
          <t>无直接本地论文结果</t>
        </is>
      </c>
      <c r="P155" s="23" t="n"/>
      <c r="Q155" s="23" t="n"/>
      <c r="R155" s="23" t="n"/>
      <c r="S155" s="23" t="n"/>
      <c r="T155" s="23" t="n"/>
      <c r="U155" s="23" t="n"/>
      <c r="V155" s="23" t="n"/>
      <c r="W155" s="23" t="n"/>
      <c r="X155" s="35">
        <f>IF(OR(R155="",R155-AP155&lt;=0),"",AB155/(R155-AP155))</f>
        <v/>
      </c>
      <c r="Y155" s="35">
        <f>IF(OR(AR155="",AR155=0),"",R155/AR155)</f>
        <v/>
      </c>
      <c r="Z155" s="24" t="inlineStr">
        <is>
          <t>待执行</t>
        </is>
      </c>
      <c r="AA155" s="23" t="n"/>
      <c r="AB155" s="38" t="n"/>
      <c r="AC155" s="38" t="n"/>
      <c r="AD155" s="38" t="n"/>
      <c r="AE155" s="38" t="n"/>
      <c r="AF155" s="38" t="n"/>
      <c r="AG155" s="38" t="n"/>
      <c r="AH155" s="38" t="n"/>
      <c r="AI155" s="38" t="n"/>
      <c r="AJ155" s="38" t="n"/>
      <c r="AK155" s="39" t="n"/>
      <c r="AL155" s="40">
        <f>IF(OR(R155="",R155-AP155&lt;=0),"",AO155/(R155-AP155))</f>
        <v/>
      </c>
      <c r="AM155" s="41">
        <f>IF(R155="","",SUM(AC155:AF155)-(R155-AP155))</f>
        <v/>
      </c>
      <c r="AN155" s="41">
        <f>IF(R155="","",SUM(S155:W155)+AP155-R155)</f>
        <v/>
      </c>
      <c r="AO155" s="44" t="n"/>
      <c r="AP155" s="45" t="n"/>
      <c r="AQ155" s="47" t="inlineStr">
        <is>
          <t>C08-a MESI状态替换为另一合法状态</t>
        </is>
      </c>
      <c r="AR155" s="23" t="n"/>
      <c r="AS155" s="35">
        <f>IF(OR(Q155="",Q155=0),"",AR155/Q155)</f>
        <v/>
      </c>
      <c r="AT155" s="62" t="n">
        <v>30</v>
      </c>
      <c r="AU155" s="62" t="n">
        <v>385</v>
      </c>
      <c r="AV155" s="62" t="inlineStr">
        <is>
          <t>常规</t>
        </is>
      </c>
      <c r="AW155" s="62" t="inlineStr">
        <is>
          <t>累计至少385，不机械扩展到2401</t>
        </is>
      </c>
    </row>
    <row r="156" ht="94.15000000000001" customHeight="1" s="58">
      <c r="A156" s="21" t="inlineStr">
        <is>
          <t>C08-F6-W6</t>
        </is>
      </c>
      <c r="B156" s="21" t="inlineStr">
        <is>
          <t>C08</t>
        </is>
      </c>
      <c r="C156" s="21" t="inlineStr">
        <is>
          <t>L1d-Cache</t>
        </is>
      </c>
      <c r="D156" s="22" t="inlineStr">
        <is>
          <t>L1D cache line 的 coherence state（如 M/E/S/I）及所有权信息。它描述本核是否拥有可写副本、其他核是否可能共享；错误状态可能漏掉 invalidation、保留陈旧副本或形成多个写者。</t>
        </is>
      </c>
      <c r="E156" s="22" t="inlineStr">
        <is>
          <t>换值</t>
        </is>
      </c>
      <c r="F156"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6" s="22" t="inlineStr">
        <is>
          <t>F6</t>
        </is>
      </c>
      <c r="H156" s="22" t="inlineStr">
        <is>
          <t>首次出现指定事件时注入一次，如 TLB hit、SQ forward、dirty eviction、CAS 成功</t>
        </is>
      </c>
      <c r="I156" s="22" t="inlineStr">
        <is>
          <t>Cache-DirtyEvict 缓存探针（0.5×/1×/2×L1D working set、conflict set、dirty eviction、writeback）</t>
        </is>
      </c>
      <c r="J156" s="22" t="inlineStr">
        <is>
          <t>Cache-DirtyEvict 缓存探针（0.5×/1×/2×L1D working set、conflict set、dirty eviction、writeback）
执行定义与 oracle：working set=0.5×/1×/2×L1D；读改写、dirty eviction、writeback、conflict set、共享行 false sharing</t>
        </is>
      </c>
      <c r="K156" s="22" t="inlineStr">
        <is>
          <t>共享行或snoop</t>
        </is>
      </c>
      <c r="L156" s="22" t="inlineStr">
        <is>
          <t>L0 行/way是否被需求读或驱逐；L1 tag/data/valid/dirty/coherence/PLRU；L2 hit/miss/MSHR/merge/fill；L3 writeback与一致性消息；L4 load值/store可见性；L5结局；snoop、owner/sharer、失效ack、跨核读值</t>
        </is>
      </c>
      <c r="M156" s="22" t="inlineStr">
        <is>
          <t>单核多为额外miss；多核可能读旧值、漏失效或双写者，SDC/一致性违规风险高</t>
        </is>
      </c>
      <c r="N156" s="22" t="inlineStr">
        <is>
          <t>缓存正确性不仅是tag/data，还依赖一致性状态</t>
        </is>
      </c>
      <c r="O156" s="22" t="inlineStr">
        <is>
          <t>无直接本地论文结果</t>
        </is>
      </c>
      <c r="P156" s="23" t="n"/>
      <c r="Q156" s="23" t="n"/>
      <c r="R156" s="23" t="n"/>
      <c r="S156" s="23" t="n"/>
      <c r="T156" s="23" t="n"/>
      <c r="U156" s="23" t="n"/>
      <c r="V156" s="23" t="n"/>
      <c r="W156" s="23" t="n"/>
      <c r="X156" s="35">
        <f>IF(OR(R156="",R156-AP156&lt;=0),"",AB156/(R156-AP156))</f>
        <v/>
      </c>
      <c r="Y156" s="35">
        <f>IF(OR(AR156="",AR156=0),"",R156/AR156)</f>
        <v/>
      </c>
      <c r="Z156" s="24" t="inlineStr">
        <is>
          <t>待执行</t>
        </is>
      </c>
      <c r="AA156" s="23" t="n"/>
      <c r="AB156" s="38" t="n"/>
      <c r="AC156" s="38" t="n"/>
      <c r="AD156" s="38" t="n"/>
      <c r="AE156" s="38" t="n"/>
      <c r="AF156" s="38" t="n"/>
      <c r="AG156" s="38" t="n"/>
      <c r="AH156" s="38" t="n"/>
      <c r="AI156" s="38" t="n"/>
      <c r="AJ156" s="38" t="n"/>
      <c r="AK156" s="39" t="n"/>
      <c r="AL156" s="40">
        <f>IF(OR(R156="",R156-AP156&lt;=0),"",AO156/(R156-AP156))</f>
        <v/>
      </c>
      <c r="AM156" s="41">
        <f>IF(R156="","",SUM(AC156:AF156)-(R156-AP156))</f>
        <v/>
      </c>
      <c r="AN156" s="41">
        <f>IF(R156="","",SUM(S156:W156)+AP156-R156)</f>
        <v/>
      </c>
      <c r="AO156" s="44" t="n"/>
      <c r="AP156" s="45" t="n"/>
      <c r="AQ156" s="47" t="inlineStr">
        <is>
          <t>C08-a MESI状态替换为另一合法状态</t>
        </is>
      </c>
      <c r="AR156" s="23" t="n"/>
      <c r="AS156" s="35">
        <f>IF(OR(Q156="",Q156=0),"",AR156/Q156)</f>
        <v/>
      </c>
      <c r="AT156" s="62" t="n">
        <v>30</v>
      </c>
      <c r="AU156" s="62" t="n">
        <v>385</v>
      </c>
      <c r="AV156" s="62" t="inlineStr">
        <is>
          <t>常规</t>
        </is>
      </c>
      <c r="AW156" s="62" t="inlineStr">
        <is>
          <t>累计至少385，不机械扩展到2401</t>
        </is>
      </c>
    </row>
    <row r="157" ht="94.15000000000001" customHeight="1" s="58">
      <c r="A157" s="21" t="inlineStr">
        <is>
          <t>C08-F6-W7</t>
        </is>
      </c>
      <c r="B157" s="21" t="inlineStr">
        <is>
          <t>C08</t>
        </is>
      </c>
      <c r="C157" s="21" t="inlineStr">
        <is>
          <t>L1d-Cache</t>
        </is>
      </c>
      <c r="D157" s="22" t="inlineStr">
        <is>
          <t>L1D cache line 的 coherence state（如 M/E/S/I）及所有权信息。它描述本核是否拥有可写副本、其他核是否可能共享；错误状态可能漏掉 invalidation、保留陈旧副本或形成多个写者。</t>
        </is>
      </c>
      <c r="E157" s="22" t="inlineStr">
        <is>
          <t>换值</t>
        </is>
      </c>
      <c r="F157"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7" s="22" t="inlineStr">
        <is>
          <t>F6</t>
        </is>
      </c>
      <c r="H157" s="22" t="inlineStr">
        <is>
          <t>首次出现指定事件时注入一次，如 TLB hit、SQ forward、dirty eviction、CAS 成功</t>
        </is>
      </c>
      <c r="I157" s="22" t="inlineStr">
        <is>
          <t>Atomic-Litmus 并发探针（MP、SB、LB、IRIW、Dekker、ticket lock、CAS counter、LDXR/STXR）</t>
        </is>
      </c>
      <c r="J157" s="22" t="inlineStr">
        <is>
          <t>Atomic-Litmus 并发探针（MP、SB、LB、IRIW、Dekker、ticket lock、CAS counter、LDXR/STXR）
执行定义与 oracle：MP、SB、LB、IRIW、Dekker、ticket lock、CAS counter、LDXR/STXR 竞争；每轮检查禁出现结果</t>
        </is>
      </c>
      <c r="K157" s="22" t="inlineStr">
        <is>
          <t>共享行或snoop</t>
        </is>
      </c>
      <c r="L157" s="22" t="inlineStr">
        <is>
          <t>L0 行/way是否被需求读或驱逐；L1 tag/data/valid/dirty/coherence/PLRU；L2 hit/miss/MSHR/merge/fill；L3 writeback与一致性消息；L4 load值/store可见性；L5结局；snoop、owner/sharer、失效ack、跨核读值</t>
        </is>
      </c>
      <c r="M157" s="22" t="inlineStr">
        <is>
          <t>单核多为额外miss；多核可能读旧值、漏失效或双写者，SDC/一致性违规风险高</t>
        </is>
      </c>
      <c r="N157" s="22" t="inlineStr">
        <is>
          <t>缓存正确性不仅是tag/data，还依赖一致性状态</t>
        </is>
      </c>
      <c r="O157" s="22" t="inlineStr">
        <is>
          <t>无直接本地论文结果</t>
        </is>
      </c>
      <c r="P157" s="23" t="n"/>
      <c r="Q157" s="23" t="n"/>
      <c r="R157" s="23" t="n"/>
      <c r="S157" s="23" t="n"/>
      <c r="T157" s="23" t="n"/>
      <c r="U157" s="23" t="n"/>
      <c r="V157" s="23" t="n"/>
      <c r="W157" s="23" t="n"/>
      <c r="X157" s="35">
        <f>IF(OR(R157="",R157-AP157&lt;=0),"",AB157/(R157-AP157))</f>
        <v/>
      </c>
      <c r="Y157" s="35">
        <f>IF(OR(AR157="",AR157=0),"",R157/AR157)</f>
        <v/>
      </c>
      <c r="Z157" s="24" t="inlineStr">
        <is>
          <t>待执行</t>
        </is>
      </c>
      <c r="AA157" s="23" t="n"/>
      <c r="AB157" s="38" t="n"/>
      <c r="AC157" s="38" t="n"/>
      <c r="AD157" s="38" t="n"/>
      <c r="AE157" s="38" t="n"/>
      <c r="AF157" s="38" t="n"/>
      <c r="AG157" s="38" t="n"/>
      <c r="AH157" s="38" t="n"/>
      <c r="AI157" s="38" t="n"/>
      <c r="AJ157" s="38" t="n"/>
      <c r="AK157" s="39" t="n"/>
      <c r="AL157" s="40">
        <f>IF(OR(R157="",R157-AP157&lt;=0),"",AO157/(R157-AP157))</f>
        <v/>
      </c>
      <c r="AM157" s="41">
        <f>IF(R157="","",SUM(AC157:AF157)-(R157-AP157))</f>
        <v/>
      </c>
      <c r="AN157" s="41">
        <f>IF(R157="","",SUM(S157:W157)+AP157-R157)</f>
        <v/>
      </c>
      <c r="AO157" s="44" t="n"/>
      <c r="AP157" s="45" t="n"/>
      <c r="AQ157" s="47" t="inlineStr">
        <is>
          <t>C08-a MESI状态替换为另一合法状态</t>
        </is>
      </c>
      <c r="AR157" s="23" t="n"/>
      <c r="AS157" s="35">
        <f>IF(OR(Q157="",Q157=0),"",AR157/Q157)</f>
        <v/>
      </c>
      <c r="AT157" s="62" t="n">
        <v>30</v>
      </c>
      <c r="AU157" s="62" t="n">
        <v>385</v>
      </c>
      <c r="AV157" s="62" t="inlineStr">
        <is>
          <t>常规</t>
        </is>
      </c>
      <c r="AW157" s="62" t="inlineStr">
        <is>
          <t>累计至少385，不机械扩展到2401</t>
        </is>
      </c>
    </row>
    <row r="158" ht="94.15000000000001" customHeight="1" s="58">
      <c r="A158" s="21" t="inlineStr">
        <is>
          <t>C09-F0-W6</t>
        </is>
      </c>
      <c r="B158" s="21" t="inlineStr">
        <is>
          <t>C09</t>
        </is>
      </c>
      <c r="C158" s="21" t="inlineStr">
        <is>
          <t>L1d-Cache</t>
        </is>
      </c>
      <c r="D158" s="22" t="inlineStr">
        <is>
          <t>L1D 命中后的 way-select、字节/字 MUX 与对齐网络。它从选中 line 中截取 1/2/4/8/16B，按地址低位排列并送给 load；错位、跨 line 拼接或上一拍残留会直接改变返回值。</t>
        </is>
      </c>
      <c r="E158" s="22" t="inlineStr">
        <is>
          <t>错位拼接</t>
        </is>
      </c>
      <c r="F158"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58" s="22" t="inlineStr">
        <is>
          <t>F0</t>
        </is>
      </c>
      <c r="H158" s="22" t="inlineStr">
        <is>
          <t>每次运行只注入 1 次；在 warm-up 后的 eligible event 中均匀抽样</t>
        </is>
      </c>
      <c r="I158" s="22" t="inlineStr">
        <is>
          <t>Cache-DirtyEvict 缓存探针（0.5×/1×/2×L1D working set、conflict set、dirty eviction、writeback）</t>
        </is>
      </c>
      <c r="J158" s="22" t="inlineStr">
        <is>
          <t>Cache-DirtyEvict 缓存探针（0.5×/1×/2×L1D working set、conflict set、dirty eviction、writeback）
执行定义与 oracle：working set=0.5×/1×/2×L1D；读改写、dirty eviction、writeback、conflict set、共享行 false sharing</t>
        </is>
      </c>
      <c r="K158" s="22" t="inlineStr">
        <is>
          <t>cache hit</t>
        </is>
      </c>
      <c r="L158" s="22" t="inlineStr">
        <is>
          <t>L0 行/way是否被需求读或驱逐；L1 tag/data/valid/dirty/coherence/PLRU；L2 hit/miss/MSHR/merge/fill；L3 writeback与一致性消息；L4 load值/store可见性；L5结局；每字节line/way来源、stale周期、load宽度</t>
        </is>
      </c>
      <c r="M158" s="22" t="inlineStr">
        <is>
          <t>输出保持合法位模式，预期高SDC且tag检查无法发现</t>
        </is>
      </c>
      <c r="N158" s="22" t="inlineStr">
        <is>
          <t>针对读数据选择网络的结构化风险</t>
        </is>
      </c>
      <c r="O158" s="22" t="inlineStr">
        <is>
          <t>本方案结构化模型</t>
        </is>
      </c>
      <c r="P158" s="23" t="n"/>
      <c r="Q158" s="23" t="n"/>
      <c r="R158" s="23" t="n"/>
      <c r="S158" s="23" t="n"/>
      <c r="T158" s="23" t="n"/>
      <c r="U158" s="23" t="n"/>
      <c r="V158" s="23" t="n"/>
      <c r="W158" s="23" t="n"/>
      <c r="X158" s="35">
        <f>IF(OR(R158="",R158-AP158&lt;=0),"",AB158/(R158-AP158))</f>
        <v/>
      </c>
      <c r="Y158" s="35">
        <f>IF(OR(AR158="",AR158=0),"",R158/AR158)</f>
        <v/>
      </c>
      <c r="Z158" s="24" t="inlineStr">
        <is>
          <t>待执行</t>
        </is>
      </c>
      <c r="AA158" s="23" t="n"/>
      <c r="AB158" s="38" t="n"/>
      <c r="AC158" s="38" t="n"/>
      <c r="AD158" s="38" t="n"/>
      <c r="AE158" s="38" t="n"/>
      <c r="AF158" s="38" t="n"/>
      <c r="AG158" s="38" t="n"/>
      <c r="AH158" s="38" t="n"/>
      <c r="AI158" s="38" t="n"/>
      <c r="AJ158" s="38" t="n"/>
      <c r="AK158" s="39" t="n"/>
      <c r="AL158" s="40">
        <f>IF(OR(R158="",R158-AP158&lt;=0),"",AO158/(R158-AP158))</f>
        <v/>
      </c>
      <c r="AM158" s="41">
        <f>IF(R158="","",SUM(AC158:AF158)-(R158-AP158))</f>
        <v/>
      </c>
      <c r="AN158" s="41">
        <f>IF(R158="","",SUM(S158:W158)+AP158-R158)</f>
        <v/>
      </c>
      <c r="AO158" s="44" t="n"/>
      <c r="AP158" s="45" t="n"/>
      <c r="AQ158" s="47" t="inlineStr">
        <is>
          <t>C09-a byte旋转；C09-b word互换；C09-c line片段拼接；C09-d 使用上一版本数据</t>
        </is>
      </c>
      <c r="AR158" s="23" t="n"/>
      <c r="AS158" s="35">
        <f>IF(OR(Q158="",Q158=0),"",AR158/Q158)</f>
        <v/>
      </c>
      <c r="AT158" s="62" t="n">
        <v>30</v>
      </c>
      <c r="AU158" s="62" t="n">
        <v>385</v>
      </c>
      <c r="AV158" s="62" t="inlineStr">
        <is>
          <t>常规</t>
        </is>
      </c>
      <c r="AW158" s="62" t="inlineStr">
        <is>
          <t>累计至少385，不机械扩展到2401</t>
        </is>
      </c>
    </row>
    <row r="159" ht="94.15000000000001" customHeight="1" s="58">
      <c r="A159" s="21" t="inlineStr">
        <is>
          <t>C09-F0-W10</t>
        </is>
      </c>
      <c r="B159" s="21" t="inlineStr">
        <is>
          <t>C09</t>
        </is>
      </c>
      <c r="C159" s="21" t="inlineStr">
        <is>
          <t>L1d-Cache</t>
        </is>
      </c>
      <c r="D159" s="22" t="inlineStr">
        <is>
          <t>L1D 命中后的 way-select、字节/字 MUX 与对齐网络。它从选中 line 中截取 1/2/4/8/16B，按地址低位排列并送给 load；错位、跨 line 拼接或上一拍残留会直接改变返回值。</t>
        </is>
      </c>
      <c r="E159" s="22" t="inlineStr">
        <is>
          <t>错位拼接</t>
        </is>
      </c>
      <c r="F159"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59" s="22" t="inlineStr">
        <is>
          <t>F0</t>
        </is>
      </c>
      <c r="H159" s="22" t="inlineStr">
        <is>
          <t>每次运行只注入 1 次；在 warm-up 后的 eligible event 中均匀抽样</t>
        </is>
      </c>
      <c r="I159" s="22" t="inlineStr">
        <is>
          <t>STREAM+PointerChase（Copy、Scale、Add、Triad 与随机指针链）</t>
        </is>
      </c>
      <c r="J159" s="22" t="inlineStr">
        <is>
          <t>STREAM+PointerChase（Copy、Scale、Add、Triad 与随机指针链）
执行定义与 oracle：STREAM Copy/Scale/Add/Triad 加随机 pointer chase；检查数组 hash 与遍历节点数</t>
        </is>
      </c>
      <c r="K159" s="22" t="inlineStr">
        <is>
          <t>cache hit</t>
        </is>
      </c>
      <c r="L159" s="22" t="inlineStr">
        <is>
          <t>L0 行/way是否被需求读或驱逐；L1 tag/data/valid/dirty/coherence/PLRU；L2 hit/miss/MSHR/merge/fill；L3 writeback与一致性消息；L4 load值/store可见性；L5结局；每字节line/way来源、stale周期、load宽度</t>
        </is>
      </c>
      <c r="M159" s="22" t="inlineStr">
        <is>
          <t>输出保持合法位模式，预期高SDC且tag检查无法发现</t>
        </is>
      </c>
      <c r="N159" s="22" t="inlineStr">
        <is>
          <t>针对读数据选择网络的结构化风险</t>
        </is>
      </c>
      <c r="O159" s="22" t="inlineStr">
        <is>
          <t>本方案结构化模型</t>
        </is>
      </c>
      <c r="P159" s="23" t="n"/>
      <c r="Q159" s="23" t="n"/>
      <c r="R159" s="23" t="n"/>
      <c r="S159" s="23" t="n"/>
      <c r="T159" s="23" t="n"/>
      <c r="U159" s="23" t="n"/>
      <c r="V159" s="23" t="n"/>
      <c r="W159" s="23" t="n"/>
      <c r="X159" s="35">
        <f>IF(OR(R159="",R159-AP159&lt;=0),"",AB159/(R159-AP159))</f>
        <v/>
      </c>
      <c r="Y159" s="35">
        <f>IF(OR(AR159="",AR159=0),"",R159/AR159)</f>
        <v/>
      </c>
      <c r="Z159" s="24" t="inlineStr">
        <is>
          <t>待执行</t>
        </is>
      </c>
      <c r="AA159" s="23" t="n"/>
      <c r="AB159" s="38" t="n"/>
      <c r="AC159" s="38" t="n"/>
      <c r="AD159" s="38" t="n"/>
      <c r="AE159" s="38" t="n"/>
      <c r="AF159" s="38" t="n"/>
      <c r="AG159" s="38" t="n"/>
      <c r="AH159" s="38" t="n"/>
      <c r="AI159" s="38" t="n"/>
      <c r="AJ159" s="38" t="n"/>
      <c r="AK159" s="39" t="n"/>
      <c r="AL159" s="40">
        <f>IF(OR(R159="",R159-AP159&lt;=0),"",AO159/(R159-AP159))</f>
        <v/>
      </c>
      <c r="AM159" s="41">
        <f>IF(R159="","",SUM(AC159:AF159)-(R159-AP159))</f>
        <v/>
      </c>
      <c r="AN159" s="41">
        <f>IF(R159="","",SUM(S159:W159)+AP159-R159)</f>
        <v/>
      </c>
      <c r="AO159" s="44" t="n"/>
      <c r="AP159" s="45" t="n"/>
      <c r="AQ159" s="47" t="inlineStr">
        <is>
          <t>C09-a byte旋转；C09-b word互换；C09-c line片段拼接；C09-d 使用上一版本数据</t>
        </is>
      </c>
      <c r="AR159" s="23" t="n"/>
      <c r="AS159" s="35">
        <f>IF(OR(Q159="",Q159=0),"",AR159/Q159)</f>
        <v/>
      </c>
      <c r="AT159" s="62" t="n">
        <v>30</v>
      </c>
      <c r="AU159" s="62" t="n">
        <v>385</v>
      </c>
      <c r="AV159" s="62" t="inlineStr">
        <is>
          <t>常规</t>
        </is>
      </c>
      <c r="AW159" s="62" t="inlineStr">
        <is>
          <t>累计至少385，不机械扩展到2401</t>
        </is>
      </c>
    </row>
    <row r="160" ht="94.15000000000001" customHeight="1" s="58">
      <c r="A160" s="21" t="inlineStr">
        <is>
          <t>C09-F2-W6</t>
        </is>
      </c>
      <c r="B160" s="21" t="inlineStr">
        <is>
          <t>C09</t>
        </is>
      </c>
      <c r="C160" s="21" t="inlineStr">
        <is>
          <t>L1d-Cache</t>
        </is>
      </c>
      <c r="D160" s="22" t="inlineStr">
        <is>
          <t>L1D 命中后的 way-select、字节/字 MUX 与对齐网络。它从选中 line 中截取 1/2/4/8/16B，按地址低位排列并送给 load；错位、跨 line 拼接或上一拍残留会直接改变返回值。</t>
        </is>
      </c>
      <c r="E160" s="22" t="inlineStr">
        <is>
          <t>错位拼接</t>
        </is>
      </c>
      <c r="F160"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0" s="22" t="inlineStr">
        <is>
          <t>F2</t>
        </is>
      </c>
      <c r="H160" s="22" t="inlineStr">
        <is>
          <t>平均每 100,000 个 eligible events 注入 1 次，间隔加入 ±50% 抖动</t>
        </is>
      </c>
      <c r="I160" s="22" t="inlineStr">
        <is>
          <t>Cache-DirtyEvict 缓存探针（0.5×/1×/2×L1D working set、conflict set、dirty eviction、writeback）</t>
        </is>
      </c>
      <c r="J160" s="22" t="inlineStr">
        <is>
          <t>Cache-DirtyEvict 缓存探针（0.5×/1×/2×L1D working set、conflict set、dirty eviction、writeback）
执行定义与 oracle：working set=0.5×/1×/2×L1D；读改写、dirty eviction、writeback、conflict set、共享行 false sharing</t>
        </is>
      </c>
      <c r="K160" s="22" t="inlineStr">
        <is>
          <t>cache hit</t>
        </is>
      </c>
      <c r="L160" s="22" t="inlineStr">
        <is>
          <t>L0 行/way是否被需求读或驱逐；L1 tag/data/valid/dirty/coherence/PLRU；L2 hit/miss/MSHR/merge/fill；L3 writeback与一致性消息；L4 load值/store可见性；L5结局；每字节line/way来源、stale周期、load宽度</t>
        </is>
      </c>
      <c r="M160" s="22" t="inlineStr">
        <is>
          <t>输出保持合法位模式，预期高SDC且tag检查无法发现</t>
        </is>
      </c>
      <c r="N160" s="22" t="inlineStr">
        <is>
          <t>针对读数据选择网络的结构化风险</t>
        </is>
      </c>
      <c r="O160" s="22" t="inlineStr">
        <is>
          <t>本方案结构化模型</t>
        </is>
      </c>
      <c r="P160" s="23" t="n"/>
      <c r="Q160" s="23" t="n"/>
      <c r="R160" s="23" t="n"/>
      <c r="S160" s="23" t="n"/>
      <c r="T160" s="23" t="n"/>
      <c r="U160" s="23" t="n"/>
      <c r="V160" s="23" t="n"/>
      <c r="W160" s="23" t="n"/>
      <c r="X160" s="35">
        <f>IF(OR(R160="",R160-AP160&lt;=0),"",AB160/(R160-AP160))</f>
        <v/>
      </c>
      <c r="Y160" s="35">
        <f>IF(OR(AR160="",AR160=0),"",R160/AR160)</f>
        <v/>
      </c>
      <c r="Z160" s="24" t="inlineStr">
        <is>
          <t>待执行</t>
        </is>
      </c>
      <c r="AA160" s="23" t="n"/>
      <c r="AB160" s="38" t="n"/>
      <c r="AC160" s="38" t="n"/>
      <c r="AD160" s="38" t="n"/>
      <c r="AE160" s="38" t="n"/>
      <c r="AF160" s="38" t="n"/>
      <c r="AG160" s="38" t="n"/>
      <c r="AH160" s="38" t="n"/>
      <c r="AI160" s="38" t="n"/>
      <c r="AJ160" s="38" t="n"/>
      <c r="AK160" s="39" t="n"/>
      <c r="AL160" s="40">
        <f>IF(OR(R160="",R160-AP160&lt;=0),"",AO160/(R160-AP160))</f>
        <v/>
      </c>
      <c r="AM160" s="41">
        <f>IF(R160="","",SUM(AC160:AF160)-(R160-AP160))</f>
        <v/>
      </c>
      <c r="AN160" s="41">
        <f>IF(R160="","",SUM(S160:W160)+AP160-R160)</f>
        <v/>
      </c>
      <c r="AO160" s="44" t="n"/>
      <c r="AP160" s="45" t="n"/>
      <c r="AQ160" s="47" t="inlineStr">
        <is>
          <t>C09-a byte旋转；C09-b word互换；C09-c line片段拼接；C09-d 使用上一版本数据</t>
        </is>
      </c>
      <c r="AR160" s="23" t="n"/>
      <c r="AS160" s="35">
        <f>IF(OR(Q160="",Q160=0),"",AR160/Q160)</f>
        <v/>
      </c>
      <c r="AT160" s="62" t="n">
        <v>30</v>
      </c>
      <c r="AU160" s="62" t="n">
        <v>385</v>
      </c>
      <c r="AV160" s="62" t="inlineStr">
        <is>
          <t>常规</t>
        </is>
      </c>
      <c r="AW160" s="62" t="inlineStr">
        <is>
          <t>累计至少385，不机械扩展到2401</t>
        </is>
      </c>
    </row>
    <row r="161" ht="94.15000000000001" customHeight="1" s="58">
      <c r="A161" s="21" t="inlineStr">
        <is>
          <t>C09-F2-W10</t>
        </is>
      </c>
      <c r="B161" s="21" t="inlineStr">
        <is>
          <t>C09</t>
        </is>
      </c>
      <c r="C161" s="21" t="inlineStr">
        <is>
          <t>L1d-Cache</t>
        </is>
      </c>
      <c r="D161" s="22" t="inlineStr">
        <is>
          <t>L1D 命中后的 way-select、字节/字 MUX 与对齐网络。它从选中 line 中截取 1/2/4/8/16B，按地址低位排列并送给 load；错位、跨 line 拼接或上一拍残留会直接改变返回值。</t>
        </is>
      </c>
      <c r="E161" s="22" t="inlineStr">
        <is>
          <t>错位拼接</t>
        </is>
      </c>
      <c r="F161"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1" s="22" t="inlineStr">
        <is>
          <t>F2</t>
        </is>
      </c>
      <c r="H161" s="22" t="inlineStr">
        <is>
          <t>平均每 100,000 个 eligible events 注入 1 次，间隔加入 ±50% 抖动</t>
        </is>
      </c>
      <c r="I161" s="22" t="inlineStr">
        <is>
          <t>STREAM+PointerChase（Copy、Scale、Add、Triad 与随机指针链）</t>
        </is>
      </c>
      <c r="J161" s="22" t="inlineStr">
        <is>
          <t>STREAM+PointerChase（Copy、Scale、Add、Triad 与随机指针链）
执行定义与 oracle：STREAM Copy/Scale/Add/Triad 加随机 pointer chase；检查数组 hash 与遍历节点数</t>
        </is>
      </c>
      <c r="K161" s="22" t="inlineStr">
        <is>
          <t>cache hit</t>
        </is>
      </c>
      <c r="L161" s="22" t="inlineStr">
        <is>
          <t>L0 行/way是否被需求读或驱逐；L1 tag/data/valid/dirty/coherence/PLRU；L2 hit/miss/MSHR/merge/fill；L3 writeback与一致性消息；L4 load值/store可见性；L5结局；每字节line/way来源、stale周期、load宽度</t>
        </is>
      </c>
      <c r="M161" s="22" t="inlineStr">
        <is>
          <t>输出保持合法位模式，预期高SDC且tag检查无法发现</t>
        </is>
      </c>
      <c r="N161" s="22" t="inlineStr">
        <is>
          <t>针对读数据选择网络的结构化风险</t>
        </is>
      </c>
      <c r="O161" s="22" t="inlineStr">
        <is>
          <t>本方案结构化模型</t>
        </is>
      </c>
      <c r="P161" s="23" t="n"/>
      <c r="Q161" s="23" t="n"/>
      <c r="R161" s="23" t="n"/>
      <c r="S161" s="23" t="n"/>
      <c r="T161" s="23" t="n"/>
      <c r="U161" s="23" t="n"/>
      <c r="V161" s="23" t="n"/>
      <c r="W161" s="23" t="n"/>
      <c r="X161" s="35">
        <f>IF(OR(R161="",R161-AP161&lt;=0),"",AB161/(R161-AP161))</f>
        <v/>
      </c>
      <c r="Y161" s="35">
        <f>IF(OR(AR161="",AR161=0),"",R161/AR161)</f>
        <v/>
      </c>
      <c r="Z161" s="24" t="inlineStr">
        <is>
          <t>待执行</t>
        </is>
      </c>
      <c r="AA161" s="23" t="n"/>
      <c r="AB161" s="38" t="n"/>
      <c r="AC161" s="38" t="n"/>
      <c r="AD161" s="38" t="n"/>
      <c r="AE161" s="38" t="n"/>
      <c r="AF161" s="38" t="n"/>
      <c r="AG161" s="38" t="n"/>
      <c r="AH161" s="38" t="n"/>
      <c r="AI161" s="38" t="n"/>
      <c r="AJ161" s="38" t="n"/>
      <c r="AK161" s="39" t="n"/>
      <c r="AL161" s="40">
        <f>IF(OR(R161="",R161-AP161&lt;=0),"",AO161/(R161-AP161))</f>
        <v/>
      </c>
      <c r="AM161" s="41">
        <f>IF(R161="","",SUM(AC161:AF161)-(R161-AP161))</f>
        <v/>
      </c>
      <c r="AN161" s="41">
        <f>IF(R161="","",SUM(S161:W161)+AP161-R161)</f>
        <v/>
      </c>
      <c r="AO161" s="44" t="n"/>
      <c r="AP161" s="45" t="n"/>
      <c r="AQ161" s="47" t="inlineStr">
        <is>
          <t>C09-a byte旋转；C09-b word互换；C09-c line片段拼接；C09-d 使用上一版本数据</t>
        </is>
      </c>
      <c r="AR161" s="23" t="n"/>
      <c r="AS161" s="35">
        <f>IF(OR(Q161="",Q161=0),"",AR161/Q161)</f>
        <v/>
      </c>
      <c r="AT161" s="62" t="n">
        <v>30</v>
      </c>
      <c r="AU161" s="62" t="n">
        <v>385</v>
      </c>
      <c r="AV161" s="62" t="inlineStr">
        <is>
          <t>常规</t>
        </is>
      </c>
      <c r="AW161" s="62" t="inlineStr">
        <is>
          <t>累计至少385，不机械扩展到2401</t>
        </is>
      </c>
    </row>
    <row r="162" ht="94.15000000000001" customHeight="1" s="58">
      <c r="A162" s="21" t="inlineStr">
        <is>
          <t>C09-F6-W6</t>
        </is>
      </c>
      <c r="B162" s="21" t="inlineStr">
        <is>
          <t>C09</t>
        </is>
      </c>
      <c r="C162" s="21" t="inlineStr">
        <is>
          <t>L1d-Cache</t>
        </is>
      </c>
      <c r="D162" s="22" t="inlineStr">
        <is>
          <t>L1D 命中后的 way-select、字节/字 MUX 与对齐网络。它从选中 line 中截取 1/2/4/8/16B，按地址低位排列并送给 load；错位、跨 line 拼接或上一拍残留会直接改变返回值。</t>
        </is>
      </c>
      <c r="E162" s="22" t="inlineStr">
        <is>
          <t>错位拼接</t>
        </is>
      </c>
      <c r="F162"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2" s="22" t="inlineStr">
        <is>
          <t>F6</t>
        </is>
      </c>
      <c r="H162" s="22" t="inlineStr">
        <is>
          <t>首次出现指定事件时注入一次，如 TLB hit、SQ forward、dirty eviction、CAS 成功</t>
        </is>
      </c>
      <c r="I162" s="22" t="inlineStr">
        <is>
          <t>Cache-DirtyEvict 缓存探针（0.5×/1×/2×L1D working set、conflict set、dirty eviction、writeback）</t>
        </is>
      </c>
      <c r="J162" s="22" t="inlineStr">
        <is>
          <t>Cache-DirtyEvict 缓存探针（0.5×/1×/2×L1D working set、conflict set、dirty eviction、writeback）
执行定义与 oracle：working set=0.5×/1×/2×L1D；读改写、dirty eviction、writeback、conflict set、共享行 false sharing</t>
        </is>
      </c>
      <c r="K162" s="22" t="inlineStr">
        <is>
          <t>cache hit</t>
        </is>
      </c>
      <c r="L162" s="22" t="inlineStr">
        <is>
          <t>L0 行/way是否被需求读或驱逐；L1 tag/data/valid/dirty/coherence/PLRU；L2 hit/miss/MSHR/merge/fill；L3 writeback与一致性消息；L4 load值/store可见性；L5结局；每字节line/way来源、stale周期、load宽度</t>
        </is>
      </c>
      <c r="M162" s="22" t="inlineStr">
        <is>
          <t>输出保持合法位模式，预期高SDC且tag检查无法发现</t>
        </is>
      </c>
      <c r="N162" s="22" t="inlineStr">
        <is>
          <t>针对读数据选择网络的结构化风险</t>
        </is>
      </c>
      <c r="O162" s="22" t="inlineStr">
        <is>
          <t>本方案结构化模型</t>
        </is>
      </c>
      <c r="P162" s="23" t="n"/>
      <c r="Q162" s="23" t="n"/>
      <c r="R162" s="23" t="n"/>
      <c r="S162" s="23" t="n"/>
      <c r="T162" s="23" t="n"/>
      <c r="U162" s="23" t="n"/>
      <c r="V162" s="23" t="n"/>
      <c r="W162" s="23" t="n"/>
      <c r="X162" s="35">
        <f>IF(OR(R162="",R162-AP162&lt;=0),"",AB162/(R162-AP162))</f>
        <v/>
      </c>
      <c r="Y162" s="35">
        <f>IF(OR(AR162="",AR162=0),"",R162/AR162)</f>
        <v/>
      </c>
      <c r="Z162" s="24" t="inlineStr">
        <is>
          <t>待执行</t>
        </is>
      </c>
      <c r="AA162" s="23" t="n"/>
      <c r="AB162" s="38" t="n"/>
      <c r="AC162" s="38" t="n"/>
      <c r="AD162" s="38" t="n"/>
      <c r="AE162" s="38" t="n"/>
      <c r="AF162" s="38" t="n"/>
      <c r="AG162" s="38" t="n"/>
      <c r="AH162" s="38" t="n"/>
      <c r="AI162" s="38" t="n"/>
      <c r="AJ162" s="38" t="n"/>
      <c r="AK162" s="39" t="n"/>
      <c r="AL162" s="40">
        <f>IF(OR(R162="",R162-AP162&lt;=0),"",AO162/(R162-AP162))</f>
        <v/>
      </c>
      <c r="AM162" s="41">
        <f>IF(R162="","",SUM(AC162:AF162)-(R162-AP162))</f>
        <v/>
      </c>
      <c r="AN162" s="41">
        <f>IF(R162="","",SUM(S162:W162)+AP162-R162)</f>
        <v/>
      </c>
      <c r="AO162" s="44" t="n"/>
      <c r="AP162" s="45" t="n"/>
      <c r="AQ162" s="47" t="inlineStr">
        <is>
          <t>C09-a byte旋转；C09-b word互换；C09-c line片段拼接；C09-d 使用上一版本数据</t>
        </is>
      </c>
      <c r="AR162" s="23" t="n"/>
      <c r="AS162" s="35">
        <f>IF(OR(Q162="",Q162=0),"",AR162/Q162)</f>
        <v/>
      </c>
      <c r="AT162" s="62" t="n">
        <v>30</v>
      </c>
      <c r="AU162" s="62" t="n">
        <v>385</v>
      </c>
      <c r="AV162" s="62" t="inlineStr">
        <is>
          <t>常规</t>
        </is>
      </c>
      <c r="AW162" s="62" t="inlineStr">
        <is>
          <t>累计至少385，不机械扩展到2401</t>
        </is>
      </c>
    </row>
    <row r="163" ht="94.15000000000001" customHeight="1" s="58">
      <c r="A163" s="21" t="inlineStr">
        <is>
          <t>C09-F6-W10</t>
        </is>
      </c>
      <c r="B163" s="21" t="inlineStr">
        <is>
          <t>C09</t>
        </is>
      </c>
      <c r="C163" s="21" t="inlineStr">
        <is>
          <t>L1d-Cache</t>
        </is>
      </c>
      <c r="D163" s="22" t="inlineStr">
        <is>
          <t>L1D 命中后的 way-select、字节/字 MUX 与对齐网络。它从选中 line 中截取 1/2/4/8/16B，按地址低位排列并送给 load；错位、跨 line 拼接或上一拍残留会直接改变返回值。</t>
        </is>
      </c>
      <c r="E163" s="22" t="inlineStr">
        <is>
          <t>错位拼接</t>
        </is>
      </c>
      <c r="F163"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3" s="22" t="inlineStr">
        <is>
          <t>F6</t>
        </is>
      </c>
      <c r="H163" s="22" t="inlineStr">
        <is>
          <t>首次出现指定事件时注入一次，如 TLB hit、SQ forward、dirty eviction、CAS 成功</t>
        </is>
      </c>
      <c r="I163" s="22" t="inlineStr">
        <is>
          <t>STREAM+PointerChase（Copy、Scale、Add、Triad 与随机指针链）</t>
        </is>
      </c>
      <c r="J163" s="22" t="inlineStr">
        <is>
          <t>STREAM+PointerChase（Copy、Scale、Add、Triad 与随机指针链）
执行定义与 oracle：STREAM Copy/Scale/Add/Triad 加随机 pointer chase；检查数组 hash 与遍历节点数</t>
        </is>
      </c>
      <c r="K163" s="22" t="inlineStr">
        <is>
          <t>cache hit</t>
        </is>
      </c>
      <c r="L163" s="22" t="inlineStr">
        <is>
          <t>L0 行/way是否被需求读或驱逐；L1 tag/data/valid/dirty/coherence/PLRU；L2 hit/miss/MSHR/merge/fill；L3 writeback与一致性消息；L4 load值/store可见性；L5结局；每字节line/way来源、stale周期、load宽度</t>
        </is>
      </c>
      <c r="M163" s="22" t="inlineStr">
        <is>
          <t>输出保持合法位模式，预期高SDC且tag检查无法发现</t>
        </is>
      </c>
      <c r="N163" s="22" t="inlineStr">
        <is>
          <t>针对读数据选择网络的结构化风险</t>
        </is>
      </c>
      <c r="O163" s="22" t="inlineStr">
        <is>
          <t>本方案结构化模型</t>
        </is>
      </c>
      <c r="P163" s="23" t="n"/>
      <c r="Q163" s="23" t="n"/>
      <c r="R163" s="23" t="n"/>
      <c r="S163" s="23" t="n"/>
      <c r="T163" s="23" t="n"/>
      <c r="U163" s="23" t="n"/>
      <c r="V163" s="23" t="n"/>
      <c r="W163" s="23" t="n"/>
      <c r="X163" s="35">
        <f>IF(OR(R163="",R163-AP163&lt;=0),"",AB163/(R163-AP163))</f>
        <v/>
      </c>
      <c r="Y163" s="35">
        <f>IF(OR(AR163="",AR163=0),"",R163/AR163)</f>
        <v/>
      </c>
      <c r="Z163" s="24" t="inlineStr">
        <is>
          <t>待执行</t>
        </is>
      </c>
      <c r="AA163" s="23" t="n"/>
      <c r="AB163" s="38" t="n"/>
      <c r="AC163" s="38" t="n"/>
      <c r="AD163" s="38" t="n"/>
      <c r="AE163" s="38" t="n"/>
      <c r="AF163" s="38" t="n"/>
      <c r="AG163" s="38" t="n"/>
      <c r="AH163" s="38" t="n"/>
      <c r="AI163" s="38" t="n"/>
      <c r="AJ163" s="38" t="n"/>
      <c r="AK163" s="39" t="n"/>
      <c r="AL163" s="40">
        <f>IF(OR(R163="",R163-AP163&lt;=0),"",AO163/(R163-AP163))</f>
        <v/>
      </c>
      <c r="AM163" s="41">
        <f>IF(R163="","",SUM(AC163:AF163)-(R163-AP163))</f>
        <v/>
      </c>
      <c r="AN163" s="41">
        <f>IF(R163="","",SUM(S163:W163)+AP163-R163)</f>
        <v/>
      </c>
      <c r="AO163" s="44" t="n"/>
      <c r="AP163" s="45" t="n"/>
      <c r="AQ163" s="47" t="inlineStr">
        <is>
          <t>C09-a byte旋转；C09-b word互换；C09-c line片段拼接；C09-d 使用上一版本数据</t>
        </is>
      </c>
      <c r="AR163" s="23" t="n"/>
      <c r="AS163" s="35">
        <f>IF(OR(Q163="",Q163=0),"",AR163/Q163)</f>
        <v/>
      </c>
      <c r="AT163" s="62" t="n">
        <v>30</v>
      </c>
      <c r="AU163" s="62" t="n">
        <v>385</v>
      </c>
      <c r="AV163" s="62" t="inlineStr">
        <is>
          <t>常规</t>
        </is>
      </c>
      <c r="AW163" s="62" t="inlineStr">
        <is>
          <t>累计至少385，不机械扩展到2401</t>
        </is>
      </c>
    </row>
    <row r="164" ht="94.15000000000001" customHeight="1" s="58">
      <c r="A164" s="21" t="inlineStr">
        <is>
          <t>C10-F0-W6</t>
        </is>
      </c>
      <c r="B164" s="21" t="inlineStr">
        <is>
          <t>C10</t>
        </is>
      </c>
      <c r="C164" s="21" t="inlineStr">
        <is>
          <t>L1d-Cache</t>
        </is>
      </c>
      <c r="D164" s="22" t="inlineStr">
        <is>
          <t>L1D 的 replacement/PLRU 元数据和 victim-way 选择器。它只决定 miss 时驱逐哪个 way，正常情况下不应改变程序结果；因此本位置主要作为“只影响性能”的负对照。</t>
        </is>
      </c>
      <c r="E164" s="22" t="inlineStr">
        <is>
          <t>状态</t>
        </is>
      </c>
      <c r="F164"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4" s="22" t="inlineStr">
        <is>
          <t>F0</t>
        </is>
      </c>
      <c r="H164" s="22" t="inlineStr">
        <is>
          <t>每次运行只注入 1 次；在 warm-up 后的 eligible event 中均匀抽样</t>
        </is>
      </c>
      <c r="I164" s="22" t="inlineStr">
        <is>
          <t>Cache-DirtyEvict 缓存探针（0.5×/1×/2×L1D working set、conflict set、dirty eviction、writeback）</t>
        </is>
      </c>
      <c r="J164" s="22" t="inlineStr">
        <is>
          <t>Cache-DirtyEvict 缓存探针（0.5×/1×/2×L1D working set、conflict set、dirty eviction、writeback）
执行定义与 oracle：working set=0.5×/1×/2×L1D；读改写、dirty eviction、writeback、conflict set、共享行 false sharing</t>
        </is>
      </c>
      <c r="K164" s="22" t="inlineStr">
        <is>
          <t>set满且发生miss</t>
        </is>
      </c>
      <c r="L164" s="22" t="inlineStr">
        <is>
          <t>L0 行/way是否被需求读或驱逐；L1 tag/data/valid/dirty/coherence/PLRU；L2 hit/miss/MSHR/merge/fill；L3 writeback与一致性消息；L4 load值/store可见性；L5结局；victim序列、miss/MPKI、dirty victim、输出</t>
        </is>
      </c>
      <c r="M164" s="22" t="inlineStr">
        <is>
          <t>通常仅性能；若与dirty/writeback控制缺陷耦合才影响正确性，预期SDC接近0</t>
        </is>
      </c>
      <c r="N164" s="22" t="inlineStr">
        <is>
          <t>作为负对照验证“只影响性能”的假设</t>
        </is>
      </c>
      <c r="O164" s="22" t="inlineStr">
        <is>
          <t>无直接文献；负对照</t>
        </is>
      </c>
      <c r="P164" s="23" t="n"/>
      <c r="Q164" s="23" t="n"/>
      <c r="R164" s="23" t="n"/>
      <c r="S164" s="23" t="n"/>
      <c r="T164" s="23" t="n"/>
      <c r="U164" s="23" t="n"/>
      <c r="V164" s="23" t="n"/>
      <c r="W164" s="23" t="n"/>
      <c r="X164" s="35">
        <f>IF(OR(R164="",R164-AP164&lt;=0),"",AB164/(R164-AP164))</f>
        <v/>
      </c>
      <c r="Y164" s="35">
        <f>IF(OR(AR164="",AR164=0),"",R164/AR164)</f>
        <v/>
      </c>
      <c r="Z164" s="24" t="inlineStr">
        <is>
          <t>待执行</t>
        </is>
      </c>
      <c r="AA164" s="23" t="n"/>
      <c r="AB164" s="38" t="n"/>
      <c r="AC164" s="38" t="n"/>
      <c r="AD164" s="38" t="n"/>
      <c r="AE164" s="38" t="n"/>
      <c r="AF164" s="38" t="n"/>
      <c r="AG164" s="38" t="n"/>
      <c r="AH164" s="38" t="n"/>
      <c r="AI164" s="38" t="n"/>
      <c r="AJ164" s="38" t="n"/>
      <c r="AK164" s="39" t="n"/>
      <c r="AL164" s="40">
        <f>IF(OR(R164="",R164-AP164&lt;=0),"",AO164/(R164-AP164))</f>
        <v/>
      </c>
      <c r="AM164" s="41">
        <f>IF(R164="","",SUM(AC164:AF164)-(R164-AP164))</f>
        <v/>
      </c>
      <c r="AN164" s="41">
        <f>IF(R164="","",SUM(S164:W164)+AP164-R164)</f>
        <v/>
      </c>
      <c r="AO164" s="44" t="n"/>
      <c r="AP164" s="45" t="n"/>
      <c r="AQ164" s="47" t="inlineStr">
        <is>
          <t>C10-a PLRU位翻转；C10-b 选择错误victim way</t>
        </is>
      </c>
      <c r="AR164" s="23" t="n"/>
      <c r="AS164" s="35">
        <f>IF(OR(Q164="",Q164=0),"",AR164/Q164)</f>
        <v/>
      </c>
      <c r="AT164" s="62" t="n">
        <v>30</v>
      </c>
      <c r="AU164" s="62" t="n">
        <v>2401</v>
      </c>
      <c r="AV164" s="62" t="inlineStr">
        <is>
          <t>重点（预登记21项）</t>
        </is>
      </c>
      <c r="AW164" s="62" t="inlineStr">
        <is>
          <t>累计到2401（含前385）</t>
        </is>
      </c>
    </row>
    <row r="165" ht="94.15000000000001" customHeight="1" s="58">
      <c r="A165" s="21" t="inlineStr">
        <is>
          <t>C10-F0-W10</t>
        </is>
      </c>
      <c r="B165" s="21" t="inlineStr">
        <is>
          <t>C10</t>
        </is>
      </c>
      <c r="C165" s="21" t="inlineStr">
        <is>
          <t>L1d-Cache</t>
        </is>
      </c>
      <c r="D165" s="22" t="inlineStr">
        <is>
          <t>L1D 的 replacement/PLRU 元数据和 victim-way 选择器。它只决定 miss 时驱逐哪个 way，正常情况下不应改变程序结果；因此本位置主要作为“只影响性能”的负对照。</t>
        </is>
      </c>
      <c r="E165" s="22" t="inlineStr">
        <is>
          <t>状态</t>
        </is>
      </c>
      <c r="F165"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5" s="22" t="inlineStr">
        <is>
          <t>F0</t>
        </is>
      </c>
      <c r="H165" s="22" t="inlineStr">
        <is>
          <t>每次运行只注入 1 次；在 warm-up 后的 eligible event 中均匀抽样</t>
        </is>
      </c>
      <c r="I165" s="22" t="inlineStr">
        <is>
          <t>STREAM+PointerChase（Copy、Scale、Add、Triad 与随机指针链）</t>
        </is>
      </c>
      <c r="J165" s="22" t="inlineStr">
        <is>
          <t>STREAM+PointerChase（Copy、Scale、Add、Triad 与随机指针链）
执行定义与 oracle：STREAM Copy/Scale/Add/Triad 加随机 pointer chase；检查数组 hash 与遍历节点数</t>
        </is>
      </c>
      <c r="K165" s="22" t="inlineStr">
        <is>
          <t>set满且发生miss</t>
        </is>
      </c>
      <c r="L165" s="22" t="inlineStr">
        <is>
          <t>L0 行/way是否被需求读或驱逐；L1 tag/data/valid/dirty/coherence/PLRU；L2 hit/miss/MSHR/merge/fill；L3 writeback与一致性消息；L4 load值/store可见性；L5结局；victim序列、miss/MPKI、dirty victim、输出</t>
        </is>
      </c>
      <c r="M165" s="22" t="inlineStr">
        <is>
          <t>通常仅性能；若与dirty/writeback控制缺陷耦合才影响正确性，预期SDC接近0</t>
        </is>
      </c>
      <c r="N165" s="22" t="inlineStr">
        <is>
          <t>作为负对照验证“只影响性能”的假设</t>
        </is>
      </c>
      <c r="O165" s="22" t="inlineStr">
        <is>
          <t>无直接文献；负对照</t>
        </is>
      </c>
      <c r="P165" s="23" t="n"/>
      <c r="Q165" s="23" t="n"/>
      <c r="R165" s="23" t="n"/>
      <c r="S165" s="23" t="n"/>
      <c r="T165" s="23" t="n"/>
      <c r="U165" s="23" t="n"/>
      <c r="V165" s="23" t="n"/>
      <c r="W165" s="23" t="n"/>
      <c r="X165" s="35">
        <f>IF(OR(R165="",R165-AP165&lt;=0),"",AB165/(R165-AP165))</f>
        <v/>
      </c>
      <c r="Y165" s="35">
        <f>IF(OR(AR165="",AR165=0),"",R165/AR165)</f>
        <v/>
      </c>
      <c r="Z165" s="24" t="inlineStr">
        <is>
          <t>待执行</t>
        </is>
      </c>
      <c r="AA165" s="23" t="n"/>
      <c r="AB165" s="38" t="n"/>
      <c r="AC165" s="38" t="n"/>
      <c r="AD165" s="38" t="n"/>
      <c r="AE165" s="38" t="n"/>
      <c r="AF165" s="38" t="n"/>
      <c r="AG165" s="38" t="n"/>
      <c r="AH165" s="38" t="n"/>
      <c r="AI165" s="38" t="n"/>
      <c r="AJ165" s="38" t="n"/>
      <c r="AK165" s="39" t="n"/>
      <c r="AL165" s="40">
        <f>IF(OR(R165="",R165-AP165&lt;=0),"",AO165/(R165-AP165))</f>
        <v/>
      </c>
      <c r="AM165" s="41">
        <f>IF(R165="","",SUM(AC165:AF165)-(R165-AP165))</f>
        <v/>
      </c>
      <c r="AN165" s="41">
        <f>IF(R165="","",SUM(S165:W165)+AP165-R165)</f>
        <v/>
      </c>
      <c r="AO165" s="44" t="n"/>
      <c r="AP165" s="45" t="n"/>
      <c r="AQ165" s="47" t="inlineStr">
        <is>
          <t>C10-a PLRU位翻转；C10-b 选择错误victim way</t>
        </is>
      </c>
      <c r="AR165" s="23" t="n"/>
      <c r="AS165" s="35">
        <f>IF(OR(Q165="",Q165=0),"",AR165/Q165)</f>
        <v/>
      </c>
      <c r="AT165" s="62" t="n">
        <v>30</v>
      </c>
      <c r="AU165" s="62" t="n">
        <v>385</v>
      </c>
      <c r="AV165" s="62" t="inlineStr">
        <is>
          <t>常规</t>
        </is>
      </c>
      <c r="AW165" s="62" t="inlineStr">
        <is>
          <t>累计至少385，不机械扩展到2401</t>
        </is>
      </c>
    </row>
    <row r="166" ht="94.15000000000001" customHeight="1" s="58">
      <c r="A166" s="21" t="inlineStr">
        <is>
          <t>C10-F3-W6</t>
        </is>
      </c>
      <c r="B166" s="21" t="inlineStr">
        <is>
          <t>C10</t>
        </is>
      </c>
      <c r="C166" s="21" t="inlineStr">
        <is>
          <t>L1d-Cache</t>
        </is>
      </c>
      <c r="D166" s="22" t="inlineStr">
        <is>
          <t>L1D 的 replacement/PLRU 元数据和 victim-way 选择器。它只决定 miss 时驱逐哪个 way，正常情况下不应改变程序结果；因此本位置主要作为“只影响性能”的负对照。</t>
        </is>
      </c>
      <c r="E166" s="22" t="inlineStr">
        <is>
          <t>状态</t>
        </is>
      </c>
      <c r="F166"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6" s="22" t="inlineStr">
        <is>
          <t>F3</t>
        </is>
      </c>
      <c r="H166" s="22" t="inlineStr">
        <is>
          <t>平均每 10,000 个 eligible events 注入 1 次，间隔加入 ±50% 抖动</t>
        </is>
      </c>
      <c r="I166" s="22" t="inlineStr">
        <is>
          <t>Cache-DirtyEvict 缓存探针（0.5×/1×/2×L1D working set、conflict set、dirty eviction、writeback）</t>
        </is>
      </c>
      <c r="J166" s="22" t="inlineStr">
        <is>
          <t>Cache-DirtyEvict 缓存探针（0.5×/1×/2×L1D working set、conflict set、dirty eviction、writeback）
执行定义与 oracle：working set=0.5×/1×/2×L1D；读改写、dirty eviction、writeback、conflict set、共享行 false sharing</t>
        </is>
      </c>
      <c r="K166" s="22" t="inlineStr">
        <is>
          <t>set满且发生miss</t>
        </is>
      </c>
      <c r="L166" s="22" t="inlineStr">
        <is>
          <t>L0 行/way是否被需求读或驱逐；L1 tag/data/valid/dirty/coherence/PLRU；L2 hit/miss/MSHR/merge/fill；L3 writeback与一致性消息；L4 load值/store可见性；L5结局；victim序列、miss/MPKI、dirty victim、输出</t>
        </is>
      </c>
      <c r="M166" s="22" t="inlineStr">
        <is>
          <t>通常仅性能；若与dirty/writeback控制缺陷耦合才影响正确性，预期SDC接近0</t>
        </is>
      </c>
      <c r="N166" s="22" t="inlineStr">
        <is>
          <t>作为负对照验证“只影响性能”的假设</t>
        </is>
      </c>
      <c r="O166" s="22" t="inlineStr">
        <is>
          <t>无直接文献；负对照</t>
        </is>
      </c>
      <c r="P166" s="23" t="n"/>
      <c r="Q166" s="23" t="n"/>
      <c r="R166" s="23" t="n"/>
      <c r="S166" s="23" t="n"/>
      <c r="T166" s="23" t="n"/>
      <c r="U166" s="23" t="n"/>
      <c r="V166" s="23" t="n"/>
      <c r="W166" s="23" t="n"/>
      <c r="X166" s="35">
        <f>IF(OR(R166="",R166-AP166&lt;=0),"",AB166/(R166-AP166))</f>
        <v/>
      </c>
      <c r="Y166" s="35">
        <f>IF(OR(AR166="",AR166=0),"",R166/AR166)</f>
        <v/>
      </c>
      <c r="Z166" s="24" t="inlineStr">
        <is>
          <t>待执行</t>
        </is>
      </c>
      <c r="AA166" s="23" t="n"/>
      <c r="AB166" s="38" t="n"/>
      <c r="AC166" s="38" t="n"/>
      <c r="AD166" s="38" t="n"/>
      <c r="AE166" s="38" t="n"/>
      <c r="AF166" s="38" t="n"/>
      <c r="AG166" s="38" t="n"/>
      <c r="AH166" s="38" t="n"/>
      <c r="AI166" s="38" t="n"/>
      <c r="AJ166" s="38" t="n"/>
      <c r="AK166" s="39" t="n"/>
      <c r="AL166" s="40">
        <f>IF(OR(R166="",R166-AP166&lt;=0),"",AO166/(R166-AP166))</f>
        <v/>
      </c>
      <c r="AM166" s="41">
        <f>IF(R166="","",SUM(AC166:AF166)-(R166-AP166))</f>
        <v/>
      </c>
      <c r="AN166" s="41">
        <f>IF(R166="","",SUM(S166:W166)+AP166-R166)</f>
        <v/>
      </c>
      <c r="AO166" s="44" t="n"/>
      <c r="AP166" s="45" t="n"/>
      <c r="AQ166" s="47" t="inlineStr">
        <is>
          <t>C10-a PLRU位翻转；C10-b 选择错误victim way</t>
        </is>
      </c>
      <c r="AR166" s="23" t="n"/>
      <c r="AS166" s="35">
        <f>IF(OR(Q166="",Q166=0),"",AR166/Q166)</f>
        <v/>
      </c>
      <c r="AT166" s="62" t="n">
        <v>30</v>
      </c>
      <c r="AU166" s="62" t="n">
        <v>385</v>
      </c>
      <c r="AV166" s="62" t="inlineStr">
        <is>
          <t>常规</t>
        </is>
      </c>
      <c r="AW166" s="62" t="inlineStr">
        <is>
          <t>累计至少385，不机械扩展到2401</t>
        </is>
      </c>
    </row>
    <row r="167" ht="94.15000000000001" customHeight="1" s="58">
      <c r="A167" s="21" t="inlineStr">
        <is>
          <t>C10-F3-W10</t>
        </is>
      </c>
      <c r="B167" s="21" t="inlineStr">
        <is>
          <t>C10</t>
        </is>
      </c>
      <c r="C167" s="21" t="inlineStr">
        <is>
          <t>L1d-Cache</t>
        </is>
      </c>
      <c r="D167" s="22" t="inlineStr">
        <is>
          <t>L1D 的 replacement/PLRU 元数据和 victim-way 选择器。它只决定 miss 时驱逐哪个 way，正常情况下不应改变程序结果；因此本位置主要作为“只影响性能”的负对照。</t>
        </is>
      </c>
      <c r="E167" s="22" t="inlineStr">
        <is>
          <t>状态</t>
        </is>
      </c>
      <c r="F167"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7" s="22" t="inlineStr">
        <is>
          <t>F3</t>
        </is>
      </c>
      <c r="H167" s="22" t="inlineStr">
        <is>
          <t>平均每 10,000 个 eligible events 注入 1 次，间隔加入 ±50% 抖动</t>
        </is>
      </c>
      <c r="I167" s="22" t="inlineStr">
        <is>
          <t>STREAM+PointerChase（Copy、Scale、Add、Triad 与随机指针链）</t>
        </is>
      </c>
      <c r="J167" s="22" t="inlineStr">
        <is>
          <t>STREAM+PointerChase（Copy、Scale、Add、Triad 与随机指针链）
执行定义与 oracle：STREAM Copy/Scale/Add/Triad 加随机 pointer chase；检查数组 hash 与遍历节点数</t>
        </is>
      </c>
      <c r="K167" s="22" t="inlineStr">
        <is>
          <t>set满且发生miss</t>
        </is>
      </c>
      <c r="L167" s="22" t="inlineStr">
        <is>
          <t>L0 行/way是否被需求读或驱逐；L1 tag/data/valid/dirty/coherence/PLRU；L2 hit/miss/MSHR/merge/fill；L3 writeback与一致性消息；L4 load值/store可见性；L5结局；victim序列、miss/MPKI、dirty victim、输出</t>
        </is>
      </c>
      <c r="M167" s="22" t="inlineStr">
        <is>
          <t>通常仅性能；若与dirty/writeback控制缺陷耦合才影响正确性，预期SDC接近0</t>
        </is>
      </c>
      <c r="N167" s="22" t="inlineStr">
        <is>
          <t>作为负对照验证“只影响性能”的假设</t>
        </is>
      </c>
      <c r="O167" s="22" t="inlineStr">
        <is>
          <t>无直接文献；负对照</t>
        </is>
      </c>
      <c r="P167" s="23" t="n"/>
      <c r="Q167" s="23" t="n"/>
      <c r="R167" s="23" t="n"/>
      <c r="S167" s="23" t="n"/>
      <c r="T167" s="23" t="n"/>
      <c r="U167" s="23" t="n"/>
      <c r="V167" s="23" t="n"/>
      <c r="W167" s="23" t="n"/>
      <c r="X167" s="35">
        <f>IF(OR(R167="",R167-AP167&lt;=0),"",AB167/(R167-AP167))</f>
        <v/>
      </c>
      <c r="Y167" s="35">
        <f>IF(OR(AR167="",AR167=0),"",R167/AR167)</f>
        <v/>
      </c>
      <c r="Z167" s="24" t="inlineStr">
        <is>
          <t>待执行</t>
        </is>
      </c>
      <c r="AA167" s="23" t="n"/>
      <c r="AB167" s="38" t="n"/>
      <c r="AC167" s="38" t="n"/>
      <c r="AD167" s="38" t="n"/>
      <c r="AE167" s="38" t="n"/>
      <c r="AF167" s="38" t="n"/>
      <c r="AG167" s="38" t="n"/>
      <c r="AH167" s="38" t="n"/>
      <c r="AI167" s="38" t="n"/>
      <c r="AJ167" s="38" t="n"/>
      <c r="AK167" s="39" t="n"/>
      <c r="AL167" s="40">
        <f>IF(OR(R167="",R167-AP167&lt;=0),"",AO167/(R167-AP167))</f>
        <v/>
      </c>
      <c r="AM167" s="41">
        <f>IF(R167="","",SUM(AC167:AF167)-(R167-AP167))</f>
        <v/>
      </c>
      <c r="AN167" s="41">
        <f>IF(R167="","",SUM(S167:W167)+AP167-R167)</f>
        <v/>
      </c>
      <c r="AO167" s="44" t="n"/>
      <c r="AP167" s="45" t="n"/>
      <c r="AQ167" s="47" t="inlineStr">
        <is>
          <t>C10-a PLRU位翻转；C10-b 选择错误victim way</t>
        </is>
      </c>
      <c r="AR167" s="23" t="n"/>
      <c r="AS167" s="35">
        <f>IF(OR(Q167="",Q167=0),"",AR167/Q167)</f>
        <v/>
      </c>
      <c r="AT167" s="62" t="n">
        <v>30</v>
      </c>
      <c r="AU167" s="62" t="n">
        <v>385</v>
      </c>
      <c r="AV167" s="62" t="inlineStr">
        <is>
          <t>常规</t>
        </is>
      </c>
      <c r="AW167" s="62" t="inlineStr">
        <is>
          <t>累计至少385，不机械扩展到2401</t>
        </is>
      </c>
    </row>
    <row r="168" ht="94.15000000000001" customHeight="1" s="58">
      <c r="A168" s="21" t="inlineStr">
        <is>
          <t>C10-F5-W6</t>
        </is>
      </c>
      <c r="B168" s="21" t="inlineStr">
        <is>
          <t>C10</t>
        </is>
      </c>
      <c r="C168" s="21" t="inlineStr">
        <is>
          <t>L1d-Cache</t>
        </is>
      </c>
      <c r="D168" s="22" t="inlineStr">
        <is>
          <t>L1D 的 replacement/PLRU 元数据和 victim-way 选择器。它只决定 miss 时驱逐哪个 way，正常情况下不应改变程序结果；因此本位置主要作为“只影响性能”的负对照。</t>
        </is>
      </c>
      <c r="E168" s="22" t="inlineStr">
        <is>
          <t>状态</t>
        </is>
      </c>
      <c r="F168"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8" s="22" t="inlineStr">
        <is>
          <t>F5</t>
        </is>
      </c>
      <c r="H168" s="22" t="inlineStr">
        <is>
          <t>warm-up 后第一个 eligible event 起持续到运行结束；每次运行仅选一个 bit/字段</t>
        </is>
      </c>
      <c r="I168" s="22" t="inlineStr">
        <is>
          <t>Cache-DirtyEvict 缓存探针（0.5×/1×/2×L1D working set、conflict set、dirty eviction、writeback）</t>
        </is>
      </c>
      <c r="J168" s="22" t="inlineStr">
        <is>
          <t>Cache-DirtyEvict 缓存探针（0.5×/1×/2×L1D working set、conflict set、dirty eviction、writeback）
执行定义与 oracle：working set=0.5×/1×/2×L1D；读改写、dirty eviction、writeback、conflict set、共享行 false sharing</t>
        </is>
      </c>
      <c r="K168" s="22" t="inlineStr">
        <is>
          <t>set满且发生miss</t>
        </is>
      </c>
      <c r="L168" s="22" t="inlineStr">
        <is>
          <t>L0 行/way是否被需求读或驱逐；L1 tag/data/valid/dirty/coherence/PLRU；L2 hit/miss/MSHR/merge/fill；L3 writeback与一致性消息；L4 load值/store可见性；L5结局；victim序列、miss/MPKI、dirty victim、输出</t>
        </is>
      </c>
      <c r="M168" s="22" t="inlineStr">
        <is>
          <t>通常仅性能；若与dirty/writeback控制缺陷耦合才影响正确性，预期SDC接近0</t>
        </is>
      </c>
      <c r="N168" s="22" t="inlineStr">
        <is>
          <t>作为负对照验证“只影响性能”的假设</t>
        </is>
      </c>
      <c r="O168" s="22" t="inlineStr">
        <is>
          <t>无直接文献；负对照</t>
        </is>
      </c>
      <c r="P168" s="23" t="n"/>
      <c r="Q168" s="23" t="n"/>
      <c r="R168" s="23" t="n"/>
      <c r="S168" s="23" t="n"/>
      <c r="T168" s="23" t="n"/>
      <c r="U168" s="23" t="n"/>
      <c r="V168" s="23" t="n"/>
      <c r="W168" s="23" t="n"/>
      <c r="X168" s="35">
        <f>IF(OR(R168="",R168-AP168&lt;=0),"",AB168/(R168-AP168))</f>
        <v/>
      </c>
      <c r="Y168" s="35">
        <f>IF(OR(AR168="",AR168=0),"",R168/AR168)</f>
        <v/>
      </c>
      <c r="Z168" s="24" t="inlineStr">
        <is>
          <t>待执行</t>
        </is>
      </c>
      <c r="AA168" s="23" t="n"/>
      <c r="AB168" s="38" t="n"/>
      <c r="AC168" s="38" t="n"/>
      <c r="AD168" s="38" t="n"/>
      <c r="AE168" s="38" t="n"/>
      <c r="AF168" s="38" t="n"/>
      <c r="AG168" s="38" t="n"/>
      <c r="AH168" s="38" t="n"/>
      <c r="AI168" s="38" t="n"/>
      <c r="AJ168" s="38" t="n"/>
      <c r="AK168" s="39" t="n"/>
      <c r="AL168" s="40">
        <f>IF(OR(R168="",R168-AP168&lt;=0),"",AO168/(R168-AP168))</f>
        <v/>
      </c>
      <c r="AM168" s="41">
        <f>IF(R168="","",SUM(AC168:AF168)-(R168-AP168))</f>
        <v/>
      </c>
      <c r="AN168" s="41">
        <f>IF(R168="","",SUM(S168:W168)+AP168-R168)</f>
        <v/>
      </c>
      <c r="AO168" s="44" t="n"/>
      <c r="AP168" s="45" t="n"/>
      <c r="AQ168" s="47" t="inlineStr">
        <is>
          <t>C10-a PLRU位翻转；C10-b 选择错误victim way</t>
        </is>
      </c>
      <c r="AR168" s="23" t="n"/>
      <c r="AS168" s="35">
        <f>IF(OR(Q168="",Q168=0),"",AR168/Q168)</f>
        <v/>
      </c>
      <c r="AT168" s="62" t="n">
        <v>30</v>
      </c>
      <c r="AU168" s="62" t="n">
        <v>385</v>
      </c>
      <c r="AV168" s="62" t="inlineStr">
        <is>
          <t>常规</t>
        </is>
      </c>
      <c r="AW168" s="62" t="inlineStr">
        <is>
          <t>累计至少385，不机械扩展到2401</t>
        </is>
      </c>
    </row>
    <row r="169" ht="94.15000000000001" customHeight="1" s="58">
      <c r="A169" s="21" t="inlineStr">
        <is>
          <t>C10-F5-W10</t>
        </is>
      </c>
      <c r="B169" s="21" t="inlineStr">
        <is>
          <t>C10</t>
        </is>
      </c>
      <c r="C169" s="21" t="inlineStr">
        <is>
          <t>L1d-Cache</t>
        </is>
      </c>
      <c r="D169" s="22" t="inlineStr">
        <is>
          <t>L1D 的 replacement/PLRU 元数据和 victim-way 选择器。它只决定 miss 时驱逐哪个 way，正常情况下不应改变程序结果；因此本位置主要作为“只影响性能”的负对照。</t>
        </is>
      </c>
      <c r="E169" s="22" t="inlineStr">
        <is>
          <t>状态</t>
        </is>
      </c>
      <c r="F169"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9" s="22" t="inlineStr">
        <is>
          <t>F5</t>
        </is>
      </c>
      <c r="H169" s="22" t="inlineStr">
        <is>
          <t>warm-up 后第一个 eligible event 起持续到运行结束；每次运行仅选一个 bit/字段</t>
        </is>
      </c>
      <c r="I169" s="22" t="inlineStr">
        <is>
          <t>STREAM+PointerChase（Copy、Scale、Add、Triad 与随机指针链）</t>
        </is>
      </c>
      <c r="J169" s="22" t="inlineStr">
        <is>
          <t>STREAM+PointerChase（Copy、Scale、Add、Triad 与随机指针链）
执行定义与 oracle：STREAM Copy/Scale/Add/Triad 加随机 pointer chase；检查数组 hash 与遍历节点数</t>
        </is>
      </c>
      <c r="K169" s="22" t="inlineStr">
        <is>
          <t>set满且发生miss</t>
        </is>
      </c>
      <c r="L169" s="22" t="inlineStr">
        <is>
          <t>L0 行/way是否被需求读或驱逐；L1 tag/data/valid/dirty/coherence/PLRU；L2 hit/miss/MSHR/merge/fill；L3 writeback与一致性消息；L4 load值/store可见性；L5结局；victim序列、miss/MPKI、dirty victim、输出</t>
        </is>
      </c>
      <c r="M169" s="22" t="inlineStr">
        <is>
          <t>通常仅性能；若与dirty/writeback控制缺陷耦合才影响正确性，预期SDC接近0</t>
        </is>
      </c>
      <c r="N169" s="22" t="inlineStr">
        <is>
          <t>作为负对照验证“只影响性能”的假设</t>
        </is>
      </c>
      <c r="O169" s="22" t="inlineStr">
        <is>
          <t>无直接文献；负对照</t>
        </is>
      </c>
      <c r="P169" s="23" t="n"/>
      <c r="Q169" s="23" t="n"/>
      <c r="R169" s="23" t="n"/>
      <c r="S169" s="23" t="n"/>
      <c r="T169" s="23" t="n"/>
      <c r="U169" s="23" t="n"/>
      <c r="V169" s="23" t="n"/>
      <c r="W169" s="23" t="n"/>
      <c r="X169" s="35">
        <f>IF(OR(R169="",R169-AP169&lt;=0),"",AB169/(R169-AP169))</f>
        <v/>
      </c>
      <c r="Y169" s="35">
        <f>IF(OR(AR169="",AR169=0),"",R169/AR169)</f>
        <v/>
      </c>
      <c r="Z169" s="24" t="inlineStr">
        <is>
          <t>待执行</t>
        </is>
      </c>
      <c r="AA169" s="23" t="n"/>
      <c r="AB169" s="38" t="n"/>
      <c r="AC169" s="38" t="n"/>
      <c r="AD169" s="38" t="n"/>
      <c r="AE169" s="38" t="n"/>
      <c r="AF169" s="38" t="n"/>
      <c r="AG169" s="38" t="n"/>
      <c r="AH169" s="38" t="n"/>
      <c r="AI169" s="38" t="n"/>
      <c r="AJ169" s="38" t="n"/>
      <c r="AK169" s="39" t="n"/>
      <c r="AL169" s="40">
        <f>IF(OR(R169="",R169-AP169&lt;=0),"",AO169/(R169-AP169))</f>
        <v/>
      </c>
      <c r="AM169" s="41">
        <f>IF(R169="","",SUM(AC169:AF169)-(R169-AP169))</f>
        <v/>
      </c>
      <c r="AN169" s="41">
        <f>IF(R169="","",SUM(S169:W169)+AP169-R169)</f>
        <v/>
      </c>
      <c r="AO169" s="44" t="n"/>
      <c r="AP169" s="45" t="n"/>
      <c r="AQ169" s="47" t="inlineStr">
        <is>
          <t>C10-a PLRU位翻转；C10-b 选择错误victim way</t>
        </is>
      </c>
      <c r="AR169" s="23" t="n"/>
      <c r="AS169" s="35">
        <f>IF(OR(Q169="",Q169=0),"",AR169/Q169)</f>
        <v/>
      </c>
      <c r="AT169" s="62" t="n">
        <v>30</v>
      </c>
      <c r="AU169" s="62" t="n">
        <v>385</v>
      </c>
      <c r="AV169" s="62" t="inlineStr">
        <is>
          <t>常规</t>
        </is>
      </c>
      <c r="AW169" s="62" t="inlineStr">
        <is>
          <t>累计至少385，不机械扩展到2401</t>
        </is>
      </c>
    </row>
    <row r="170" ht="94.15000000000001" customHeight="1" s="58">
      <c r="A170" s="21" t="inlineStr">
        <is>
          <t>C11-F0-W6</t>
        </is>
      </c>
      <c r="B170" s="21" t="inlineStr">
        <is>
          <t>C11</t>
        </is>
      </c>
      <c r="C170" s="21" t="inlineStr">
        <is>
          <t>L1d-Cache</t>
        </is>
      </c>
      <c r="D170" s="22" t="inlineStr">
        <is>
          <t>L1D 的 MSHR（Miss Status Holding Register）及 target 列表。MSHR 保存尚未返回的 cache-line miss，target 列表记录等待同一 line 的多个 load/store；地址、合并关系或唤醒对象错配会把 fill 交给错误消费者。</t>
        </is>
      </c>
      <c r="E170" s="22" t="inlineStr">
        <is>
          <t>换值</t>
        </is>
      </c>
      <c r="F170"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0" s="22" t="inlineStr">
        <is>
          <t>F0</t>
        </is>
      </c>
      <c r="H170" s="22" t="inlineStr">
        <is>
          <t>每次运行只注入 1 次；在 warm-up 后的 eligible event 中均匀抽样</t>
        </is>
      </c>
      <c r="I170" s="22" t="inlineStr">
        <is>
          <t>Cache-DirtyEvict 缓存探针（0.5×/1×/2×L1D working set、conflict set、dirty eviction、writeback）</t>
        </is>
      </c>
      <c r="J170" s="22" t="inlineStr">
        <is>
          <t>Cache-DirtyEvict 缓存探针（0.5×/1×/2×L1D working set、conflict set、dirty eviction、writeback）
执行定义与 oracle：working set=0.5×/1×/2×L1D；读改写、dirty eviction、writeback、conflict set、共享行 false sharing</t>
        </is>
      </c>
      <c r="K170" s="22" t="inlineStr">
        <is>
          <t>至少1个outstanding miss；merge需同line请求</t>
        </is>
      </c>
      <c r="L170" s="22" t="inlineStr">
        <is>
          <t>L0 行/way是否被需求读或驱逐；L1 tag/data/valid/dirty/coherence/PLRU；L2 hit/miss/MSHR/merge/fill；L3 writeback与一致性消息；L4 load值/store可见性；L5结局；MSHR占用、request-target双向映射、fill ID、wakeup消费者</t>
        </is>
      </c>
      <c r="M170" s="22" t="inlineStr">
        <is>
          <t>错fill/错唤醒可产生读旧值或跨请求数据，结构检查可能先触发</t>
        </is>
      </c>
      <c r="N170" s="22" t="inlineStr">
        <is>
          <t>B0有6 MSHR，是L1D缺失处理核心</t>
        </is>
      </c>
      <c r="O170" s="22" t="inlineStr">
        <is>
          <t>无直接MSHR注入</t>
        </is>
      </c>
      <c r="P170" s="23" t="n"/>
      <c r="Q170" s="23" t="n"/>
      <c r="R170" s="23" t="n"/>
      <c r="S170" s="23" t="n"/>
      <c r="T170" s="23" t="n"/>
      <c r="U170" s="23" t="n"/>
      <c r="V170" s="23" t="n"/>
      <c r="W170" s="23" t="n"/>
      <c r="X170" s="35">
        <f>IF(OR(R170="",R170-AP170&lt;=0),"",AB170/(R170-AP170))</f>
        <v/>
      </c>
      <c r="Y170" s="35">
        <f>IF(OR(AR170="",AR170=0),"",R170/AR170)</f>
        <v/>
      </c>
      <c r="Z170" s="24" t="inlineStr">
        <is>
          <t>待执行</t>
        </is>
      </c>
      <c r="AA170" s="23" t="n"/>
      <c r="AB170" s="38" t="n"/>
      <c r="AC170" s="38" t="n"/>
      <c r="AD170" s="38" t="n"/>
      <c r="AE170" s="38" t="n"/>
      <c r="AF170" s="38" t="n"/>
      <c r="AG170" s="38" t="n"/>
      <c r="AH170" s="38" t="n"/>
      <c r="AI170" s="38" t="n"/>
      <c r="AJ170" s="38" t="n"/>
      <c r="AK170" s="39" t="n"/>
      <c r="AL170" s="40">
        <f>IF(OR(R170="",R170-AP170&lt;=0),"",AO170/(R170-AP170))</f>
        <v/>
      </c>
      <c r="AM170" s="41">
        <f>IF(R170="","",SUM(AC170:AF170)-(R170-AP170))</f>
        <v/>
      </c>
      <c r="AN170" s="41">
        <f>IF(R170="","",SUM(S170:W170)+AP170-R170)</f>
        <v/>
      </c>
      <c r="AO170" s="44" t="n"/>
      <c r="AP170" s="45" t="n"/>
      <c r="AQ170" s="47" t="inlineStr">
        <is>
          <t>C11-a MSHR地址替换；C11-b 错误merge；C11-c target丢失；C11-d target重复</t>
        </is>
      </c>
      <c r="AR170" s="23" t="n"/>
      <c r="AS170" s="35">
        <f>IF(OR(Q170="",Q170=0),"",AR170/Q170)</f>
        <v/>
      </c>
      <c r="AT170" s="62" t="n">
        <v>30</v>
      </c>
      <c r="AU170" s="62" t="n">
        <v>385</v>
      </c>
      <c r="AV170" s="62" t="inlineStr">
        <is>
          <t>常规</t>
        </is>
      </c>
      <c r="AW170" s="62" t="inlineStr">
        <is>
          <t>累计至少385，不机械扩展到2401</t>
        </is>
      </c>
    </row>
    <row r="171" ht="94.15000000000001" customHeight="1" s="58">
      <c r="A171" s="21" t="inlineStr">
        <is>
          <t>C11-F0-W10</t>
        </is>
      </c>
      <c r="B171" s="21" t="inlineStr">
        <is>
          <t>C11</t>
        </is>
      </c>
      <c r="C171" s="21" t="inlineStr">
        <is>
          <t>L1d-Cache</t>
        </is>
      </c>
      <c r="D171" s="22" t="inlineStr">
        <is>
          <t>L1D 的 MSHR（Miss Status Holding Register）及 target 列表。MSHR 保存尚未返回的 cache-line miss，target 列表记录等待同一 line 的多个 load/store；地址、合并关系或唤醒对象错配会把 fill 交给错误消费者。</t>
        </is>
      </c>
      <c r="E171" s="22" t="inlineStr">
        <is>
          <t>换值</t>
        </is>
      </c>
      <c r="F171"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1" s="22" t="inlineStr">
        <is>
          <t>F0</t>
        </is>
      </c>
      <c r="H171" s="22" t="inlineStr">
        <is>
          <t>每次运行只注入 1 次；在 warm-up 后的 eligible event 中均匀抽样</t>
        </is>
      </c>
      <c r="I171" s="22" t="inlineStr">
        <is>
          <t>STREAM+PointerChase（Copy、Scale、Add、Triad 与随机指针链）</t>
        </is>
      </c>
      <c r="J171" s="22" t="inlineStr">
        <is>
          <t>STREAM+PointerChase（Copy、Scale、Add、Triad 与随机指针链）
执行定义与 oracle：STREAM Copy/Scale/Add/Triad 加随机 pointer chase；检查数组 hash 与遍历节点数</t>
        </is>
      </c>
      <c r="K171" s="22" t="inlineStr">
        <is>
          <t>至少1个outstanding miss；merge需同line请求</t>
        </is>
      </c>
      <c r="L171" s="22" t="inlineStr">
        <is>
          <t>L0 行/way是否被需求读或驱逐；L1 tag/data/valid/dirty/coherence/PLRU；L2 hit/miss/MSHR/merge/fill；L3 writeback与一致性消息；L4 load值/store可见性；L5结局；MSHR占用、request-target双向映射、fill ID、wakeup消费者</t>
        </is>
      </c>
      <c r="M171" s="22" t="inlineStr">
        <is>
          <t>错fill/错唤醒可产生读旧值或跨请求数据，结构检查可能先触发</t>
        </is>
      </c>
      <c r="N171" s="22" t="inlineStr">
        <is>
          <t>B0有6 MSHR，是L1D缺失处理核心</t>
        </is>
      </c>
      <c r="O171" s="22" t="inlineStr">
        <is>
          <t>无直接MSHR注入</t>
        </is>
      </c>
      <c r="P171" s="23" t="n"/>
      <c r="Q171" s="23" t="n"/>
      <c r="R171" s="23" t="n"/>
      <c r="S171" s="23" t="n"/>
      <c r="T171" s="23" t="n"/>
      <c r="U171" s="23" t="n"/>
      <c r="V171" s="23" t="n"/>
      <c r="W171" s="23" t="n"/>
      <c r="X171" s="35">
        <f>IF(OR(R171="",R171-AP171&lt;=0),"",AB171/(R171-AP171))</f>
        <v/>
      </c>
      <c r="Y171" s="35">
        <f>IF(OR(AR171="",AR171=0),"",R171/AR171)</f>
        <v/>
      </c>
      <c r="Z171" s="24" t="inlineStr">
        <is>
          <t>待执行</t>
        </is>
      </c>
      <c r="AA171" s="23" t="n"/>
      <c r="AB171" s="38" t="n"/>
      <c r="AC171" s="38" t="n"/>
      <c r="AD171" s="38" t="n"/>
      <c r="AE171" s="38" t="n"/>
      <c r="AF171" s="38" t="n"/>
      <c r="AG171" s="38" t="n"/>
      <c r="AH171" s="38" t="n"/>
      <c r="AI171" s="38" t="n"/>
      <c r="AJ171" s="38" t="n"/>
      <c r="AK171" s="39" t="n"/>
      <c r="AL171" s="40">
        <f>IF(OR(R171="",R171-AP171&lt;=0),"",AO171/(R171-AP171))</f>
        <v/>
      </c>
      <c r="AM171" s="41">
        <f>IF(R171="","",SUM(AC171:AF171)-(R171-AP171))</f>
        <v/>
      </c>
      <c r="AN171" s="41">
        <f>IF(R171="","",SUM(S171:W171)+AP171-R171)</f>
        <v/>
      </c>
      <c r="AO171" s="44" t="n"/>
      <c r="AP171" s="45" t="n"/>
      <c r="AQ171" s="47" t="inlineStr">
        <is>
          <t>C11-a MSHR地址替换；C11-b 错误merge；C11-c target丢失；C11-d target重复</t>
        </is>
      </c>
      <c r="AR171" s="23" t="n"/>
      <c r="AS171" s="35">
        <f>IF(OR(Q171="",Q171=0),"",AR171/Q171)</f>
        <v/>
      </c>
      <c r="AT171" s="62" t="n">
        <v>30</v>
      </c>
      <c r="AU171" s="62" t="n">
        <v>385</v>
      </c>
      <c r="AV171" s="62" t="inlineStr">
        <is>
          <t>常规</t>
        </is>
      </c>
      <c r="AW171" s="62" t="inlineStr">
        <is>
          <t>累计至少385，不机械扩展到2401</t>
        </is>
      </c>
    </row>
    <row r="172" ht="94.15000000000001" customHeight="1" s="58">
      <c r="A172" s="21" t="inlineStr">
        <is>
          <t>C11-F2-W6</t>
        </is>
      </c>
      <c r="B172" s="21" t="inlineStr">
        <is>
          <t>C11</t>
        </is>
      </c>
      <c r="C172" s="21" t="inlineStr">
        <is>
          <t>L1d-Cache</t>
        </is>
      </c>
      <c r="D172" s="22" t="inlineStr">
        <is>
          <t>L1D 的 MSHR（Miss Status Holding Register）及 target 列表。MSHR 保存尚未返回的 cache-line miss，target 列表记录等待同一 line 的多个 load/store；地址、合并关系或唤醒对象错配会把 fill 交给错误消费者。</t>
        </is>
      </c>
      <c r="E172" s="22" t="inlineStr">
        <is>
          <t>换值</t>
        </is>
      </c>
      <c r="F172"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2" s="22" t="inlineStr">
        <is>
          <t>F2</t>
        </is>
      </c>
      <c r="H172" s="22" t="inlineStr">
        <is>
          <t>平均每 100,000 个 eligible events 注入 1 次，间隔加入 ±50% 抖动</t>
        </is>
      </c>
      <c r="I172" s="22" t="inlineStr">
        <is>
          <t>Cache-DirtyEvict 缓存探针（0.5×/1×/2×L1D working set、conflict set、dirty eviction、writeback）</t>
        </is>
      </c>
      <c r="J172" s="22" t="inlineStr">
        <is>
          <t>Cache-DirtyEvict 缓存探针（0.5×/1×/2×L1D working set、conflict set、dirty eviction、writeback）
执行定义与 oracle：working set=0.5×/1×/2×L1D；读改写、dirty eviction、writeback、conflict set、共享行 false sharing</t>
        </is>
      </c>
      <c r="K172" s="22" t="inlineStr">
        <is>
          <t>至少1个outstanding miss；merge需同line请求</t>
        </is>
      </c>
      <c r="L172" s="22" t="inlineStr">
        <is>
          <t>L0 行/way是否被需求读或驱逐；L1 tag/data/valid/dirty/coherence/PLRU；L2 hit/miss/MSHR/merge/fill；L3 writeback与一致性消息；L4 load值/store可见性；L5结局；MSHR占用、request-target双向映射、fill ID、wakeup消费者</t>
        </is>
      </c>
      <c r="M172" s="22" t="inlineStr">
        <is>
          <t>错fill/错唤醒可产生读旧值或跨请求数据，结构检查可能先触发</t>
        </is>
      </c>
      <c r="N172" s="22" t="inlineStr">
        <is>
          <t>B0有6 MSHR，是L1D缺失处理核心</t>
        </is>
      </c>
      <c r="O172" s="22" t="inlineStr">
        <is>
          <t>无直接MSHR注入</t>
        </is>
      </c>
      <c r="P172" s="23" t="n"/>
      <c r="Q172" s="23" t="n"/>
      <c r="R172" s="23" t="n"/>
      <c r="S172" s="23" t="n"/>
      <c r="T172" s="23" t="n"/>
      <c r="U172" s="23" t="n"/>
      <c r="V172" s="23" t="n"/>
      <c r="W172" s="23" t="n"/>
      <c r="X172" s="35">
        <f>IF(OR(R172="",R172-AP172&lt;=0),"",AB172/(R172-AP172))</f>
        <v/>
      </c>
      <c r="Y172" s="35">
        <f>IF(OR(AR172="",AR172=0),"",R172/AR172)</f>
        <v/>
      </c>
      <c r="Z172" s="24" t="inlineStr">
        <is>
          <t>待执行</t>
        </is>
      </c>
      <c r="AA172" s="23" t="n"/>
      <c r="AB172" s="38" t="n"/>
      <c r="AC172" s="38" t="n"/>
      <c r="AD172" s="38" t="n"/>
      <c r="AE172" s="38" t="n"/>
      <c r="AF172" s="38" t="n"/>
      <c r="AG172" s="38" t="n"/>
      <c r="AH172" s="38" t="n"/>
      <c r="AI172" s="38" t="n"/>
      <c r="AJ172" s="38" t="n"/>
      <c r="AK172" s="39" t="n"/>
      <c r="AL172" s="40">
        <f>IF(OR(R172="",R172-AP172&lt;=0),"",AO172/(R172-AP172))</f>
        <v/>
      </c>
      <c r="AM172" s="41">
        <f>IF(R172="","",SUM(AC172:AF172)-(R172-AP172))</f>
        <v/>
      </c>
      <c r="AN172" s="41">
        <f>IF(R172="","",SUM(S172:W172)+AP172-R172)</f>
        <v/>
      </c>
      <c r="AO172" s="44" t="n"/>
      <c r="AP172" s="45" t="n"/>
      <c r="AQ172" s="47" t="inlineStr">
        <is>
          <t>C11-a MSHR地址替换；C11-b 错误merge；C11-c target丢失；C11-d target重复</t>
        </is>
      </c>
      <c r="AR172" s="23" t="n"/>
      <c r="AS172" s="35">
        <f>IF(OR(Q172="",Q172=0),"",AR172/Q172)</f>
        <v/>
      </c>
      <c r="AT172" s="62" t="n">
        <v>30</v>
      </c>
      <c r="AU172" s="62" t="n">
        <v>385</v>
      </c>
      <c r="AV172" s="62" t="inlineStr">
        <is>
          <t>常规</t>
        </is>
      </c>
      <c r="AW172" s="62" t="inlineStr">
        <is>
          <t>累计至少385，不机械扩展到2401</t>
        </is>
      </c>
    </row>
    <row r="173" ht="94.15000000000001" customHeight="1" s="58">
      <c r="A173" s="21" t="inlineStr">
        <is>
          <t>C11-F2-W10</t>
        </is>
      </c>
      <c r="B173" s="21" t="inlineStr">
        <is>
          <t>C11</t>
        </is>
      </c>
      <c r="C173" s="21" t="inlineStr">
        <is>
          <t>L1d-Cache</t>
        </is>
      </c>
      <c r="D173" s="22" t="inlineStr">
        <is>
          <t>L1D 的 MSHR（Miss Status Holding Register）及 target 列表。MSHR 保存尚未返回的 cache-line miss，target 列表记录等待同一 line 的多个 load/store；地址、合并关系或唤醒对象错配会把 fill 交给错误消费者。</t>
        </is>
      </c>
      <c r="E173" s="22" t="inlineStr">
        <is>
          <t>换值</t>
        </is>
      </c>
      <c r="F173"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3" s="22" t="inlineStr">
        <is>
          <t>F2</t>
        </is>
      </c>
      <c r="H173" s="22" t="inlineStr">
        <is>
          <t>平均每 100,000 个 eligible events 注入 1 次，间隔加入 ±50% 抖动</t>
        </is>
      </c>
      <c r="I173" s="22" t="inlineStr">
        <is>
          <t>STREAM+PointerChase（Copy、Scale、Add、Triad 与随机指针链）</t>
        </is>
      </c>
      <c r="J173" s="22" t="inlineStr">
        <is>
          <t>STREAM+PointerChase（Copy、Scale、Add、Triad 与随机指针链）
执行定义与 oracle：STREAM Copy/Scale/Add/Triad 加随机 pointer chase；检查数组 hash 与遍历节点数</t>
        </is>
      </c>
      <c r="K173" s="22" t="inlineStr">
        <is>
          <t>至少1个outstanding miss；merge需同line请求</t>
        </is>
      </c>
      <c r="L173" s="22" t="inlineStr">
        <is>
          <t>L0 行/way是否被需求读或驱逐；L1 tag/data/valid/dirty/coherence/PLRU；L2 hit/miss/MSHR/merge/fill；L3 writeback与一致性消息；L4 load值/store可见性；L5结局；MSHR占用、request-target双向映射、fill ID、wakeup消费者</t>
        </is>
      </c>
      <c r="M173" s="22" t="inlineStr">
        <is>
          <t>错fill/错唤醒可产生读旧值或跨请求数据，结构检查可能先触发</t>
        </is>
      </c>
      <c r="N173" s="22" t="inlineStr">
        <is>
          <t>B0有6 MSHR，是L1D缺失处理核心</t>
        </is>
      </c>
      <c r="O173" s="22" t="inlineStr">
        <is>
          <t>无直接MSHR注入</t>
        </is>
      </c>
      <c r="P173" s="23" t="n"/>
      <c r="Q173" s="23" t="n"/>
      <c r="R173" s="23" t="n"/>
      <c r="S173" s="23" t="n"/>
      <c r="T173" s="23" t="n"/>
      <c r="U173" s="23" t="n"/>
      <c r="V173" s="23" t="n"/>
      <c r="W173" s="23" t="n"/>
      <c r="X173" s="35">
        <f>IF(OR(R173="",R173-AP173&lt;=0),"",AB173/(R173-AP173))</f>
        <v/>
      </c>
      <c r="Y173" s="35">
        <f>IF(OR(AR173="",AR173=0),"",R173/AR173)</f>
        <v/>
      </c>
      <c r="Z173" s="24" t="inlineStr">
        <is>
          <t>待执行</t>
        </is>
      </c>
      <c r="AA173" s="23" t="n"/>
      <c r="AB173" s="38" t="n"/>
      <c r="AC173" s="38" t="n"/>
      <c r="AD173" s="38" t="n"/>
      <c r="AE173" s="38" t="n"/>
      <c r="AF173" s="38" t="n"/>
      <c r="AG173" s="38" t="n"/>
      <c r="AH173" s="38" t="n"/>
      <c r="AI173" s="38" t="n"/>
      <c r="AJ173" s="38" t="n"/>
      <c r="AK173" s="39" t="n"/>
      <c r="AL173" s="40">
        <f>IF(OR(R173="",R173-AP173&lt;=0),"",AO173/(R173-AP173))</f>
        <v/>
      </c>
      <c r="AM173" s="41">
        <f>IF(R173="","",SUM(AC173:AF173)-(R173-AP173))</f>
        <v/>
      </c>
      <c r="AN173" s="41">
        <f>IF(R173="","",SUM(S173:W173)+AP173-R173)</f>
        <v/>
      </c>
      <c r="AO173" s="44" t="n"/>
      <c r="AP173" s="45" t="n"/>
      <c r="AQ173" s="47" t="inlineStr">
        <is>
          <t>C11-a MSHR地址替换；C11-b 错误merge；C11-c target丢失；C11-d target重复</t>
        </is>
      </c>
      <c r="AR173" s="23" t="n"/>
      <c r="AS173" s="35">
        <f>IF(OR(Q173="",Q173=0),"",AR173/Q173)</f>
        <v/>
      </c>
      <c r="AT173" s="62" t="n">
        <v>30</v>
      </c>
      <c r="AU173" s="62" t="n">
        <v>385</v>
      </c>
      <c r="AV173" s="62" t="inlineStr">
        <is>
          <t>常规</t>
        </is>
      </c>
      <c r="AW173" s="62" t="inlineStr">
        <is>
          <t>累计至少385，不机械扩展到2401</t>
        </is>
      </c>
    </row>
    <row r="174" ht="94.15000000000001" customHeight="1" s="58">
      <c r="A174" s="21" t="inlineStr">
        <is>
          <t>C11-F4-W6</t>
        </is>
      </c>
      <c r="B174" s="21" t="inlineStr">
        <is>
          <t>C11</t>
        </is>
      </c>
      <c r="C174" s="21" t="inlineStr">
        <is>
          <t>L1d-Cache</t>
        </is>
      </c>
      <c r="D174" s="22" t="inlineStr">
        <is>
          <t>L1D 的 MSHR（Miss Status Holding Register）及 target 列表。MSHR 保存尚未返回的 cache-line miss，target 列表记录等待同一 line 的多个 load/store；地址、合并关系或唤醒对象错配会把 fill 交给错误消费者。</t>
        </is>
      </c>
      <c r="E174" s="22" t="inlineStr">
        <is>
          <t>换值</t>
        </is>
      </c>
      <c r="F174"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4" s="22" t="inlineStr">
        <is>
          <t>F4</t>
        </is>
      </c>
      <c r="H174" s="22" t="inlineStr">
        <is>
          <t>每 100,000 个 eligible events 触发一次，连续污染 2-4 个 eligible events</t>
        </is>
      </c>
      <c r="I174" s="22" t="inlineStr">
        <is>
          <t>Cache-DirtyEvict 缓存探针（0.5×/1×/2×L1D working set、conflict set、dirty eviction、writeback）</t>
        </is>
      </c>
      <c r="J174" s="22" t="inlineStr">
        <is>
          <t>Cache-DirtyEvict 缓存探针（0.5×/1×/2×L1D working set、conflict set、dirty eviction、writeback）
执行定义与 oracle：working set=0.5×/1×/2×L1D；读改写、dirty eviction、writeback、conflict set、共享行 false sharing</t>
        </is>
      </c>
      <c r="K174" s="22" t="inlineStr">
        <is>
          <t>至少1个outstanding miss；merge需同line请求</t>
        </is>
      </c>
      <c r="L174" s="22" t="inlineStr">
        <is>
          <t>L0 行/way是否被需求读或驱逐；L1 tag/data/valid/dirty/coherence/PLRU；L2 hit/miss/MSHR/merge/fill；L3 writeback与一致性消息；L4 load值/store可见性；L5结局；MSHR占用、request-target双向映射、fill ID、wakeup消费者</t>
        </is>
      </c>
      <c r="M174" s="22" t="inlineStr">
        <is>
          <t>错fill/错唤醒可产生读旧值或跨请求数据，结构检查可能先触发</t>
        </is>
      </c>
      <c r="N174" s="22" t="inlineStr">
        <is>
          <t>B0有6 MSHR，是L1D缺失处理核心</t>
        </is>
      </c>
      <c r="O174" s="22" t="inlineStr">
        <is>
          <t>无直接MSHR注入</t>
        </is>
      </c>
      <c r="P174" s="23" t="n"/>
      <c r="Q174" s="23" t="n"/>
      <c r="R174" s="23" t="n"/>
      <c r="S174" s="23" t="n"/>
      <c r="T174" s="23" t="n"/>
      <c r="U174" s="23" t="n"/>
      <c r="V174" s="23" t="n"/>
      <c r="W174" s="23" t="n"/>
      <c r="X174" s="35">
        <f>IF(OR(R174="",R174-AP174&lt;=0),"",AB174/(R174-AP174))</f>
        <v/>
      </c>
      <c r="Y174" s="35">
        <f>IF(OR(AR174="",AR174=0),"",R174/AR174)</f>
        <v/>
      </c>
      <c r="Z174" s="24" t="inlineStr">
        <is>
          <t>待执行</t>
        </is>
      </c>
      <c r="AA174" s="23" t="n"/>
      <c r="AB174" s="38" t="n"/>
      <c r="AC174" s="38" t="n"/>
      <c r="AD174" s="38" t="n"/>
      <c r="AE174" s="38" t="n"/>
      <c r="AF174" s="38" t="n"/>
      <c r="AG174" s="38" t="n"/>
      <c r="AH174" s="38" t="n"/>
      <c r="AI174" s="38" t="n"/>
      <c r="AJ174" s="38" t="n"/>
      <c r="AK174" s="39" t="n"/>
      <c r="AL174" s="40">
        <f>IF(OR(R174="",R174-AP174&lt;=0),"",AO174/(R174-AP174))</f>
        <v/>
      </c>
      <c r="AM174" s="41">
        <f>IF(R174="","",SUM(AC174:AF174)-(R174-AP174))</f>
        <v/>
      </c>
      <c r="AN174" s="41">
        <f>IF(R174="","",SUM(S174:W174)+AP174-R174)</f>
        <v/>
      </c>
      <c r="AO174" s="44" t="n"/>
      <c r="AP174" s="45" t="n"/>
      <c r="AQ174" s="47" t="inlineStr">
        <is>
          <t>C11-a MSHR地址替换；C11-b 错误merge；C11-c target丢失；C11-d target重复</t>
        </is>
      </c>
      <c r="AR174" s="23" t="n"/>
      <c r="AS174" s="35">
        <f>IF(OR(Q174="",Q174=0),"",AR174/Q174)</f>
        <v/>
      </c>
      <c r="AT174" s="62" t="n">
        <v>30</v>
      </c>
      <c r="AU174" s="62" t="n">
        <v>385</v>
      </c>
      <c r="AV174" s="62" t="inlineStr">
        <is>
          <t>常规</t>
        </is>
      </c>
      <c r="AW174" s="62" t="inlineStr">
        <is>
          <t>累计至少385，不机械扩展到2401</t>
        </is>
      </c>
    </row>
    <row r="175" ht="94.15000000000001" customHeight="1" s="58">
      <c r="A175" s="21" t="inlineStr">
        <is>
          <t>C11-F4-W10</t>
        </is>
      </c>
      <c r="B175" s="21" t="inlineStr">
        <is>
          <t>C11</t>
        </is>
      </c>
      <c r="C175" s="21" t="inlineStr">
        <is>
          <t>L1d-Cache</t>
        </is>
      </c>
      <c r="D175" s="22" t="inlineStr">
        <is>
          <t>L1D 的 MSHR（Miss Status Holding Register）及 target 列表。MSHR 保存尚未返回的 cache-line miss，target 列表记录等待同一 line 的多个 load/store；地址、合并关系或唤醒对象错配会把 fill 交给错误消费者。</t>
        </is>
      </c>
      <c r="E175" s="22" t="inlineStr">
        <is>
          <t>换值</t>
        </is>
      </c>
      <c r="F175"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5" s="22" t="inlineStr">
        <is>
          <t>F4</t>
        </is>
      </c>
      <c r="H175" s="22" t="inlineStr">
        <is>
          <t>每 100,000 个 eligible events 触发一次，连续污染 2-4 个 eligible events</t>
        </is>
      </c>
      <c r="I175" s="22" t="inlineStr">
        <is>
          <t>STREAM+PointerChase（Copy、Scale、Add、Triad 与随机指针链）</t>
        </is>
      </c>
      <c r="J175" s="22" t="inlineStr">
        <is>
          <t>STREAM+PointerChase（Copy、Scale、Add、Triad 与随机指针链）
执行定义与 oracle：STREAM Copy/Scale/Add/Triad 加随机 pointer chase；检查数组 hash 与遍历节点数</t>
        </is>
      </c>
      <c r="K175" s="22" t="inlineStr">
        <is>
          <t>至少1个outstanding miss；merge需同line请求</t>
        </is>
      </c>
      <c r="L175" s="22" t="inlineStr">
        <is>
          <t>L0 行/way是否被需求读或驱逐；L1 tag/data/valid/dirty/coherence/PLRU；L2 hit/miss/MSHR/merge/fill；L3 writeback与一致性消息；L4 load值/store可见性；L5结局；MSHR占用、request-target双向映射、fill ID、wakeup消费者</t>
        </is>
      </c>
      <c r="M175" s="22" t="inlineStr">
        <is>
          <t>错fill/错唤醒可产生读旧值或跨请求数据，结构检查可能先触发</t>
        </is>
      </c>
      <c r="N175" s="22" t="inlineStr">
        <is>
          <t>B0有6 MSHR，是L1D缺失处理核心</t>
        </is>
      </c>
      <c r="O175" s="22" t="inlineStr">
        <is>
          <t>无直接MSHR注入</t>
        </is>
      </c>
      <c r="P175" s="23" t="n"/>
      <c r="Q175" s="23" t="n"/>
      <c r="R175" s="23" t="n"/>
      <c r="S175" s="23" t="n"/>
      <c r="T175" s="23" t="n"/>
      <c r="U175" s="23" t="n"/>
      <c r="V175" s="23" t="n"/>
      <c r="W175" s="23" t="n"/>
      <c r="X175" s="35">
        <f>IF(OR(R175="",R175-AP175&lt;=0),"",AB175/(R175-AP175))</f>
        <v/>
      </c>
      <c r="Y175" s="35">
        <f>IF(OR(AR175="",AR175=0),"",R175/AR175)</f>
        <v/>
      </c>
      <c r="Z175" s="24" t="inlineStr">
        <is>
          <t>待执行</t>
        </is>
      </c>
      <c r="AA175" s="23" t="n"/>
      <c r="AB175" s="38" t="n"/>
      <c r="AC175" s="38" t="n"/>
      <c r="AD175" s="38" t="n"/>
      <c r="AE175" s="38" t="n"/>
      <c r="AF175" s="38" t="n"/>
      <c r="AG175" s="38" t="n"/>
      <c r="AH175" s="38" t="n"/>
      <c r="AI175" s="38" t="n"/>
      <c r="AJ175" s="38" t="n"/>
      <c r="AK175" s="39" t="n"/>
      <c r="AL175" s="40">
        <f>IF(OR(R175="",R175-AP175&lt;=0),"",AO175/(R175-AP175))</f>
        <v/>
      </c>
      <c r="AM175" s="41">
        <f>IF(R175="","",SUM(AC175:AF175)-(R175-AP175))</f>
        <v/>
      </c>
      <c r="AN175" s="41">
        <f>IF(R175="","",SUM(S175:W175)+AP175-R175)</f>
        <v/>
      </c>
      <c r="AO175" s="44" t="n"/>
      <c r="AP175" s="45" t="n"/>
      <c r="AQ175" s="47" t="inlineStr">
        <is>
          <t>C11-a MSHR地址替换；C11-b 错误merge；C11-c target丢失；C11-d target重复</t>
        </is>
      </c>
      <c r="AR175" s="23" t="n"/>
      <c r="AS175" s="35">
        <f>IF(OR(Q175="",Q175=0),"",AR175/Q175)</f>
        <v/>
      </c>
      <c r="AT175" s="62" t="n">
        <v>30</v>
      </c>
      <c r="AU175" s="62" t="n">
        <v>385</v>
      </c>
      <c r="AV175" s="62" t="inlineStr">
        <is>
          <t>常规</t>
        </is>
      </c>
      <c r="AW175" s="62" t="inlineStr">
        <is>
          <t>累计至少385，不机械扩展到2401</t>
        </is>
      </c>
    </row>
    <row r="176" ht="94.15000000000001" customHeight="1" s="58">
      <c r="A176" s="21" t="inlineStr">
        <is>
          <t>C11-F6-W6</t>
        </is>
      </c>
      <c r="B176" s="21" t="inlineStr">
        <is>
          <t>C11</t>
        </is>
      </c>
      <c r="C176" s="21" t="inlineStr">
        <is>
          <t>L1d-Cache</t>
        </is>
      </c>
      <c r="D176" s="22" t="inlineStr">
        <is>
          <t>L1D 的 MSHR（Miss Status Holding Register）及 target 列表。MSHR 保存尚未返回的 cache-line miss，target 列表记录等待同一 line 的多个 load/store；地址、合并关系或唤醒对象错配会把 fill 交给错误消费者。</t>
        </is>
      </c>
      <c r="E176" s="22" t="inlineStr">
        <is>
          <t>换值</t>
        </is>
      </c>
      <c r="F176"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6" s="22" t="inlineStr">
        <is>
          <t>F6</t>
        </is>
      </c>
      <c r="H176" s="22" t="inlineStr">
        <is>
          <t>首次出现指定事件时注入一次，如 TLB hit、SQ forward、dirty eviction、CAS 成功</t>
        </is>
      </c>
      <c r="I176" s="22" t="inlineStr">
        <is>
          <t>Cache-DirtyEvict 缓存探针（0.5×/1×/2×L1D working set、conflict set、dirty eviction、writeback）</t>
        </is>
      </c>
      <c r="J176" s="22" t="inlineStr">
        <is>
          <t>Cache-DirtyEvict 缓存探针（0.5×/1×/2×L1D working set、conflict set、dirty eviction、writeback）
执行定义与 oracle：working set=0.5×/1×/2×L1D；读改写、dirty eviction、writeback、conflict set、共享行 false sharing</t>
        </is>
      </c>
      <c r="K176" s="22" t="inlineStr">
        <is>
          <t>至少1个outstanding miss；merge需同line请求</t>
        </is>
      </c>
      <c r="L176" s="22" t="inlineStr">
        <is>
          <t>L0 行/way是否被需求读或驱逐；L1 tag/data/valid/dirty/coherence/PLRU；L2 hit/miss/MSHR/merge/fill；L3 writeback与一致性消息；L4 load值/store可见性；L5结局；MSHR占用、request-target双向映射、fill ID、wakeup消费者</t>
        </is>
      </c>
      <c r="M176" s="22" t="inlineStr">
        <is>
          <t>错fill/错唤醒可产生读旧值或跨请求数据，结构检查可能先触发</t>
        </is>
      </c>
      <c r="N176" s="22" t="inlineStr">
        <is>
          <t>B0有6 MSHR，是L1D缺失处理核心</t>
        </is>
      </c>
      <c r="O176" s="22" t="inlineStr">
        <is>
          <t>无直接MSHR注入</t>
        </is>
      </c>
      <c r="P176" s="23" t="n"/>
      <c r="Q176" s="23" t="n"/>
      <c r="R176" s="23" t="n"/>
      <c r="S176" s="23" t="n"/>
      <c r="T176" s="23" t="n"/>
      <c r="U176" s="23" t="n"/>
      <c r="V176" s="23" t="n"/>
      <c r="W176" s="23" t="n"/>
      <c r="X176" s="35">
        <f>IF(OR(R176="",R176-AP176&lt;=0),"",AB176/(R176-AP176))</f>
        <v/>
      </c>
      <c r="Y176" s="35">
        <f>IF(OR(AR176="",AR176=0),"",R176/AR176)</f>
        <v/>
      </c>
      <c r="Z176" s="24" t="inlineStr">
        <is>
          <t>待执行</t>
        </is>
      </c>
      <c r="AA176" s="23" t="n"/>
      <c r="AB176" s="38" t="n"/>
      <c r="AC176" s="38" t="n"/>
      <c r="AD176" s="38" t="n"/>
      <c r="AE176" s="38" t="n"/>
      <c r="AF176" s="38" t="n"/>
      <c r="AG176" s="38" t="n"/>
      <c r="AH176" s="38" t="n"/>
      <c r="AI176" s="38" t="n"/>
      <c r="AJ176" s="38" t="n"/>
      <c r="AK176" s="39" t="n"/>
      <c r="AL176" s="40">
        <f>IF(OR(R176="",R176-AP176&lt;=0),"",AO176/(R176-AP176))</f>
        <v/>
      </c>
      <c r="AM176" s="41">
        <f>IF(R176="","",SUM(AC176:AF176)-(R176-AP176))</f>
        <v/>
      </c>
      <c r="AN176" s="41">
        <f>IF(R176="","",SUM(S176:W176)+AP176-R176)</f>
        <v/>
      </c>
      <c r="AO176" s="44" t="n"/>
      <c r="AP176" s="45" t="n"/>
      <c r="AQ176" s="47" t="inlineStr">
        <is>
          <t>C11-a MSHR地址替换；C11-b 错误merge；C11-c target丢失；C11-d target重复</t>
        </is>
      </c>
      <c r="AR176" s="23" t="n"/>
      <c r="AS176" s="35">
        <f>IF(OR(Q176="",Q176=0),"",AR176/Q176)</f>
        <v/>
      </c>
      <c r="AT176" s="62" t="n">
        <v>30</v>
      </c>
      <c r="AU176" s="62" t="n">
        <v>385</v>
      </c>
      <c r="AV176" s="62" t="inlineStr">
        <is>
          <t>常规</t>
        </is>
      </c>
      <c r="AW176" s="62" t="inlineStr">
        <is>
          <t>累计至少385，不机械扩展到2401</t>
        </is>
      </c>
    </row>
    <row r="177" ht="94.15000000000001" customHeight="1" s="58">
      <c r="A177" s="21" t="inlineStr">
        <is>
          <t>C11-F6-W10</t>
        </is>
      </c>
      <c r="B177" s="21" t="inlineStr">
        <is>
          <t>C11</t>
        </is>
      </c>
      <c r="C177" s="21" t="inlineStr">
        <is>
          <t>L1d-Cache</t>
        </is>
      </c>
      <c r="D177" s="22" t="inlineStr">
        <is>
          <t>L1D 的 MSHR（Miss Status Holding Register）及 target 列表。MSHR 保存尚未返回的 cache-line miss，target 列表记录等待同一 line 的多个 load/store；地址、合并关系或唤醒对象错配会把 fill 交给错误消费者。</t>
        </is>
      </c>
      <c r="E177" s="22" t="inlineStr">
        <is>
          <t>换值</t>
        </is>
      </c>
      <c r="F177"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7" s="22" t="inlineStr">
        <is>
          <t>F6</t>
        </is>
      </c>
      <c r="H177" s="22" t="inlineStr">
        <is>
          <t>首次出现指定事件时注入一次，如 TLB hit、SQ forward、dirty eviction、CAS 成功</t>
        </is>
      </c>
      <c r="I177" s="22" t="inlineStr">
        <is>
          <t>STREAM+PointerChase（Copy、Scale、Add、Triad 与随机指针链）</t>
        </is>
      </c>
      <c r="J177" s="22" t="inlineStr">
        <is>
          <t>STREAM+PointerChase（Copy、Scale、Add、Triad 与随机指针链）
执行定义与 oracle：STREAM Copy/Scale/Add/Triad 加随机 pointer chase；检查数组 hash 与遍历节点数</t>
        </is>
      </c>
      <c r="K177" s="22" t="inlineStr">
        <is>
          <t>至少1个outstanding miss；merge需同line请求</t>
        </is>
      </c>
      <c r="L177" s="22" t="inlineStr">
        <is>
          <t>L0 行/way是否被需求读或驱逐；L1 tag/data/valid/dirty/coherence/PLRU；L2 hit/miss/MSHR/merge/fill；L3 writeback与一致性消息；L4 load值/store可见性；L5结局；MSHR占用、request-target双向映射、fill ID、wakeup消费者</t>
        </is>
      </c>
      <c r="M177" s="22" t="inlineStr">
        <is>
          <t>错fill/错唤醒可产生读旧值或跨请求数据，结构检查可能先触发</t>
        </is>
      </c>
      <c r="N177" s="22" t="inlineStr">
        <is>
          <t>B0有6 MSHR，是L1D缺失处理核心</t>
        </is>
      </c>
      <c r="O177" s="22" t="inlineStr">
        <is>
          <t>无直接MSHR注入</t>
        </is>
      </c>
      <c r="P177" s="23" t="n"/>
      <c r="Q177" s="23" t="n"/>
      <c r="R177" s="23" t="n"/>
      <c r="S177" s="23" t="n"/>
      <c r="T177" s="23" t="n"/>
      <c r="U177" s="23" t="n"/>
      <c r="V177" s="23" t="n"/>
      <c r="W177" s="23" t="n"/>
      <c r="X177" s="35">
        <f>IF(OR(R177="",R177-AP177&lt;=0),"",AB177/(R177-AP177))</f>
        <v/>
      </c>
      <c r="Y177" s="35">
        <f>IF(OR(AR177="",AR177=0),"",R177/AR177)</f>
        <v/>
      </c>
      <c r="Z177" s="24" t="inlineStr">
        <is>
          <t>待执行</t>
        </is>
      </c>
      <c r="AA177" s="23" t="n"/>
      <c r="AB177" s="38" t="n"/>
      <c r="AC177" s="38" t="n"/>
      <c r="AD177" s="38" t="n"/>
      <c r="AE177" s="38" t="n"/>
      <c r="AF177" s="38" t="n"/>
      <c r="AG177" s="38" t="n"/>
      <c r="AH177" s="38" t="n"/>
      <c r="AI177" s="38" t="n"/>
      <c r="AJ177" s="38" t="n"/>
      <c r="AK177" s="39" t="n"/>
      <c r="AL177" s="40">
        <f>IF(OR(R177="",R177-AP177&lt;=0),"",AO177/(R177-AP177))</f>
        <v/>
      </c>
      <c r="AM177" s="41">
        <f>IF(R177="","",SUM(AC177:AF177)-(R177-AP177))</f>
        <v/>
      </c>
      <c r="AN177" s="41">
        <f>IF(R177="","",SUM(S177:W177)+AP177-R177)</f>
        <v/>
      </c>
      <c r="AO177" s="44" t="n"/>
      <c r="AP177" s="45" t="n"/>
      <c r="AQ177" s="47" t="inlineStr">
        <is>
          <t>C11-a MSHR地址替换；C11-b 错误merge；C11-c target丢失；C11-d target重复</t>
        </is>
      </c>
      <c r="AR177" s="23" t="n"/>
      <c r="AS177" s="35">
        <f>IF(OR(Q177="",Q177=0),"",AR177/Q177)</f>
        <v/>
      </c>
      <c r="AT177" s="62" t="n">
        <v>30</v>
      </c>
      <c r="AU177" s="62" t="n">
        <v>385</v>
      </c>
      <c r="AV177" s="62" t="inlineStr">
        <is>
          <t>常规</t>
        </is>
      </c>
      <c r="AW177" s="62" t="inlineStr">
        <is>
          <t>累计至少385，不机械扩展到2401</t>
        </is>
      </c>
    </row>
    <row r="178" ht="94.15000000000001" customHeight="1" s="58">
      <c r="A178" s="21" t="inlineStr">
        <is>
          <t>C12-F0-W6</t>
        </is>
      </c>
      <c r="B178" s="21" t="inlineStr">
        <is>
          <t>C12</t>
        </is>
      </c>
      <c r="C178" s="21" t="inlineStr">
        <is>
          <t>L1d-Cache</t>
        </is>
      </c>
      <c r="D178" s="22" t="inlineStr">
        <is>
          <t>L1D 的 fill buffer、writeback buffer 及事务配对控制。fill 把下级返回的 tag/data 写入 L1D，writeback 把 dirty victim 送往下级；tag、data、way 和 transaction ID 必须属于同一事务。</t>
        </is>
      </c>
      <c r="E178" s="22" t="inlineStr">
        <is>
          <t>时序</t>
        </is>
      </c>
      <c r="F178"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78" s="22" t="inlineStr">
        <is>
          <t>F0</t>
        </is>
      </c>
      <c r="H178" s="22" t="inlineStr">
        <is>
          <t>每次运行只注入 1 次；在 warm-up 后的 eligible event 中均匀抽样</t>
        </is>
      </c>
      <c r="I178" s="22" t="inlineStr">
        <is>
          <t>Cache-DirtyEvict 缓存探针（0.5×/1×/2×L1D working set、conflict set、dirty eviction、writeback）</t>
        </is>
      </c>
      <c r="J178" s="22" t="inlineStr">
        <is>
          <t>Cache-DirtyEvict 缓存探针（0.5×/1×/2×L1D working set、conflict set、dirty eviction、writeback）
执行定义与 oracle：working set=0.5×/1×/2×L1D；读改写、dirty eviction、writeback、conflict set、共享行 false sharing</t>
        </is>
      </c>
      <c r="K178" s="22" t="inlineStr">
        <is>
          <t>miss fill或dirty writeback</t>
        </is>
      </c>
      <c r="L178" s="22" t="inlineStr">
        <is>
          <t>L0 行/way是否被需求读或驱逐；L1 tag/data/valid/dirty/coherence/PLRU；L2 hit/miss/MSHR/merge/fill；L3 writeback与一致性消息；L4 load值/store可见性；L5结局；tag/data写入周期、transaction ID、writeback完成、line版本</t>
        </is>
      </c>
      <c r="M178" s="22" t="inlineStr">
        <is>
          <t>tag-data错配是高风险SDC；丢fill多Timeout；重复通常被协议吸收</t>
        </is>
      </c>
      <c r="N178" s="22" t="inlineStr">
        <is>
          <t>覆盖事务配对和先后次序</t>
        </is>
      </c>
      <c r="O178" s="22" t="inlineStr">
        <is>
          <t>本方案结构化模型</t>
        </is>
      </c>
      <c r="P178" s="23" t="n"/>
      <c r="Q178" s="23" t="n"/>
      <c r="R178" s="23" t="n"/>
      <c r="S178" s="23" t="n"/>
      <c r="T178" s="23" t="n"/>
      <c r="U178" s="23" t="n"/>
      <c r="V178" s="23" t="n"/>
      <c r="W178" s="23" t="n"/>
      <c r="X178" s="35">
        <f>IF(OR(R178="",R178-AP178&lt;=0),"",AB178/(R178-AP178))</f>
        <v/>
      </c>
      <c r="Y178" s="35">
        <f>IF(OR(AR178="",AR178=0),"",R178/AR178)</f>
        <v/>
      </c>
      <c r="Z178" s="24" t="inlineStr">
        <is>
          <t>待执行</t>
        </is>
      </c>
      <c r="AA178" s="23" t="n"/>
      <c r="AB178" s="38" t="n"/>
      <c r="AC178" s="38" t="n"/>
      <c r="AD178" s="38" t="n"/>
      <c r="AE178" s="38" t="n"/>
      <c r="AF178" s="38" t="n"/>
      <c r="AG178" s="38" t="n"/>
      <c r="AH178" s="38" t="n"/>
      <c r="AI178" s="38" t="n"/>
      <c r="AJ178" s="38" t="n"/>
      <c r="AK178" s="39" t="n"/>
      <c r="AL178" s="40">
        <f>IF(OR(R178="",R178-AP178&lt;=0),"",AO178/(R178-AP178))</f>
        <v/>
      </c>
      <c r="AM178" s="41">
        <f>IF(R178="","",SUM(AC178:AF178)-(R178-AP178))</f>
        <v/>
      </c>
      <c r="AN178" s="41">
        <f>IF(R178="","",SUM(S178:W178)+AP178-R178)</f>
        <v/>
      </c>
      <c r="AO178" s="44" t="n"/>
      <c r="AP178" s="45" t="n"/>
      <c r="AQ178" s="47" t="inlineStr">
        <is>
          <t>C12-a fill/writeback丢失；C12-b 重复；C12-c valid过早；C12-d 旧数据与新tag组合</t>
        </is>
      </c>
      <c r="AR178" s="23" t="n"/>
      <c r="AS178" s="35">
        <f>IF(OR(Q178="",Q178=0),"",AR178/Q178)</f>
        <v/>
      </c>
      <c r="AT178" s="62" t="n">
        <v>30</v>
      </c>
      <c r="AU178" s="62" t="n">
        <v>2401</v>
      </c>
      <c r="AV178" s="62" t="inlineStr">
        <is>
          <t>重点（预登记21项）</t>
        </is>
      </c>
      <c r="AW178" s="62" t="inlineStr">
        <is>
          <t>累计到2401（含前385）</t>
        </is>
      </c>
    </row>
    <row r="179" ht="94.15000000000001" customHeight="1" s="58">
      <c r="A179" s="21" t="inlineStr">
        <is>
          <t>C12-F0-W10</t>
        </is>
      </c>
      <c r="B179" s="21" t="inlineStr">
        <is>
          <t>C12</t>
        </is>
      </c>
      <c r="C179" s="21" t="inlineStr">
        <is>
          <t>L1d-Cache</t>
        </is>
      </c>
      <c r="D179" s="22" t="inlineStr">
        <is>
          <t>L1D 的 fill buffer、writeback buffer 及事务配对控制。fill 把下级返回的 tag/data 写入 L1D，writeback 把 dirty victim 送往下级；tag、data、way 和 transaction ID 必须属于同一事务。</t>
        </is>
      </c>
      <c r="E179" s="22" t="inlineStr">
        <is>
          <t>时序</t>
        </is>
      </c>
      <c r="F179"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79" s="22" t="inlineStr">
        <is>
          <t>F0</t>
        </is>
      </c>
      <c r="H179" s="22" t="inlineStr">
        <is>
          <t>每次运行只注入 1 次；在 warm-up 后的 eligible event 中均匀抽样</t>
        </is>
      </c>
      <c r="I179" s="22" t="inlineStr">
        <is>
          <t>STREAM+PointerChase（Copy、Scale、Add、Triad 与随机指针链）</t>
        </is>
      </c>
      <c r="J179" s="22" t="inlineStr">
        <is>
          <t>STREAM+PointerChase（Copy、Scale、Add、Triad 与随机指针链）
执行定义与 oracle：STREAM Copy/Scale/Add/Triad 加随机 pointer chase；检查数组 hash 与遍历节点数</t>
        </is>
      </c>
      <c r="K179" s="22" t="inlineStr">
        <is>
          <t>miss fill或dirty writeback</t>
        </is>
      </c>
      <c r="L179" s="22" t="inlineStr">
        <is>
          <t>L0 行/way是否被需求读或驱逐；L1 tag/data/valid/dirty/coherence/PLRU；L2 hit/miss/MSHR/merge/fill；L3 writeback与一致性消息；L4 load值/store可见性；L5结局；tag/data写入周期、transaction ID、writeback完成、line版本</t>
        </is>
      </c>
      <c r="M179" s="22" t="inlineStr">
        <is>
          <t>tag-data错配是高风险SDC；丢fill多Timeout；重复通常被协议吸收</t>
        </is>
      </c>
      <c r="N179" s="22" t="inlineStr">
        <is>
          <t>覆盖事务配对和先后次序</t>
        </is>
      </c>
      <c r="O179" s="22" t="inlineStr">
        <is>
          <t>本方案结构化模型</t>
        </is>
      </c>
      <c r="P179" s="23" t="n"/>
      <c r="Q179" s="23" t="n"/>
      <c r="R179" s="23" t="n"/>
      <c r="S179" s="23" t="n"/>
      <c r="T179" s="23" t="n"/>
      <c r="U179" s="23" t="n"/>
      <c r="V179" s="23" t="n"/>
      <c r="W179" s="23" t="n"/>
      <c r="X179" s="35">
        <f>IF(OR(R179="",R179-AP179&lt;=0),"",AB179/(R179-AP179))</f>
        <v/>
      </c>
      <c r="Y179" s="35">
        <f>IF(OR(AR179="",AR179=0),"",R179/AR179)</f>
        <v/>
      </c>
      <c r="Z179" s="24" t="inlineStr">
        <is>
          <t>待执行</t>
        </is>
      </c>
      <c r="AA179" s="23" t="n"/>
      <c r="AB179" s="38" t="n"/>
      <c r="AC179" s="38" t="n"/>
      <c r="AD179" s="38" t="n"/>
      <c r="AE179" s="38" t="n"/>
      <c r="AF179" s="38" t="n"/>
      <c r="AG179" s="38" t="n"/>
      <c r="AH179" s="38" t="n"/>
      <c r="AI179" s="38" t="n"/>
      <c r="AJ179" s="38" t="n"/>
      <c r="AK179" s="39" t="n"/>
      <c r="AL179" s="40">
        <f>IF(OR(R179="",R179-AP179&lt;=0),"",AO179/(R179-AP179))</f>
        <v/>
      </c>
      <c r="AM179" s="41">
        <f>IF(R179="","",SUM(AC179:AF179)-(R179-AP179))</f>
        <v/>
      </c>
      <c r="AN179" s="41">
        <f>IF(R179="","",SUM(S179:W179)+AP179-R179)</f>
        <v/>
      </c>
      <c r="AO179" s="44" t="n"/>
      <c r="AP179" s="45" t="n"/>
      <c r="AQ179" s="47" t="inlineStr">
        <is>
          <t>C12-a fill/writeback丢失；C12-b 重复；C12-c valid过早；C12-d 旧数据与新tag组合</t>
        </is>
      </c>
      <c r="AR179" s="23" t="n"/>
      <c r="AS179" s="35">
        <f>IF(OR(Q179="",Q179=0),"",AR179/Q179)</f>
        <v/>
      </c>
      <c r="AT179" s="62" t="n">
        <v>30</v>
      </c>
      <c r="AU179" s="62" t="n">
        <v>385</v>
      </c>
      <c r="AV179" s="62" t="inlineStr">
        <is>
          <t>常规</t>
        </is>
      </c>
      <c r="AW179" s="62" t="inlineStr">
        <is>
          <t>累计至少385，不机械扩展到2401</t>
        </is>
      </c>
    </row>
    <row r="180" ht="94.15000000000001" customHeight="1" s="58">
      <c r="A180" s="21" t="inlineStr">
        <is>
          <t>C12-F4-W6</t>
        </is>
      </c>
      <c r="B180" s="21" t="inlineStr">
        <is>
          <t>C12</t>
        </is>
      </c>
      <c r="C180" s="21" t="inlineStr">
        <is>
          <t>L1d-Cache</t>
        </is>
      </c>
      <c r="D180" s="22" t="inlineStr">
        <is>
          <t>L1D 的 fill buffer、writeback buffer 及事务配对控制。fill 把下级返回的 tag/data 写入 L1D，writeback 把 dirty victim 送往下级；tag、data、way 和 transaction ID 必须属于同一事务。</t>
        </is>
      </c>
      <c r="E180" s="22" t="inlineStr">
        <is>
          <t>时序</t>
        </is>
      </c>
      <c r="F180"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0" s="22" t="inlineStr">
        <is>
          <t>F4</t>
        </is>
      </c>
      <c r="H180" s="22" t="inlineStr">
        <is>
          <t>每 100,000 个 eligible events 触发一次，连续污染 2-4 个 eligible events</t>
        </is>
      </c>
      <c r="I180" s="22" t="inlineStr">
        <is>
          <t>Cache-DirtyEvict 缓存探针（0.5×/1×/2×L1D working set、conflict set、dirty eviction、writeback）</t>
        </is>
      </c>
      <c r="J180" s="22" t="inlineStr">
        <is>
          <t>Cache-DirtyEvict 缓存探针（0.5×/1×/2×L1D working set、conflict set、dirty eviction、writeback）
执行定义与 oracle：working set=0.5×/1×/2×L1D；读改写、dirty eviction、writeback、conflict set、共享行 false sharing</t>
        </is>
      </c>
      <c r="K180" s="22" t="inlineStr">
        <is>
          <t>miss fill或dirty writeback</t>
        </is>
      </c>
      <c r="L180" s="22" t="inlineStr">
        <is>
          <t>L0 行/way是否被需求读或驱逐；L1 tag/data/valid/dirty/coherence/PLRU；L2 hit/miss/MSHR/merge/fill；L3 writeback与一致性消息；L4 load值/store可见性；L5结局；tag/data写入周期、transaction ID、writeback完成、line版本</t>
        </is>
      </c>
      <c r="M180" s="22" t="inlineStr">
        <is>
          <t>tag-data错配是高风险SDC；丢fill多Timeout；重复通常被协议吸收</t>
        </is>
      </c>
      <c r="N180" s="22" t="inlineStr">
        <is>
          <t>覆盖事务配对和先后次序</t>
        </is>
      </c>
      <c r="O180" s="22" t="inlineStr">
        <is>
          <t>本方案结构化模型</t>
        </is>
      </c>
      <c r="P180" s="23" t="n"/>
      <c r="Q180" s="23" t="n"/>
      <c r="R180" s="23" t="n"/>
      <c r="S180" s="23" t="n"/>
      <c r="T180" s="23" t="n"/>
      <c r="U180" s="23" t="n"/>
      <c r="V180" s="23" t="n"/>
      <c r="W180" s="23" t="n"/>
      <c r="X180" s="35">
        <f>IF(OR(R180="",R180-AP180&lt;=0),"",AB180/(R180-AP180))</f>
        <v/>
      </c>
      <c r="Y180" s="35">
        <f>IF(OR(AR180="",AR180=0),"",R180/AR180)</f>
        <v/>
      </c>
      <c r="Z180" s="24" t="inlineStr">
        <is>
          <t>待执行</t>
        </is>
      </c>
      <c r="AA180" s="23" t="n"/>
      <c r="AB180" s="38" t="n"/>
      <c r="AC180" s="38" t="n"/>
      <c r="AD180" s="38" t="n"/>
      <c r="AE180" s="38" t="n"/>
      <c r="AF180" s="38" t="n"/>
      <c r="AG180" s="38" t="n"/>
      <c r="AH180" s="38" t="n"/>
      <c r="AI180" s="38" t="n"/>
      <c r="AJ180" s="38" t="n"/>
      <c r="AK180" s="39" t="n"/>
      <c r="AL180" s="40">
        <f>IF(OR(R180="",R180-AP180&lt;=0),"",AO180/(R180-AP180))</f>
        <v/>
      </c>
      <c r="AM180" s="41">
        <f>IF(R180="","",SUM(AC180:AF180)-(R180-AP180))</f>
        <v/>
      </c>
      <c r="AN180" s="41">
        <f>IF(R180="","",SUM(S180:W180)+AP180-R180)</f>
        <v/>
      </c>
      <c r="AO180" s="44" t="n"/>
      <c r="AP180" s="45" t="n"/>
      <c r="AQ180" s="47" t="inlineStr">
        <is>
          <t>C12-a fill/writeback丢失；C12-b 重复；C12-c valid过早；C12-d 旧数据与新tag组合</t>
        </is>
      </c>
      <c r="AR180" s="23" t="n"/>
      <c r="AS180" s="35">
        <f>IF(OR(Q180="",Q180=0),"",AR180/Q180)</f>
        <v/>
      </c>
      <c r="AT180" s="62" t="n">
        <v>30</v>
      </c>
      <c r="AU180" s="62" t="n">
        <v>385</v>
      </c>
      <c r="AV180" s="62" t="inlineStr">
        <is>
          <t>常规</t>
        </is>
      </c>
      <c r="AW180" s="62" t="inlineStr">
        <is>
          <t>累计至少385，不机械扩展到2401</t>
        </is>
      </c>
    </row>
    <row r="181" ht="94.15000000000001" customHeight="1" s="58">
      <c r="A181" s="21" t="inlineStr">
        <is>
          <t>C12-F4-W10</t>
        </is>
      </c>
      <c r="B181" s="21" t="inlineStr">
        <is>
          <t>C12</t>
        </is>
      </c>
      <c r="C181" s="21" t="inlineStr">
        <is>
          <t>L1d-Cache</t>
        </is>
      </c>
      <c r="D181" s="22" t="inlineStr">
        <is>
          <t>L1D 的 fill buffer、writeback buffer 及事务配对控制。fill 把下级返回的 tag/data 写入 L1D，writeback 把 dirty victim 送往下级；tag、data、way 和 transaction ID 必须属于同一事务。</t>
        </is>
      </c>
      <c r="E181" s="22" t="inlineStr">
        <is>
          <t>时序</t>
        </is>
      </c>
      <c r="F181"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1" s="22" t="inlineStr">
        <is>
          <t>F4</t>
        </is>
      </c>
      <c r="H181" s="22" t="inlineStr">
        <is>
          <t>每 100,000 个 eligible events 触发一次，连续污染 2-4 个 eligible events</t>
        </is>
      </c>
      <c r="I181" s="22" t="inlineStr">
        <is>
          <t>STREAM+PointerChase（Copy、Scale、Add、Triad 与随机指针链）</t>
        </is>
      </c>
      <c r="J181" s="22" t="inlineStr">
        <is>
          <t>STREAM+PointerChase（Copy、Scale、Add、Triad 与随机指针链）
执行定义与 oracle：STREAM Copy/Scale/Add/Triad 加随机 pointer chase；检查数组 hash 与遍历节点数</t>
        </is>
      </c>
      <c r="K181" s="22" t="inlineStr">
        <is>
          <t>miss fill或dirty writeback</t>
        </is>
      </c>
      <c r="L181" s="22" t="inlineStr">
        <is>
          <t>L0 行/way是否被需求读或驱逐；L1 tag/data/valid/dirty/coherence/PLRU；L2 hit/miss/MSHR/merge/fill；L3 writeback与一致性消息；L4 load值/store可见性；L5结局；tag/data写入周期、transaction ID、writeback完成、line版本</t>
        </is>
      </c>
      <c r="M181" s="22" t="inlineStr">
        <is>
          <t>tag-data错配是高风险SDC；丢fill多Timeout；重复通常被协议吸收</t>
        </is>
      </c>
      <c r="N181" s="22" t="inlineStr">
        <is>
          <t>覆盖事务配对和先后次序</t>
        </is>
      </c>
      <c r="O181" s="22" t="inlineStr">
        <is>
          <t>本方案结构化模型</t>
        </is>
      </c>
      <c r="P181" s="23" t="n"/>
      <c r="Q181" s="23" t="n"/>
      <c r="R181" s="23" t="n"/>
      <c r="S181" s="23" t="n"/>
      <c r="T181" s="23" t="n"/>
      <c r="U181" s="23" t="n"/>
      <c r="V181" s="23" t="n"/>
      <c r="W181" s="23" t="n"/>
      <c r="X181" s="35">
        <f>IF(OR(R181="",R181-AP181&lt;=0),"",AB181/(R181-AP181))</f>
        <v/>
      </c>
      <c r="Y181" s="35">
        <f>IF(OR(AR181="",AR181=0),"",R181/AR181)</f>
        <v/>
      </c>
      <c r="Z181" s="24" t="inlineStr">
        <is>
          <t>待执行</t>
        </is>
      </c>
      <c r="AA181" s="23" t="n"/>
      <c r="AB181" s="38" t="n"/>
      <c r="AC181" s="38" t="n"/>
      <c r="AD181" s="38" t="n"/>
      <c r="AE181" s="38" t="n"/>
      <c r="AF181" s="38" t="n"/>
      <c r="AG181" s="38" t="n"/>
      <c r="AH181" s="38" t="n"/>
      <c r="AI181" s="38" t="n"/>
      <c r="AJ181" s="38" t="n"/>
      <c r="AK181" s="39" t="n"/>
      <c r="AL181" s="40">
        <f>IF(OR(R181="",R181-AP181&lt;=0),"",AO181/(R181-AP181))</f>
        <v/>
      </c>
      <c r="AM181" s="41">
        <f>IF(R181="","",SUM(AC181:AF181)-(R181-AP181))</f>
        <v/>
      </c>
      <c r="AN181" s="41">
        <f>IF(R181="","",SUM(S181:W181)+AP181-R181)</f>
        <v/>
      </c>
      <c r="AO181" s="44" t="n"/>
      <c r="AP181" s="45" t="n"/>
      <c r="AQ181" s="47" t="inlineStr">
        <is>
          <t>C12-a fill/writeback丢失；C12-b 重复；C12-c valid过早；C12-d 旧数据与新tag组合</t>
        </is>
      </c>
      <c r="AR181" s="23" t="n"/>
      <c r="AS181" s="35">
        <f>IF(OR(Q181="",Q181=0),"",AR181/Q181)</f>
        <v/>
      </c>
      <c r="AT181" s="62" t="n">
        <v>30</v>
      </c>
      <c r="AU181" s="62" t="n">
        <v>385</v>
      </c>
      <c r="AV181" s="62" t="inlineStr">
        <is>
          <t>常规</t>
        </is>
      </c>
      <c r="AW181" s="62" t="inlineStr">
        <is>
          <t>累计至少385，不机械扩展到2401</t>
        </is>
      </c>
    </row>
    <row r="182" ht="94.15000000000001" customHeight="1" s="58">
      <c r="A182" s="21" t="inlineStr">
        <is>
          <t>C12-F6-W6</t>
        </is>
      </c>
      <c r="B182" s="21" t="inlineStr">
        <is>
          <t>C12</t>
        </is>
      </c>
      <c r="C182" s="21" t="inlineStr">
        <is>
          <t>L1d-Cache</t>
        </is>
      </c>
      <c r="D182" s="22" t="inlineStr">
        <is>
          <t>L1D 的 fill buffer、writeback buffer 及事务配对控制。fill 把下级返回的 tag/data 写入 L1D，writeback 把 dirty victim 送往下级；tag、data、way 和 transaction ID 必须属于同一事务。</t>
        </is>
      </c>
      <c r="E182" s="22" t="inlineStr">
        <is>
          <t>时序</t>
        </is>
      </c>
      <c r="F182"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2" s="22" t="inlineStr">
        <is>
          <t>F6</t>
        </is>
      </c>
      <c r="H182" s="22" t="inlineStr">
        <is>
          <t>首次出现指定事件时注入一次，如 TLB hit、SQ forward、dirty eviction、CAS 成功</t>
        </is>
      </c>
      <c r="I182" s="22" t="inlineStr">
        <is>
          <t>Cache-DirtyEvict 缓存探针（0.5×/1×/2×L1D working set、conflict set、dirty eviction、writeback）</t>
        </is>
      </c>
      <c r="J182" s="22" t="inlineStr">
        <is>
          <t>Cache-DirtyEvict 缓存探针（0.5×/1×/2×L1D working set、conflict set、dirty eviction、writeback）
执行定义与 oracle：working set=0.5×/1×/2×L1D；读改写、dirty eviction、writeback、conflict set、共享行 false sharing</t>
        </is>
      </c>
      <c r="K182" s="22" t="inlineStr">
        <is>
          <t>miss fill或dirty writeback</t>
        </is>
      </c>
      <c r="L182" s="22" t="inlineStr">
        <is>
          <t>L0 行/way是否被需求读或驱逐；L1 tag/data/valid/dirty/coherence/PLRU；L2 hit/miss/MSHR/merge/fill；L3 writeback与一致性消息；L4 load值/store可见性；L5结局；tag/data写入周期、transaction ID、writeback完成、line版本</t>
        </is>
      </c>
      <c r="M182" s="22" t="inlineStr">
        <is>
          <t>tag-data错配是高风险SDC；丢fill多Timeout；重复通常被协议吸收</t>
        </is>
      </c>
      <c r="N182" s="22" t="inlineStr">
        <is>
          <t>覆盖事务配对和先后次序</t>
        </is>
      </c>
      <c r="O182" s="22" t="inlineStr">
        <is>
          <t>本方案结构化模型</t>
        </is>
      </c>
      <c r="P182" s="23" t="n"/>
      <c r="Q182" s="23" t="n"/>
      <c r="R182" s="23" t="n"/>
      <c r="S182" s="23" t="n"/>
      <c r="T182" s="23" t="n"/>
      <c r="U182" s="23" t="n"/>
      <c r="V182" s="23" t="n"/>
      <c r="W182" s="23" t="n"/>
      <c r="X182" s="35">
        <f>IF(OR(R182="",R182-AP182&lt;=0),"",AB182/(R182-AP182))</f>
        <v/>
      </c>
      <c r="Y182" s="35">
        <f>IF(OR(AR182="",AR182=0),"",R182/AR182)</f>
        <v/>
      </c>
      <c r="Z182" s="24" t="inlineStr">
        <is>
          <t>待执行</t>
        </is>
      </c>
      <c r="AA182" s="23" t="n"/>
      <c r="AB182" s="38" t="n"/>
      <c r="AC182" s="38" t="n"/>
      <c r="AD182" s="38" t="n"/>
      <c r="AE182" s="38" t="n"/>
      <c r="AF182" s="38" t="n"/>
      <c r="AG182" s="38" t="n"/>
      <c r="AH182" s="38" t="n"/>
      <c r="AI182" s="38" t="n"/>
      <c r="AJ182" s="38" t="n"/>
      <c r="AK182" s="39" t="n"/>
      <c r="AL182" s="40">
        <f>IF(OR(R182="",R182-AP182&lt;=0),"",AO182/(R182-AP182))</f>
        <v/>
      </c>
      <c r="AM182" s="41">
        <f>IF(R182="","",SUM(AC182:AF182)-(R182-AP182))</f>
        <v/>
      </c>
      <c r="AN182" s="41">
        <f>IF(R182="","",SUM(S182:W182)+AP182-R182)</f>
        <v/>
      </c>
      <c r="AO182" s="44" t="n"/>
      <c r="AP182" s="45" t="n"/>
      <c r="AQ182" s="47" t="inlineStr">
        <is>
          <t>C12-a fill/writeback丢失；C12-b 重复；C12-c valid过早；C12-d 旧数据与新tag组合</t>
        </is>
      </c>
      <c r="AR182" s="23" t="n"/>
      <c r="AS182" s="35">
        <f>IF(OR(Q182="",Q182=0),"",AR182/Q182)</f>
        <v/>
      </c>
      <c r="AT182" s="62" t="n">
        <v>30</v>
      </c>
      <c r="AU182" s="62" t="n">
        <v>385</v>
      </c>
      <c r="AV182" s="62" t="inlineStr">
        <is>
          <t>常规</t>
        </is>
      </c>
      <c r="AW182" s="62" t="inlineStr">
        <is>
          <t>累计至少385，不机械扩展到2401</t>
        </is>
      </c>
    </row>
    <row r="183" ht="94.15000000000001" customHeight="1" s="58">
      <c r="A183" s="21" t="inlineStr">
        <is>
          <t>C12-F6-W10</t>
        </is>
      </c>
      <c r="B183" s="21" t="inlineStr">
        <is>
          <t>C12</t>
        </is>
      </c>
      <c r="C183" s="21" t="inlineStr">
        <is>
          <t>L1d-Cache</t>
        </is>
      </c>
      <c r="D183" s="22" t="inlineStr">
        <is>
          <t>L1D 的 fill buffer、writeback buffer 及事务配对控制。fill 把下级返回的 tag/data 写入 L1D，writeback 把 dirty victim 送往下级；tag、data、way 和 transaction ID 必须属于同一事务。</t>
        </is>
      </c>
      <c r="E183" s="22" t="inlineStr">
        <is>
          <t>时序</t>
        </is>
      </c>
      <c r="F183"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3" s="22" t="inlineStr">
        <is>
          <t>F6</t>
        </is>
      </c>
      <c r="H183" s="22" t="inlineStr">
        <is>
          <t>首次出现指定事件时注入一次，如 TLB hit、SQ forward、dirty eviction、CAS 成功</t>
        </is>
      </c>
      <c r="I183" s="22" t="inlineStr">
        <is>
          <t>STREAM+PointerChase（Copy、Scale、Add、Triad 与随机指针链）</t>
        </is>
      </c>
      <c r="J183" s="22" t="inlineStr">
        <is>
          <t>STREAM+PointerChase（Copy、Scale、Add、Triad 与随机指针链）
执行定义与 oracle：STREAM Copy/Scale/Add/Triad 加随机 pointer chase；检查数组 hash 与遍历节点数</t>
        </is>
      </c>
      <c r="K183" s="22" t="inlineStr">
        <is>
          <t>miss fill或dirty writeback</t>
        </is>
      </c>
      <c r="L183" s="22" t="inlineStr">
        <is>
          <t>L0 行/way是否被需求读或驱逐；L1 tag/data/valid/dirty/coherence/PLRU；L2 hit/miss/MSHR/merge/fill；L3 writeback与一致性消息；L4 load值/store可见性；L5结局；tag/data写入周期、transaction ID、writeback完成、line版本</t>
        </is>
      </c>
      <c r="M183" s="22" t="inlineStr">
        <is>
          <t>tag-data错配是高风险SDC；丢fill多Timeout；重复通常被协议吸收</t>
        </is>
      </c>
      <c r="N183" s="22" t="inlineStr">
        <is>
          <t>覆盖事务配对和先后次序</t>
        </is>
      </c>
      <c r="O183" s="22" t="inlineStr">
        <is>
          <t>本方案结构化模型</t>
        </is>
      </c>
      <c r="P183" s="23" t="n"/>
      <c r="Q183" s="23" t="n"/>
      <c r="R183" s="23" t="n"/>
      <c r="S183" s="23" t="n"/>
      <c r="T183" s="23" t="n"/>
      <c r="U183" s="23" t="n"/>
      <c r="V183" s="23" t="n"/>
      <c r="W183" s="23" t="n"/>
      <c r="X183" s="35">
        <f>IF(OR(R183="",R183-AP183&lt;=0),"",AB183/(R183-AP183))</f>
        <v/>
      </c>
      <c r="Y183" s="35">
        <f>IF(OR(AR183="",AR183=0),"",R183/AR183)</f>
        <v/>
      </c>
      <c r="Z183" s="24" t="inlineStr">
        <is>
          <t>待执行</t>
        </is>
      </c>
      <c r="AA183" s="23" t="n"/>
      <c r="AB183" s="38" t="n"/>
      <c r="AC183" s="38" t="n"/>
      <c r="AD183" s="38" t="n"/>
      <c r="AE183" s="38" t="n"/>
      <c r="AF183" s="38" t="n"/>
      <c r="AG183" s="38" t="n"/>
      <c r="AH183" s="38" t="n"/>
      <c r="AI183" s="38" t="n"/>
      <c r="AJ183" s="38" t="n"/>
      <c r="AK183" s="39" t="n"/>
      <c r="AL183" s="40">
        <f>IF(OR(R183="",R183-AP183&lt;=0),"",AO183/(R183-AP183))</f>
        <v/>
      </c>
      <c r="AM183" s="41">
        <f>IF(R183="","",SUM(AC183:AF183)-(R183-AP183))</f>
        <v/>
      </c>
      <c r="AN183" s="41">
        <f>IF(R183="","",SUM(S183:W183)+AP183-R183)</f>
        <v/>
      </c>
      <c r="AO183" s="44" t="n"/>
      <c r="AP183" s="45" t="n"/>
      <c r="AQ183" s="47" t="inlineStr">
        <is>
          <t>C12-a fill/writeback丢失；C12-b 重复；C12-c valid过早；C12-d 旧数据与新tag组合</t>
        </is>
      </c>
      <c r="AR183" s="23" t="n"/>
      <c r="AS183" s="35">
        <f>IF(OR(Q183="",Q183=0),"",AR183/Q183)</f>
        <v/>
      </c>
      <c r="AT183" s="62" t="n">
        <v>30</v>
      </c>
      <c r="AU183" s="62" t="n">
        <v>385</v>
      </c>
      <c r="AV183" s="62" t="inlineStr">
        <is>
          <t>常规</t>
        </is>
      </c>
      <c r="AW183" s="62" t="inlineStr">
        <is>
          <t>累计至少385，不机械扩展到2401</t>
        </is>
      </c>
    </row>
    <row r="184" ht="94.15000000000001" customHeight="1" s="58">
      <c r="A184" s="21" t="inlineStr">
        <is>
          <t>O01-F0-W7</t>
        </is>
      </c>
      <c r="B184" s="21" t="inlineStr">
        <is>
          <t>O01</t>
        </is>
      </c>
      <c r="C184" s="21" t="inlineStr">
        <is>
          <t>原子与同步</t>
        </is>
      </c>
      <c r="D184" s="22" t="inlineStr">
        <is>
          <t>每核 exclusive monitor 中记录的 reservation address。LDXR 建立对某个 exclusive granule 的预留，STXR 只有在预留仍匹配且未被冲突写破坏时才能成功；地址错误通常表现为错误失败，也可能形成错误成功。</t>
        </is>
      </c>
      <c r="E184" s="22" t="inlineStr">
        <is>
          <t>单比特翻转</t>
        </is>
      </c>
      <c r="F184"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4" s="22" t="inlineStr">
        <is>
          <t>F0</t>
        </is>
      </c>
      <c r="H184" s="22" t="inlineStr">
        <is>
          <t>每次运行只注入 1 次；在 warm-up 后的 eligible event 中均匀抽样</t>
        </is>
      </c>
      <c r="I184" s="22" t="inlineStr">
        <is>
          <t>Atomic-Litmus 并发探针（MP、SB、LB、IRIW、Dekker、ticket lock、CAS counter、LDXR/STXR）</t>
        </is>
      </c>
      <c r="J184" s="22" t="inlineStr">
        <is>
          <t>Atomic-Litmus 并发探针（MP、SB、LB、IRIW、Dekker、ticket lock、CAS counter、LDXR/STXR）
执行定义与 oracle：MP、SB、LB、IRIW、Dekker、ticket lock、CAS counter、LDXR/STXR 竞争；每轮检查禁出现结果</t>
        </is>
      </c>
      <c r="K184" s="22" t="inlineStr">
        <is>
          <t>LDXR后、STXR前</t>
        </is>
      </c>
      <c r="L184" s="22" t="inlineStr">
        <is>
          <t>L0 原子/屏障事件激活；L1 exclusive monitor、RMW旧值/新值、done/成功码；L2顺序队列与一致性事务；L3跨核可见顺序；L4禁出现结果/提交序；L5结局；reservation地址、granule、STXR结果、重试次数</t>
        </is>
      </c>
      <c r="M184" s="22" t="inlineStr">
        <is>
          <t>多为STXR失败和重试；若错误地址仍匹配可能错误成功并SDC</t>
        </is>
      </c>
      <c r="N184" s="22" t="inlineStr">
        <is>
          <t>覆盖独占监视器核心状态</t>
        </is>
      </c>
      <c r="O184" s="22" t="inlineStr">
        <is>
          <t>无直接文献</t>
        </is>
      </c>
      <c r="P184" s="23" t="n"/>
      <c r="Q184" s="23" t="n"/>
      <c r="R184" s="23" t="n"/>
      <c r="S184" s="23" t="n"/>
      <c r="T184" s="23" t="n"/>
      <c r="U184" s="23" t="n"/>
      <c r="V184" s="23" t="n"/>
      <c r="W184" s="23" t="n"/>
      <c r="X184" s="35">
        <f>IF(OR(R184="",R184-AP184&lt;=0),"",AB184/(R184-AP184))</f>
        <v/>
      </c>
      <c r="Y184" s="35">
        <f>IF(OR(AR184="",AR184=0),"",R184/AR184)</f>
        <v/>
      </c>
      <c r="Z184" s="24" t="inlineStr">
        <is>
          <t>待执行</t>
        </is>
      </c>
      <c r="AA184" s="23" t="n"/>
      <c r="AB184" s="38" t="n"/>
      <c r="AC184" s="38" t="n"/>
      <c r="AD184" s="38" t="n"/>
      <c r="AE184" s="38" t="n"/>
      <c r="AF184" s="38" t="n"/>
      <c r="AG184" s="38" t="n"/>
      <c r="AH184" s="38" t="n"/>
      <c r="AI184" s="38" t="n"/>
      <c r="AJ184" s="38" t="n"/>
      <c r="AK184" s="39" t="n"/>
      <c r="AL184" s="40">
        <f>IF(OR(R184="",R184-AP184&lt;=0),"",AO184/(R184-AP184))</f>
        <v/>
      </c>
      <c r="AM184" s="41">
        <f>IF(R184="","",SUM(AC184:AF184)-(R184-AP184))</f>
        <v/>
      </c>
      <c r="AN184" s="41">
        <f>IF(R184="","",SUM(S184:W184)+AP184-R184)</f>
        <v/>
      </c>
      <c r="AO184" s="44" t="n"/>
      <c r="AP184" s="45" t="n"/>
      <c r="AQ184" s="47" t="inlineStr">
        <is>
          <t>O01-a exclusive monitor address低位单bit；O01-b 中位单bit；O01-c 高位单bit</t>
        </is>
      </c>
      <c r="AR184" s="23" t="n"/>
      <c r="AS184" s="35">
        <f>IF(OR(Q184="",Q184=0),"",AR184/Q184)</f>
        <v/>
      </c>
      <c r="AT184" s="62" t="n">
        <v>30</v>
      </c>
      <c r="AU184" s="62" t="n">
        <v>2401</v>
      </c>
      <c r="AV184" s="62" t="inlineStr">
        <is>
          <t>重点（预登记21项）</t>
        </is>
      </c>
      <c r="AW184" s="62" t="inlineStr">
        <is>
          <t>累计到2401（含前385）</t>
        </is>
      </c>
    </row>
    <row r="185" ht="94.15000000000001" customHeight="1" s="58">
      <c r="A185" s="21" t="inlineStr">
        <is>
          <t>O01-F2-W7</t>
        </is>
      </c>
      <c r="B185" s="21" t="inlineStr">
        <is>
          <t>O01</t>
        </is>
      </c>
      <c r="C185" s="21" t="inlineStr">
        <is>
          <t>原子与同步</t>
        </is>
      </c>
      <c r="D185" s="22" t="inlineStr">
        <is>
          <t>每核 exclusive monitor 中记录的 reservation address。LDXR 建立对某个 exclusive granule 的预留，STXR 只有在预留仍匹配且未被冲突写破坏时才能成功；地址错误通常表现为错误失败，也可能形成错误成功。</t>
        </is>
      </c>
      <c r="E185" s="22" t="inlineStr">
        <is>
          <t>单比特翻转</t>
        </is>
      </c>
      <c r="F185"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5" s="22" t="inlineStr">
        <is>
          <t>F2</t>
        </is>
      </c>
      <c r="H185" s="22" t="inlineStr">
        <is>
          <t>平均每 100,000 个 eligible events 注入 1 次，间隔加入 ±50% 抖动</t>
        </is>
      </c>
      <c r="I185" s="22" t="inlineStr">
        <is>
          <t>Atomic-Litmus 并发探针（MP、SB、LB、IRIW、Dekker、ticket lock、CAS counter、LDXR/STXR）</t>
        </is>
      </c>
      <c r="J185" s="22" t="inlineStr">
        <is>
          <t>Atomic-Litmus 并发探针（MP、SB、LB、IRIW、Dekker、ticket lock、CAS counter、LDXR/STXR）
执行定义与 oracle：MP、SB、LB、IRIW、Dekker、ticket lock、CAS counter、LDXR/STXR 竞争；每轮检查禁出现结果</t>
        </is>
      </c>
      <c r="K185" s="22" t="inlineStr">
        <is>
          <t>LDXR后、STXR前</t>
        </is>
      </c>
      <c r="L185" s="22" t="inlineStr">
        <is>
          <t>L0 原子/屏障事件激活；L1 exclusive monitor、RMW旧值/新值、done/成功码；L2顺序队列与一致性事务；L3跨核可见顺序；L4禁出现结果/提交序；L5结局；reservation地址、granule、STXR结果、重试次数</t>
        </is>
      </c>
      <c r="M185" s="22" t="inlineStr">
        <is>
          <t>多为STXR失败和重试；若错误地址仍匹配可能错误成功并SDC</t>
        </is>
      </c>
      <c r="N185" s="22" t="inlineStr">
        <is>
          <t>覆盖独占监视器核心状态</t>
        </is>
      </c>
      <c r="O185" s="22" t="inlineStr">
        <is>
          <t>无直接文献</t>
        </is>
      </c>
      <c r="P185" s="23" t="n"/>
      <c r="Q185" s="23" t="n"/>
      <c r="R185" s="23" t="n"/>
      <c r="S185" s="23" t="n"/>
      <c r="T185" s="23" t="n"/>
      <c r="U185" s="23" t="n"/>
      <c r="V185" s="23" t="n"/>
      <c r="W185" s="23" t="n"/>
      <c r="X185" s="35">
        <f>IF(OR(R185="",R185-AP185&lt;=0),"",AB185/(R185-AP185))</f>
        <v/>
      </c>
      <c r="Y185" s="35">
        <f>IF(OR(AR185="",AR185=0),"",R185/AR185)</f>
        <v/>
      </c>
      <c r="Z185" s="24" t="inlineStr">
        <is>
          <t>待执行</t>
        </is>
      </c>
      <c r="AA185" s="23" t="n"/>
      <c r="AB185" s="38" t="n"/>
      <c r="AC185" s="38" t="n"/>
      <c r="AD185" s="38" t="n"/>
      <c r="AE185" s="38" t="n"/>
      <c r="AF185" s="38" t="n"/>
      <c r="AG185" s="38" t="n"/>
      <c r="AH185" s="38" t="n"/>
      <c r="AI185" s="38" t="n"/>
      <c r="AJ185" s="38" t="n"/>
      <c r="AK185" s="39" t="n"/>
      <c r="AL185" s="40">
        <f>IF(OR(R185="",R185-AP185&lt;=0),"",AO185/(R185-AP185))</f>
        <v/>
      </c>
      <c r="AM185" s="41">
        <f>IF(R185="","",SUM(AC185:AF185)-(R185-AP185))</f>
        <v/>
      </c>
      <c r="AN185" s="41">
        <f>IF(R185="","",SUM(S185:W185)+AP185-R185)</f>
        <v/>
      </c>
      <c r="AO185" s="44" t="n"/>
      <c r="AP185" s="45" t="n"/>
      <c r="AQ185" s="47" t="inlineStr">
        <is>
          <t>O01-a exclusive monitor address低位单bit；O01-b 中位单bit；O01-c 高位单bit</t>
        </is>
      </c>
      <c r="AR185" s="23" t="n"/>
      <c r="AS185" s="35">
        <f>IF(OR(Q185="",Q185=0),"",AR185/Q185)</f>
        <v/>
      </c>
      <c r="AT185" s="62" t="n">
        <v>30</v>
      </c>
      <c r="AU185" s="62" t="n">
        <v>385</v>
      </c>
      <c r="AV185" s="62" t="inlineStr">
        <is>
          <t>常规</t>
        </is>
      </c>
      <c r="AW185" s="62" t="inlineStr">
        <is>
          <t>累计至少385，不机械扩展到2401</t>
        </is>
      </c>
    </row>
    <row r="186" ht="94.15000000000001" customHeight="1" s="58">
      <c r="A186" s="21" t="inlineStr">
        <is>
          <t>O01-F6-W7</t>
        </is>
      </c>
      <c r="B186" s="21" t="inlineStr">
        <is>
          <t>O01</t>
        </is>
      </c>
      <c r="C186" s="21" t="inlineStr">
        <is>
          <t>原子与同步</t>
        </is>
      </c>
      <c r="D186" s="22" t="inlineStr">
        <is>
          <t>每核 exclusive monitor 中记录的 reservation address。LDXR 建立对某个 exclusive granule 的预留，STXR 只有在预留仍匹配且未被冲突写破坏时才能成功；地址错误通常表现为错误失败，也可能形成错误成功。</t>
        </is>
      </c>
      <c r="E186" s="22" t="inlineStr">
        <is>
          <t>单比特翻转</t>
        </is>
      </c>
      <c r="F186"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6" s="22" t="inlineStr">
        <is>
          <t>F6</t>
        </is>
      </c>
      <c r="H186" s="22" t="inlineStr">
        <is>
          <t>首次出现指定事件时注入一次，如 TLB hit、SQ forward、dirty eviction、CAS 成功</t>
        </is>
      </c>
      <c r="I186" s="22" t="inlineStr">
        <is>
          <t>Atomic-Litmus 并发探针（MP、SB、LB、IRIW、Dekker、ticket lock、CAS counter、LDXR/STXR）</t>
        </is>
      </c>
      <c r="J186" s="22" t="inlineStr">
        <is>
          <t>Atomic-Litmus 并发探针（MP、SB、LB、IRIW、Dekker、ticket lock、CAS counter、LDXR/STXR）
执行定义与 oracle：MP、SB、LB、IRIW、Dekker、ticket lock、CAS counter、LDXR/STXR 竞争；每轮检查禁出现结果</t>
        </is>
      </c>
      <c r="K186" s="22" t="inlineStr">
        <is>
          <t>LDXR后、STXR前</t>
        </is>
      </c>
      <c r="L186" s="22" t="inlineStr">
        <is>
          <t>L0 原子/屏障事件激活；L1 exclusive monitor、RMW旧值/新值、done/成功码；L2顺序队列与一致性事务；L3跨核可见顺序；L4禁出现结果/提交序；L5结局；reservation地址、granule、STXR结果、重试次数</t>
        </is>
      </c>
      <c r="M186" s="22" t="inlineStr">
        <is>
          <t>多为STXR失败和重试；若错误地址仍匹配可能错误成功并SDC</t>
        </is>
      </c>
      <c r="N186" s="22" t="inlineStr">
        <is>
          <t>覆盖独占监视器核心状态</t>
        </is>
      </c>
      <c r="O186" s="22" t="inlineStr">
        <is>
          <t>无直接文献</t>
        </is>
      </c>
      <c r="P186" s="23" t="n"/>
      <c r="Q186" s="23" t="n"/>
      <c r="R186" s="23" t="n"/>
      <c r="S186" s="23" t="n"/>
      <c r="T186" s="23" t="n"/>
      <c r="U186" s="23" t="n"/>
      <c r="V186" s="23" t="n"/>
      <c r="W186" s="23" t="n"/>
      <c r="X186" s="35">
        <f>IF(OR(R186="",R186-AP186&lt;=0),"",AB186/(R186-AP186))</f>
        <v/>
      </c>
      <c r="Y186" s="35">
        <f>IF(OR(AR186="",AR186=0),"",R186/AR186)</f>
        <v/>
      </c>
      <c r="Z186" s="24" t="inlineStr">
        <is>
          <t>待执行</t>
        </is>
      </c>
      <c r="AA186" s="23" t="n"/>
      <c r="AB186" s="38" t="n"/>
      <c r="AC186" s="38" t="n"/>
      <c r="AD186" s="38" t="n"/>
      <c r="AE186" s="38" t="n"/>
      <c r="AF186" s="38" t="n"/>
      <c r="AG186" s="38" t="n"/>
      <c r="AH186" s="38" t="n"/>
      <c r="AI186" s="38" t="n"/>
      <c r="AJ186" s="38" t="n"/>
      <c r="AK186" s="39" t="n"/>
      <c r="AL186" s="40">
        <f>IF(OR(R186="",R186-AP186&lt;=0),"",AO186/(R186-AP186))</f>
        <v/>
      </c>
      <c r="AM186" s="41">
        <f>IF(R186="","",SUM(AC186:AF186)-(R186-AP186))</f>
        <v/>
      </c>
      <c r="AN186" s="41">
        <f>IF(R186="","",SUM(S186:W186)+AP186-R186)</f>
        <v/>
      </c>
      <c r="AO186" s="44" t="n"/>
      <c r="AP186" s="45" t="n"/>
      <c r="AQ186" s="47" t="inlineStr">
        <is>
          <t>O01-a exclusive monitor address低位单bit；O01-b 中位单bit；O01-c 高位单bit</t>
        </is>
      </c>
      <c r="AR186" s="23" t="n"/>
      <c r="AS186" s="35">
        <f>IF(OR(Q186="",Q186=0),"",AR186/Q186)</f>
        <v/>
      </c>
      <c r="AT186" s="62" t="n">
        <v>30</v>
      </c>
      <c r="AU186" s="62" t="n">
        <v>385</v>
      </c>
      <c r="AV186" s="62" t="inlineStr">
        <is>
          <t>常规</t>
        </is>
      </c>
      <c r="AW186" s="62" t="inlineStr">
        <is>
          <t>累计至少385，不机械扩展到2401</t>
        </is>
      </c>
    </row>
    <row r="187" ht="94.15000000000001" customHeight="1" s="58">
      <c r="A187" s="21" t="inlineStr">
        <is>
          <t>O02-F0-W7</t>
        </is>
      </c>
      <c r="B187" s="21" t="inlineStr">
        <is>
          <t>O02</t>
        </is>
      </c>
      <c r="C187" s="21" t="inlineStr">
        <is>
          <t>原子与同步</t>
        </is>
      </c>
      <c r="D187" s="22" t="inlineStr">
        <is>
          <t>Exclusive monitor 的 valid、version 与 granule 范围状态。valid 表示预留存在，version/失效状态反映竞争写，granule 规定监视的地址范围；这些状态共同决定 STXR 是否可以提交。</t>
        </is>
      </c>
      <c r="E187" s="22" t="inlineStr">
        <is>
          <t>状态</t>
        </is>
      </c>
      <c r="F187"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7" s="22" t="inlineStr">
        <is>
          <t>F0</t>
        </is>
      </c>
      <c r="H187" s="22" t="inlineStr">
        <is>
          <t>每次运行只注入 1 次；在 warm-up 后的 eligible event 中均匀抽样</t>
        </is>
      </c>
      <c r="I187" s="22" t="inlineStr">
        <is>
          <t>Atomic-Litmus 并发探针（MP、SB、LB、IRIW、Dekker、ticket lock、CAS counter、LDXR/STXR）</t>
        </is>
      </c>
      <c r="J187" s="22" t="inlineStr">
        <is>
          <t>Atomic-Litmus 并发探针（MP、SB、LB、IRIW、Dekker、ticket lock、CAS counter、LDXR/STXR）
执行定义与 oracle：MP、SB、LB、IRIW、Dekker、ticket lock、CAS counter、LDXR/STXR 竞争；每轮检查禁出现结果</t>
        </is>
      </c>
      <c r="K187" s="22" t="inlineStr">
        <is>
          <t>存在竞争写或reservation</t>
        </is>
      </c>
      <c r="L187" s="22" t="inlineStr">
        <is>
          <t>L0 原子/屏障事件激活；L1 exclusive monitor、RMW旧值/新值、done/成功码；L2顺序队列与一致性事务；L3跨核可见顺序；L4禁出现结果/提交序；L5结局；冲突写时间、monitor失效原因、禁出现结果</t>
        </is>
      </c>
      <c r="M187" s="22" t="inlineStr">
        <is>
          <t>伪成功最危险，可产生lost update；清零多为性能/活锁</t>
        </is>
      </c>
      <c r="N187" s="22" t="inlineStr">
        <is>
          <t>区分安全失败与错误成功</t>
        </is>
      </c>
      <c r="O187" s="22" t="inlineStr">
        <is>
          <t>无直接文献</t>
        </is>
      </c>
      <c r="P187" s="23" t="n"/>
      <c r="Q187" s="23" t="n"/>
      <c r="R187" s="23" t="n"/>
      <c r="S187" s="23" t="n"/>
      <c r="T187" s="23" t="n"/>
      <c r="U187" s="23" t="n"/>
      <c r="V187" s="23" t="n"/>
      <c r="W187" s="23" t="n"/>
      <c r="X187" s="35">
        <f>IF(OR(R187="",R187-AP187&lt;=0),"",AB187/(R187-AP187))</f>
        <v/>
      </c>
      <c r="Y187" s="35">
        <f>IF(OR(AR187="",AR187=0),"",R187/AR187)</f>
        <v/>
      </c>
      <c r="Z187" s="24" t="inlineStr">
        <is>
          <t>待执行</t>
        </is>
      </c>
      <c r="AA187" s="23" t="n"/>
      <c r="AB187" s="38" t="n"/>
      <c r="AC187" s="38" t="n"/>
      <c r="AD187" s="38" t="n"/>
      <c r="AE187" s="38" t="n"/>
      <c r="AF187" s="38" t="n"/>
      <c r="AG187" s="38" t="n"/>
      <c r="AH187" s="38" t="n"/>
      <c r="AI187" s="38" t="n"/>
      <c r="AJ187" s="38" t="n"/>
      <c r="AK187" s="39" t="n"/>
      <c r="AL187" s="40">
        <f>IF(OR(R187="",R187-AP187&lt;=0),"",AO187/(R187-AP187))</f>
        <v/>
      </c>
      <c r="AM187" s="41">
        <f>IF(R187="","",SUM(AC187:AF187)-(R187-AP187))</f>
        <v/>
      </c>
      <c r="AN187" s="41">
        <f>IF(R187="","",SUM(S187:W187)+AP187-R187)</f>
        <v/>
      </c>
      <c r="AO187" s="44" t="n"/>
      <c r="AP187" s="45" t="n"/>
      <c r="AQ187" s="47" t="inlineStr">
        <is>
          <t>O02-a monitor valid异常；O02-b version异常；O02-c granule异常</t>
        </is>
      </c>
      <c r="AR187" s="23" t="n"/>
      <c r="AS187" s="35">
        <f>IF(OR(Q187="",Q187=0),"",AR187/Q187)</f>
        <v/>
      </c>
      <c r="AT187" s="62" t="n">
        <v>30</v>
      </c>
      <c r="AU187" s="62" t="n">
        <v>385</v>
      </c>
      <c r="AV187" s="62" t="inlineStr">
        <is>
          <t>常规</t>
        </is>
      </c>
      <c r="AW187" s="62" t="inlineStr">
        <is>
          <t>累计至少385，不机械扩展到2401</t>
        </is>
      </c>
    </row>
    <row r="188" ht="94.15000000000001" customHeight="1" s="58">
      <c r="A188" s="21" t="inlineStr">
        <is>
          <t>O02-F2-W7</t>
        </is>
      </c>
      <c r="B188" s="21" t="inlineStr">
        <is>
          <t>O02</t>
        </is>
      </c>
      <c r="C188" s="21" t="inlineStr">
        <is>
          <t>原子与同步</t>
        </is>
      </c>
      <c r="D188" s="22" t="inlineStr">
        <is>
          <t>Exclusive monitor 的 valid、version 与 granule 范围状态。valid 表示预留存在，version/失效状态反映竞争写，granule 规定监视的地址范围；这些状态共同决定 STXR 是否可以提交。</t>
        </is>
      </c>
      <c r="E188" s="22" t="inlineStr">
        <is>
          <t>状态</t>
        </is>
      </c>
      <c r="F188"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8" s="22" t="inlineStr">
        <is>
          <t>F2</t>
        </is>
      </c>
      <c r="H188" s="22" t="inlineStr">
        <is>
          <t>平均每 100,000 个 eligible events 注入 1 次，间隔加入 ±50% 抖动</t>
        </is>
      </c>
      <c r="I188" s="22" t="inlineStr">
        <is>
          <t>Atomic-Litmus 并发探针（MP、SB、LB、IRIW、Dekker、ticket lock、CAS counter、LDXR/STXR）</t>
        </is>
      </c>
      <c r="J188" s="22" t="inlineStr">
        <is>
          <t>Atomic-Litmus 并发探针（MP、SB、LB、IRIW、Dekker、ticket lock、CAS counter、LDXR/STXR）
执行定义与 oracle：MP、SB、LB、IRIW、Dekker、ticket lock、CAS counter、LDXR/STXR 竞争；每轮检查禁出现结果</t>
        </is>
      </c>
      <c r="K188" s="22" t="inlineStr">
        <is>
          <t>存在竞争写或reservation</t>
        </is>
      </c>
      <c r="L188" s="22" t="inlineStr">
        <is>
          <t>L0 原子/屏障事件激活；L1 exclusive monitor、RMW旧值/新值、done/成功码；L2顺序队列与一致性事务；L3跨核可见顺序；L4禁出现结果/提交序；L5结局；冲突写时间、monitor失效原因、禁出现结果</t>
        </is>
      </c>
      <c r="M188" s="22" t="inlineStr">
        <is>
          <t>伪成功最危险，可产生lost update；清零多为性能/活锁</t>
        </is>
      </c>
      <c r="N188" s="22" t="inlineStr">
        <is>
          <t>区分安全失败与错误成功</t>
        </is>
      </c>
      <c r="O188" s="22" t="inlineStr">
        <is>
          <t>无直接文献</t>
        </is>
      </c>
      <c r="P188" s="23" t="n"/>
      <c r="Q188" s="23" t="n"/>
      <c r="R188" s="23" t="n"/>
      <c r="S188" s="23" t="n"/>
      <c r="T188" s="23" t="n"/>
      <c r="U188" s="23" t="n"/>
      <c r="V188" s="23" t="n"/>
      <c r="W188" s="23" t="n"/>
      <c r="X188" s="35">
        <f>IF(OR(R188="",R188-AP188&lt;=0),"",AB188/(R188-AP188))</f>
        <v/>
      </c>
      <c r="Y188" s="35">
        <f>IF(OR(AR188="",AR188=0),"",R188/AR188)</f>
        <v/>
      </c>
      <c r="Z188" s="24" t="inlineStr">
        <is>
          <t>待执行</t>
        </is>
      </c>
      <c r="AA188" s="23" t="n"/>
      <c r="AB188" s="38" t="n"/>
      <c r="AC188" s="38" t="n"/>
      <c r="AD188" s="38" t="n"/>
      <c r="AE188" s="38" t="n"/>
      <c r="AF188" s="38" t="n"/>
      <c r="AG188" s="38" t="n"/>
      <c r="AH188" s="38" t="n"/>
      <c r="AI188" s="38" t="n"/>
      <c r="AJ188" s="38" t="n"/>
      <c r="AK188" s="39" t="n"/>
      <c r="AL188" s="40">
        <f>IF(OR(R188="",R188-AP188&lt;=0),"",AO188/(R188-AP188))</f>
        <v/>
      </c>
      <c r="AM188" s="41">
        <f>IF(R188="","",SUM(AC188:AF188)-(R188-AP188))</f>
        <v/>
      </c>
      <c r="AN188" s="41">
        <f>IF(R188="","",SUM(S188:W188)+AP188-R188)</f>
        <v/>
      </c>
      <c r="AO188" s="44" t="n"/>
      <c r="AP188" s="45" t="n"/>
      <c r="AQ188" s="47" t="inlineStr">
        <is>
          <t>O02-a monitor valid异常；O02-b version异常；O02-c granule异常</t>
        </is>
      </c>
      <c r="AR188" s="23" t="n"/>
      <c r="AS188" s="35">
        <f>IF(OR(Q188="",Q188=0),"",AR188/Q188)</f>
        <v/>
      </c>
      <c r="AT188" s="62" t="n">
        <v>30</v>
      </c>
      <c r="AU188" s="62" t="n">
        <v>385</v>
      </c>
      <c r="AV188" s="62" t="inlineStr">
        <is>
          <t>常规</t>
        </is>
      </c>
      <c r="AW188" s="62" t="inlineStr">
        <is>
          <t>累计至少385，不机械扩展到2401</t>
        </is>
      </c>
    </row>
    <row r="189" ht="94.15000000000001" customHeight="1" s="58">
      <c r="A189" s="21" t="inlineStr">
        <is>
          <t>O02-F5-W7</t>
        </is>
      </c>
      <c r="B189" s="21" t="inlineStr">
        <is>
          <t>O02</t>
        </is>
      </c>
      <c r="C189" s="21" t="inlineStr">
        <is>
          <t>原子与同步</t>
        </is>
      </c>
      <c r="D189" s="22" t="inlineStr">
        <is>
          <t>Exclusive monitor 的 valid、version 与 granule 范围状态。valid 表示预留存在，version/失效状态反映竞争写，granule 规定监视的地址范围；这些状态共同决定 STXR 是否可以提交。</t>
        </is>
      </c>
      <c r="E189" s="22" t="inlineStr">
        <is>
          <t>状态</t>
        </is>
      </c>
      <c r="F189"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9" s="22" t="inlineStr">
        <is>
          <t>F5</t>
        </is>
      </c>
      <c r="H189" s="22" t="inlineStr">
        <is>
          <t>warm-up 后第一个 eligible event 起持续到运行结束；每次运行仅选一个 bit/字段</t>
        </is>
      </c>
      <c r="I189" s="22" t="inlineStr">
        <is>
          <t>Atomic-Litmus 并发探针（MP、SB、LB、IRIW、Dekker、ticket lock、CAS counter、LDXR/STXR）</t>
        </is>
      </c>
      <c r="J189" s="22" t="inlineStr">
        <is>
          <t>Atomic-Litmus 并发探针（MP、SB、LB、IRIW、Dekker、ticket lock、CAS counter、LDXR/STXR）
执行定义与 oracle：MP、SB、LB、IRIW、Dekker、ticket lock、CAS counter、LDXR/STXR 竞争；每轮检查禁出现结果</t>
        </is>
      </c>
      <c r="K189" s="22" t="inlineStr">
        <is>
          <t>存在竞争写或reservation</t>
        </is>
      </c>
      <c r="L189" s="22" t="inlineStr">
        <is>
          <t>L0 原子/屏障事件激活；L1 exclusive monitor、RMW旧值/新值、done/成功码；L2顺序队列与一致性事务；L3跨核可见顺序；L4禁出现结果/提交序；L5结局；冲突写时间、monitor失效原因、禁出现结果</t>
        </is>
      </c>
      <c r="M189" s="22" t="inlineStr">
        <is>
          <t>伪成功最危险，可产生lost update；清零多为性能/活锁</t>
        </is>
      </c>
      <c r="N189" s="22" t="inlineStr">
        <is>
          <t>区分安全失败与错误成功</t>
        </is>
      </c>
      <c r="O189" s="22" t="inlineStr">
        <is>
          <t>无直接文献</t>
        </is>
      </c>
      <c r="P189" s="23" t="n"/>
      <c r="Q189" s="23" t="n"/>
      <c r="R189" s="23" t="n"/>
      <c r="S189" s="23" t="n"/>
      <c r="T189" s="23" t="n"/>
      <c r="U189" s="23" t="n"/>
      <c r="V189" s="23" t="n"/>
      <c r="W189" s="23" t="n"/>
      <c r="X189" s="35">
        <f>IF(OR(R189="",R189-AP189&lt;=0),"",AB189/(R189-AP189))</f>
        <v/>
      </c>
      <c r="Y189" s="35">
        <f>IF(OR(AR189="",AR189=0),"",R189/AR189)</f>
        <v/>
      </c>
      <c r="Z189" s="24" t="inlineStr">
        <is>
          <t>待执行</t>
        </is>
      </c>
      <c r="AA189" s="23" t="n"/>
      <c r="AB189" s="38" t="n"/>
      <c r="AC189" s="38" t="n"/>
      <c r="AD189" s="38" t="n"/>
      <c r="AE189" s="38" t="n"/>
      <c r="AF189" s="38" t="n"/>
      <c r="AG189" s="38" t="n"/>
      <c r="AH189" s="38" t="n"/>
      <c r="AI189" s="38" t="n"/>
      <c r="AJ189" s="38" t="n"/>
      <c r="AK189" s="39" t="n"/>
      <c r="AL189" s="40">
        <f>IF(OR(R189="",R189-AP189&lt;=0),"",AO189/(R189-AP189))</f>
        <v/>
      </c>
      <c r="AM189" s="41">
        <f>IF(R189="","",SUM(AC189:AF189)-(R189-AP189))</f>
        <v/>
      </c>
      <c r="AN189" s="41">
        <f>IF(R189="","",SUM(S189:W189)+AP189-R189)</f>
        <v/>
      </c>
      <c r="AO189" s="44" t="n"/>
      <c r="AP189" s="45" t="n"/>
      <c r="AQ189" s="47" t="inlineStr">
        <is>
          <t>O02-a monitor valid异常；O02-b version异常；O02-c granule异常</t>
        </is>
      </c>
      <c r="AR189" s="23" t="n"/>
      <c r="AS189" s="35">
        <f>IF(OR(Q189="",Q189=0),"",AR189/Q189)</f>
        <v/>
      </c>
      <c r="AT189" s="62" t="n">
        <v>30</v>
      </c>
      <c r="AU189" s="62" t="n">
        <v>385</v>
      </c>
      <c r="AV189" s="62" t="inlineStr">
        <is>
          <t>常规</t>
        </is>
      </c>
      <c r="AW189" s="62" t="inlineStr">
        <is>
          <t>累计至少385，不机械扩展到2401</t>
        </is>
      </c>
    </row>
    <row r="190" ht="94.15000000000001" customHeight="1" s="58">
      <c r="A190" s="21" t="inlineStr">
        <is>
          <t>O02-F6-W7</t>
        </is>
      </c>
      <c r="B190" s="21" t="inlineStr">
        <is>
          <t>O02</t>
        </is>
      </c>
      <c r="C190" s="21" t="inlineStr">
        <is>
          <t>原子与同步</t>
        </is>
      </c>
      <c r="D190" s="22" t="inlineStr">
        <is>
          <t>Exclusive monitor 的 valid、version 与 granule 范围状态。valid 表示预留存在，version/失效状态反映竞争写，granule 规定监视的地址范围；这些状态共同决定 STXR 是否可以提交。</t>
        </is>
      </c>
      <c r="E190" s="22" t="inlineStr">
        <is>
          <t>状态</t>
        </is>
      </c>
      <c r="F190"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90" s="22" t="inlineStr">
        <is>
          <t>F6</t>
        </is>
      </c>
      <c r="H190" s="22" t="inlineStr">
        <is>
          <t>首次出现指定事件时注入一次，如 TLB hit、SQ forward、dirty eviction、CAS 成功</t>
        </is>
      </c>
      <c r="I190" s="22" t="inlineStr">
        <is>
          <t>Atomic-Litmus 并发探针（MP、SB、LB、IRIW、Dekker、ticket lock、CAS counter、LDXR/STXR）</t>
        </is>
      </c>
      <c r="J190" s="22" t="inlineStr">
        <is>
          <t>Atomic-Litmus 并发探针（MP、SB、LB、IRIW、Dekker、ticket lock、CAS counter、LDXR/STXR）
执行定义与 oracle：MP、SB、LB、IRIW、Dekker、ticket lock、CAS counter、LDXR/STXR 竞争；每轮检查禁出现结果</t>
        </is>
      </c>
      <c r="K190" s="22" t="inlineStr">
        <is>
          <t>存在竞争写或reservation</t>
        </is>
      </c>
      <c r="L190" s="22" t="inlineStr">
        <is>
          <t>L0 原子/屏障事件激活；L1 exclusive monitor、RMW旧值/新值、done/成功码；L2顺序队列与一致性事务；L3跨核可见顺序；L4禁出现结果/提交序；L5结局；冲突写时间、monitor失效原因、禁出现结果</t>
        </is>
      </c>
      <c r="M190" s="22" t="inlineStr">
        <is>
          <t>伪成功最危险，可产生lost update；清零多为性能/活锁</t>
        </is>
      </c>
      <c r="N190" s="22" t="inlineStr">
        <is>
          <t>区分安全失败与错误成功</t>
        </is>
      </c>
      <c r="O190" s="22" t="inlineStr">
        <is>
          <t>无直接文献</t>
        </is>
      </c>
      <c r="P190" s="23" t="n"/>
      <c r="Q190" s="23" t="n"/>
      <c r="R190" s="23" t="n"/>
      <c r="S190" s="23" t="n"/>
      <c r="T190" s="23" t="n"/>
      <c r="U190" s="23" t="n"/>
      <c r="V190" s="23" t="n"/>
      <c r="W190" s="23" t="n"/>
      <c r="X190" s="35">
        <f>IF(OR(R190="",R190-AP190&lt;=0),"",AB190/(R190-AP190))</f>
        <v/>
      </c>
      <c r="Y190" s="35">
        <f>IF(OR(AR190="",AR190=0),"",R190/AR190)</f>
        <v/>
      </c>
      <c r="Z190" s="24" t="inlineStr">
        <is>
          <t>待执行</t>
        </is>
      </c>
      <c r="AA190" s="23" t="n"/>
      <c r="AB190" s="38" t="n"/>
      <c r="AC190" s="38" t="n"/>
      <c r="AD190" s="38" t="n"/>
      <c r="AE190" s="38" t="n"/>
      <c r="AF190" s="38" t="n"/>
      <c r="AG190" s="38" t="n"/>
      <c r="AH190" s="38" t="n"/>
      <c r="AI190" s="38" t="n"/>
      <c r="AJ190" s="38" t="n"/>
      <c r="AK190" s="39" t="n"/>
      <c r="AL190" s="40">
        <f>IF(OR(R190="",R190-AP190&lt;=0),"",AO190/(R190-AP190))</f>
        <v/>
      </c>
      <c r="AM190" s="41">
        <f>IF(R190="","",SUM(AC190:AF190)-(R190-AP190))</f>
        <v/>
      </c>
      <c r="AN190" s="41">
        <f>IF(R190="","",SUM(S190:W190)+AP190-R190)</f>
        <v/>
      </c>
      <c r="AO190" s="44" t="n"/>
      <c r="AP190" s="45" t="n"/>
      <c r="AQ190" s="47" t="inlineStr">
        <is>
          <t>O02-a monitor valid异常；O02-b version异常；O02-c granule异常</t>
        </is>
      </c>
      <c r="AR190" s="23" t="n"/>
      <c r="AS190" s="35">
        <f>IF(OR(Q190="",Q190=0),"",AR190/Q190)</f>
        <v/>
      </c>
      <c r="AT190" s="62" t="n">
        <v>30</v>
      </c>
      <c r="AU190" s="62" t="n">
        <v>385</v>
      </c>
      <c r="AV190" s="62" t="inlineStr">
        <is>
          <t>常规</t>
        </is>
      </c>
      <c r="AW190" s="62" t="inlineStr">
        <is>
          <t>累计至少385，不机械扩展到2401</t>
        </is>
      </c>
    </row>
    <row r="191" ht="94.15000000000001" customHeight="1" s="58">
      <c r="A191" s="21" t="inlineStr">
        <is>
          <t>O03-F0-W7</t>
        </is>
      </c>
      <c r="B191" s="21" t="inlineStr">
        <is>
          <t>O03</t>
        </is>
      </c>
      <c r="C191" s="21" t="inlineStr">
        <is>
          <t>原子与同步</t>
        </is>
      </c>
      <c r="D191" s="22" t="inlineStr">
        <is>
          <t>STXR/CAS 等原子操作返回给软件的成功/失败状态码。它必须与内存是否真正更新保持一致；状态码与事实不一致会让软件错误重试或错误停止重试。</t>
        </is>
      </c>
      <c r="E191" s="22" t="inlineStr">
        <is>
          <t>翻转</t>
        </is>
      </c>
      <c r="F191"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1" s="22" t="inlineStr">
        <is>
          <t>F0</t>
        </is>
      </c>
      <c r="H191" s="22" t="inlineStr">
        <is>
          <t>每次运行只注入 1 次；在 warm-up 后的 eligible event 中均匀抽样</t>
        </is>
      </c>
      <c r="I191" s="22" t="inlineStr">
        <is>
          <t>Atomic-Litmus 并发探针（MP、SB、LB、IRIW、Dekker、ticket lock、CAS counter、LDXR/STXR）</t>
        </is>
      </c>
      <c r="J191" s="22" t="inlineStr">
        <is>
          <t>Atomic-Litmus 并发探针（MP、SB、LB、IRIW、Dekker、ticket lock、CAS counter、LDXR/STXR）
执行定义与 oracle：MP、SB、LB、IRIW、Dekker、ticket lock、CAS counter、LDXR/STXR 竞争；每轮检查禁出现结果</t>
        </is>
      </c>
      <c r="K191" s="22" t="inlineStr">
        <is>
          <t>原子操作完成</t>
        </is>
      </c>
      <c r="L191" s="22" t="inlineStr">
        <is>
          <t>L0 原子/屏障事件激活；L1 exclusive monitor、RMW旧值/新值、done/成功码；L2顺序队列与一致性事务；L3跨核可见顺序；L4禁出现结果/提交序；L5结局；真实更新、返回码、重试路径、counter期望值</t>
        </is>
      </c>
      <c r="M191" s="22" t="inlineStr">
        <is>
          <t>内存已写却报失败会重复更新；未写却报成功会丢更新，均可能稳定SDC</t>
        </is>
      </c>
      <c r="N191" s="22" t="inlineStr">
        <is>
          <t>状态码是软件控制流与内存事实的契约</t>
        </is>
      </c>
      <c r="O191" s="22" t="inlineStr">
        <is>
          <t>无直接文献</t>
        </is>
      </c>
      <c r="P191" s="23" t="n"/>
      <c r="Q191" s="23" t="n"/>
      <c r="R191" s="23" t="n"/>
      <c r="S191" s="23" t="n"/>
      <c r="T191" s="23" t="n"/>
      <c r="U191" s="23" t="n"/>
      <c r="V191" s="23" t="n"/>
      <c r="W191" s="23" t="n"/>
      <c r="X191" s="35">
        <f>IF(OR(R191="",R191-AP191&lt;=0),"",AB191/(R191-AP191))</f>
        <v/>
      </c>
      <c r="Y191" s="35">
        <f>IF(OR(AR191="",AR191=0),"",R191/AR191)</f>
        <v/>
      </c>
      <c r="Z191" s="24" t="inlineStr">
        <is>
          <t>待执行</t>
        </is>
      </c>
      <c r="AA191" s="23" t="n"/>
      <c r="AB191" s="38" t="n"/>
      <c r="AC191" s="38" t="n"/>
      <c r="AD191" s="38" t="n"/>
      <c r="AE191" s="38" t="n"/>
      <c r="AF191" s="38" t="n"/>
      <c r="AG191" s="38" t="n"/>
      <c r="AH191" s="38" t="n"/>
      <c r="AI191" s="38" t="n"/>
      <c r="AJ191" s="38" t="n"/>
      <c r="AK191" s="39" t="n"/>
      <c r="AL191" s="40">
        <f>IF(OR(R191="",R191-AP191&lt;=0),"",AO191/(R191-AP191))</f>
        <v/>
      </c>
      <c r="AM191" s="41">
        <f>IF(R191="","",SUM(AC191:AF191)-(R191-AP191))</f>
        <v/>
      </c>
      <c r="AN191" s="41">
        <f>IF(R191="","",SUM(S191:W191)+AP191-R191)</f>
        <v/>
      </c>
      <c r="AO191" s="44" t="n"/>
      <c r="AP191" s="45" t="n"/>
      <c r="AQ191" s="47" t="inlineStr">
        <is>
          <t>O03-a 软件可见success→failure；O03-b failure→success</t>
        </is>
      </c>
      <c r="AR191" s="23" t="n"/>
      <c r="AS191" s="35">
        <f>IF(OR(Q191="",Q191=0),"",AR191/Q191)</f>
        <v/>
      </c>
      <c r="AT191" s="62" t="n">
        <v>30</v>
      </c>
      <c r="AU191" s="62" t="n">
        <v>385</v>
      </c>
      <c r="AV191" s="62" t="inlineStr">
        <is>
          <t>常规</t>
        </is>
      </c>
      <c r="AW191" s="62" t="inlineStr">
        <is>
          <t>累计至少385，不机械扩展到2401</t>
        </is>
      </c>
    </row>
    <row r="192" ht="94.15000000000001" customHeight="1" s="58">
      <c r="A192" s="21" t="inlineStr">
        <is>
          <t>O03-F2-W7</t>
        </is>
      </c>
      <c r="B192" s="21" t="inlineStr">
        <is>
          <t>O03</t>
        </is>
      </c>
      <c r="C192" s="21" t="inlineStr">
        <is>
          <t>原子与同步</t>
        </is>
      </c>
      <c r="D192" s="22" t="inlineStr">
        <is>
          <t>STXR/CAS 等原子操作返回给软件的成功/失败状态码。它必须与内存是否真正更新保持一致；状态码与事实不一致会让软件错误重试或错误停止重试。</t>
        </is>
      </c>
      <c r="E192" s="22" t="inlineStr">
        <is>
          <t>翻转</t>
        </is>
      </c>
      <c r="F192"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2" s="22" t="inlineStr">
        <is>
          <t>F2</t>
        </is>
      </c>
      <c r="H192" s="22" t="inlineStr">
        <is>
          <t>平均每 100,000 个 eligible events 注入 1 次，间隔加入 ±50% 抖动</t>
        </is>
      </c>
      <c r="I192" s="22" t="inlineStr">
        <is>
          <t>Atomic-Litmus 并发探针（MP、SB、LB、IRIW、Dekker、ticket lock、CAS counter、LDXR/STXR）</t>
        </is>
      </c>
      <c r="J192" s="22" t="inlineStr">
        <is>
          <t>Atomic-Litmus 并发探针（MP、SB、LB、IRIW、Dekker、ticket lock、CAS counter、LDXR/STXR）
执行定义与 oracle：MP、SB、LB、IRIW、Dekker、ticket lock、CAS counter、LDXR/STXR 竞争；每轮检查禁出现结果</t>
        </is>
      </c>
      <c r="K192" s="22" t="inlineStr">
        <is>
          <t>原子操作完成</t>
        </is>
      </c>
      <c r="L192" s="22" t="inlineStr">
        <is>
          <t>L0 原子/屏障事件激活；L1 exclusive monitor、RMW旧值/新值、done/成功码；L2顺序队列与一致性事务；L3跨核可见顺序；L4禁出现结果/提交序；L5结局；真实更新、返回码、重试路径、counter期望值</t>
        </is>
      </c>
      <c r="M192" s="22" t="inlineStr">
        <is>
          <t>内存已写却报失败会重复更新；未写却报成功会丢更新，均可能稳定SDC</t>
        </is>
      </c>
      <c r="N192" s="22" t="inlineStr">
        <is>
          <t>状态码是软件控制流与内存事实的契约</t>
        </is>
      </c>
      <c r="O192" s="22" t="inlineStr">
        <is>
          <t>无直接文献</t>
        </is>
      </c>
      <c r="P192" s="23" t="n"/>
      <c r="Q192" s="23" t="n"/>
      <c r="R192" s="23" t="n"/>
      <c r="S192" s="23" t="n"/>
      <c r="T192" s="23" t="n"/>
      <c r="U192" s="23" t="n"/>
      <c r="V192" s="23" t="n"/>
      <c r="W192" s="23" t="n"/>
      <c r="X192" s="35">
        <f>IF(OR(R192="",R192-AP192&lt;=0),"",AB192/(R192-AP192))</f>
        <v/>
      </c>
      <c r="Y192" s="35">
        <f>IF(OR(AR192="",AR192=0),"",R192/AR192)</f>
        <v/>
      </c>
      <c r="Z192" s="24" t="inlineStr">
        <is>
          <t>待执行</t>
        </is>
      </c>
      <c r="AA192" s="23" t="n"/>
      <c r="AB192" s="38" t="n"/>
      <c r="AC192" s="38" t="n"/>
      <c r="AD192" s="38" t="n"/>
      <c r="AE192" s="38" t="n"/>
      <c r="AF192" s="38" t="n"/>
      <c r="AG192" s="38" t="n"/>
      <c r="AH192" s="38" t="n"/>
      <c r="AI192" s="38" t="n"/>
      <c r="AJ192" s="38" t="n"/>
      <c r="AK192" s="39" t="n"/>
      <c r="AL192" s="40">
        <f>IF(OR(R192="",R192-AP192&lt;=0),"",AO192/(R192-AP192))</f>
        <v/>
      </c>
      <c r="AM192" s="41">
        <f>IF(R192="","",SUM(AC192:AF192)-(R192-AP192))</f>
        <v/>
      </c>
      <c r="AN192" s="41">
        <f>IF(R192="","",SUM(S192:W192)+AP192-R192)</f>
        <v/>
      </c>
      <c r="AO192" s="44" t="n"/>
      <c r="AP192" s="45" t="n"/>
      <c r="AQ192" s="47" t="inlineStr">
        <is>
          <t>O03-a 软件可见success→failure；O03-b failure→success</t>
        </is>
      </c>
      <c r="AR192" s="23" t="n"/>
      <c r="AS192" s="35">
        <f>IF(OR(Q192="",Q192=0),"",AR192/Q192)</f>
        <v/>
      </c>
      <c r="AT192" s="62" t="n">
        <v>30</v>
      </c>
      <c r="AU192" s="62" t="n">
        <v>385</v>
      </c>
      <c r="AV192" s="62" t="inlineStr">
        <is>
          <t>常规</t>
        </is>
      </c>
      <c r="AW192" s="62" t="inlineStr">
        <is>
          <t>累计至少385，不机械扩展到2401</t>
        </is>
      </c>
    </row>
    <row r="193" ht="94.15000000000001" customHeight="1" s="58">
      <c r="A193" s="21" t="inlineStr">
        <is>
          <t>O03-F6-W7</t>
        </is>
      </c>
      <c r="B193" s="21" t="inlineStr">
        <is>
          <t>O03</t>
        </is>
      </c>
      <c r="C193" s="21" t="inlineStr">
        <is>
          <t>原子与同步</t>
        </is>
      </c>
      <c r="D193" s="22" t="inlineStr">
        <is>
          <t>STXR/CAS 等原子操作返回给软件的成功/失败状态码。它必须与内存是否真正更新保持一致；状态码与事实不一致会让软件错误重试或错误停止重试。</t>
        </is>
      </c>
      <c r="E193" s="22" t="inlineStr">
        <is>
          <t>翻转</t>
        </is>
      </c>
      <c r="F193"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3" s="22" t="inlineStr">
        <is>
          <t>F6</t>
        </is>
      </c>
      <c r="H193" s="22" t="inlineStr">
        <is>
          <t>首次出现指定事件时注入一次，如 TLB hit、SQ forward、dirty eviction、CAS 成功</t>
        </is>
      </c>
      <c r="I193" s="22" t="inlineStr">
        <is>
          <t>Atomic-Litmus 并发探针（MP、SB、LB、IRIW、Dekker、ticket lock、CAS counter、LDXR/STXR）</t>
        </is>
      </c>
      <c r="J193" s="22" t="inlineStr">
        <is>
          <t>Atomic-Litmus 并发探针（MP、SB、LB、IRIW、Dekker、ticket lock、CAS counter、LDXR/STXR）
执行定义与 oracle：MP、SB、LB、IRIW、Dekker、ticket lock、CAS counter、LDXR/STXR 竞争；每轮检查禁出现结果</t>
        </is>
      </c>
      <c r="K193" s="22" t="inlineStr">
        <is>
          <t>原子操作完成</t>
        </is>
      </c>
      <c r="L193" s="22" t="inlineStr">
        <is>
          <t>L0 原子/屏障事件激活；L1 exclusive monitor、RMW旧值/新值、done/成功码；L2顺序队列与一致性事务；L3跨核可见顺序；L4禁出现结果/提交序；L5结局；真实更新、返回码、重试路径、counter期望值</t>
        </is>
      </c>
      <c r="M193" s="22" t="inlineStr">
        <is>
          <t>内存已写却报失败会重复更新；未写却报成功会丢更新，均可能稳定SDC</t>
        </is>
      </c>
      <c r="N193" s="22" t="inlineStr">
        <is>
          <t>状态码是软件控制流与内存事实的契约</t>
        </is>
      </c>
      <c r="O193" s="22" t="inlineStr">
        <is>
          <t>无直接文献</t>
        </is>
      </c>
      <c r="P193" s="23" t="n"/>
      <c r="Q193" s="23" t="n"/>
      <c r="R193" s="23" t="n"/>
      <c r="S193" s="23" t="n"/>
      <c r="T193" s="23" t="n"/>
      <c r="U193" s="23" t="n"/>
      <c r="V193" s="23" t="n"/>
      <c r="W193" s="23" t="n"/>
      <c r="X193" s="35">
        <f>IF(OR(R193="",R193-AP193&lt;=0),"",AB193/(R193-AP193))</f>
        <v/>
      </c>
      <c r="Y193" s="35">
        <f>IF(OR(AR193="",AR193=0),"",R193/AR193)</f>
        <v/>
      </c>
      <c r="Z193" s="24" t="inlineStr">
        <is>
          <t>待执行</t>
        </is>
      </c>
      <c r="AA193" s="23" t="n"/>
      <c r="AB193" s="38" t="n"/>
      <c r="AC193" s="38" t="n"/>
      <c r="AD193" s="38" t="n"/>
      <c r="AE193" s="38" t="n"/>
      <c r="AF193" s="38" t="n"/>
      <c r="AG193" s="38" t="n"/>
      <c r="AH193" s="38" t="n"/>
      <c r="AI193" s="38" t="n"/>
      <c r="AJ193" s="38" t="n"/>
      <c r="AK193" s="39" t="n"/>
      <c r="AL193" s="40">
        <f>IF(OR(R193="",R193-AP193&lt;=0),"",AO193/(R193-AP193))</f>
        <v/>
      </c>
      <c r="AM193" s="41">
        <f>IF(R193="","",SUM(AC193:AF193)-(R193-AP193))</f>
        <v/>
      </c>
      <c r="AN193" s="41">
        <f>IF(R193="","",SUM(S193:W193)+AP193-R193)</f>
        <v/>
      </c>
      <c r="AO193" s="44" t="n"/>
      <c r="AP193" s="45" t="n"/>
      <c r="AQ193" s="47" t="inlineStr">
        <is>
          <t>O03-a 软件可见success→failure；O03-b failure→success</t>
        </is>
      </c>
      <c r="AR193" s="23" t="n"/>
      <c r="AS193" s="35">
        <f>IF(OR(Q193="",Q193=0),"",AR193/Q193)</f>
        <v/>
      </c>
      <c r="AT193" s="62" t="n">
        <v>30</v>
      </c>
      <c r="AU193" s="62" t="n">
        <v>385</v>
      </c>
      <c r="AV193" s="62" t="inlineStr">
        <is>
          <t>常规</t>
        </is>
      </c>
      <c r="AW193" s="62" t="inlineStr">
        <is>
          <t>累计至少385，不机械扩展到2401</t>
        </is>
      </c>
    </row>
    <row r="194" ht="94.15000000000001" customHeight="1" s="58">
      <c r="A194" s="21" t="inlineStr">
        <is>
          <t>O04-F0-W7</t>
        </is>
      </c>
      <c r="B194" s="21" t="inlineStr">
        <is>
          <t>O04</t>
        </is>
      </c>
      <c r="C194" s="21" t="inlineStr">
        <is>
          <t>原子与同步</t>
        </is>
      </c>
      <c r="D194" s="22" t="inlineStr">
        <is>
          <t>LSE 原子读改写的数据选择与返回 MUX。它在 CAS/SWP/LDADD 中选择比较值、替换值、旧内存值和新内存值，并把正确 old value 返回寄存器；交换这些输入不会产生非法编码但会改变原子语义。</t>
        </is>
      </c>
      <c r="E194" s="22" t="inlineStr">
        <is>
          <t>错位拼接</t>
        </is>
      </c>
      <c r="F194"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4" s="22" t="inlineStr">
        <is>
          <t>F0</t>
        </is>
      </c>
      <c r="H194" s="22" t="inlineStr">
        <is>
          <t>每次运行只注入 1 次；在 warm-up 后的 eligible event 中均匀抽样</t>
        </is>
      </c>
      <c r="I194" s="22" t="inlineStr">
        <is>
          <t>Atomic-Litmus 并发探针（MP、SB、LB、IRIW、Dekker、ticket lock、CAS counter、LDXR/STXR）</t>
        </is>
      </c>
      <c r="J194" s="22" t="inlineStr">
        <is>
          <t>Atomic-Litmus 并发探针（MP、SB、LB、IRIW、Dekker、ticket lock、CAS counter、LDXR/STXR）
执行定义与 oracle：MP、SB、LB、IRIW、Dekker、ticket lock、CAS counter、LDXR/STXR 竞争；每轮检查禁出现结果</t>
        </is>
      </c>
      <c r="K194" s="22" t="inlineStr">
        <is>
          <t>CAS/SWP/LDADD</t>
        </is>
      </c>
      <c r="L194" s="22" t="inlineStr">
        <is>
          <t>L0 原子/屏障事件激活；L1 exclusive monitor、RMW旧值/新值、done/成功码；L2顺序队列与一致性事务；L3跨核可见顺序；L4禁出现结果/提交序；L5结局；请求操作数、内存old/new、返回寄存器、线性化点</t>
        </is>
      </c>
      <c r="M194" s="22" t="inlineStr">
        <is>
          <t>位模式合法且可能不崩溃，预期高SDC；竞争下放大</t>
        </is>
      </c>
      <c r="N194" s="22" t="inlineStr">
        <is>
          <t>针对读改写的数据选择链</t>
        </is>
      </c>
      <c r="O194" s="22" t="inlineStr">
        <is>
          <t>无直接文献</t>
        </is>
      </c>
      <c r="P194" s="23" t="n"/>
      <c r="Q194" s="23" t="n"/>
      <c r="R194" s="23" t="n"/>
      <c r="S194" s="23" t="n"/>
      <c r="T194" s="23" t="n"/>
      <c r="U194" s="23" t="n"/>
      <c r="V194" s="23" t="n"/>
      <c r="W194" s="23" t="n"/>
      <c r="X194" s="35">
        <f>IF(OR(R194="",R194-AP194&lt;=0),"",AB194/(R194-AP194))</f>
        <v/>
      </c>
      <c r="Y194" s="35">
        <f>IF(OR(AR194="",AR194=0),"",R194/AR194)</f>
        <v/>
      </c>
      <c r="Z194" s="24" t="inlineStr">
        <is>
          <t>待执行</t>
        </is>
      </c>
      <c r="AA194" s="23" t="n"/>
      <c r="AB194" s="38" t="n"/>
      <c r="AC194" s="38" t="n"/>
      <c r="AD194" s="38" t="n"/>
      <c r="AE194" s="38" t="n"/>
      <c r="AF194" s="38" t="n"/>
      <c r="AG194" s="38" t="n"/>
      <c r="AH194" s="38" t="n"/>
      <c r="AI194" s="38" t="n"/>
      <c r="AJ194" s="38" t="n"/>
      <c r="AK194" s="39" t="n"/>
      <c r="AL194" s="40">
        <f>IF(OR(R194="",R194-AP194&lt;=0),"",AO194/(R194-AP194))</f>
        <v/>
      </c>
      <c r="AM194" s="41">
        <f>IF(R194="","",SUM(AC194:AF194)-(R194-AP194))</f>
        <v/>
      </c>
      <c r="AN194" s="41">
        <f>IF(R194="","",SUM(S194:W194)+AP194-R194)</f>
        <v/>
      </c>
      <c r="AO194" s="44" t="n"/>
      <c r="AP194" s="45" t="n"/>
      <c r="AQ194" s="47" t="inlineStr">
        <is>
          <t>O04-a old value替换；O04-b new value替换；O04-c CAS compare替换；O04-d 使用上一版本old value</t>
        </is>
      </c>
      <c r="AR194" s="23" t="n"/>
      <c r="AS194" s="35">
        <f>IF(OR(Q194="",Q194=0),"",AR194/Q194)</f>
        <v/>
      </c>
      <c r="AT194" s="62" t="n">
        <v>30</v>
      </c>
      <c r="AU194" s="62" t="n">
        <v>385</v>
      </c>
      <c r="AV194" s="62" t="inlineStr">
        <is>
          <t>常规</t>
        </is>
      </c>
      <c r="AW194" s="62" t="inlineStr">
        <is>
          <t>累计至少385，不机械扩展到2401</t>
        </is>
      </c>
    </row>
    <row r="195" ht="94.15000000000001" customHeight="1" s="58">
      <c r="A195" s="21" t="inlineStr">
        <is>
          <t>O04-F2-W7</t>
        </is>
      </c>
      <c r="B195" s="21" t="inlineStr">
        <is>
          <t>O04</t>
        </is>
      </c>
      <c r="C195" s="21" t="inlineStr">
        <is>
          <t>原子与同步</t>
        </is>
      </c>
      <c r="D195" s="22" t="inlineStr">
        <is>
          <t>LSE 原子读改写的数据选择与返回 MUX。它在 CAS/SWP/LDADD 中选择比较值、替换值、旧内存值和新内存值，并把正确 old value 返回寄存器；交换这些输入不会产生非法编码但会改变原子语义。</t>
        </is>
      </c>
      <c r="E195" s="22" t="inlineStr">
        <is>
          <t>错位拼接</t>
        </is>
      </c>
      <c r="F195"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5" s="22" t="inlineStr">
        <is>
          <t>F2</t>
        </is>
      </c>
      <c r="H195" s="22" t="inlineStr">
        <is>
          <t>平均每 100,000 个 eligible events 注入 1 次，间隔加入 ±50% 抖动</t>
        </is>
      </c>
      <c r="I195" s="22" t="inlineStr">
        <is>
          <t>Atomic-Litmus 并发探针（MP、SB、LB、IRIW、Dekker、ticket lock、CAS counter、LDXR/STXR）</t>
        </is>
      </c>
      <c r="J195" s="22" t="inlineStr">
        <is>
          <t>Atomic-Litmus 并发探针（MP、SB、LB、IRIW、Dekker、ticket lock、CAS counter、LDXR/STXR）
执行定义与 oracle：MP、SB、LB、IRIW、Dekker、ticket lock、CAS counter、LDXR/STXR 竞争；每轮检查禁出现结果</t>
        </is>
      </c>
      <c r="K195" s="22" t="inlineStr">
        <is>
          <t>CAS/SWP/LDADD</t>
        </is>
      </c>
      <c r="L195" s="22" t="inlineStr">
        <is>
          <t>L0 原子/屏障事件激活；L1 exclusive monitor、RMW旧值/新值、done/成功码；L2顺序队列与一致性事务；L3跨核可见顺序；L4禁出现结果/提交序；L5结局；请求操作数、内存old/new、返回寄存器、线性化点</t>
        </is>
      </c>
      <c r="M195" s="22" t="inlineStr">
        <is>
          <t>位模式合法且可能不崩溃，预期高SDC；竞争下放大</t>
        </is>
      </c>
      <c r="N195" s="22" t="inlineStr">
        <is>
          <t>针对读改写的数据选择链</t>
        </is>
      </c>
      <c r="O195" s="22" t="inlineStr">
        <is>
          <t>无直接文献</t>
        </is>
      </c>
      <c r="P195" s="23" t="n"/>
      <c r="Q195" s="23" t="n"/>
      <c r="R195" s="23" t="n"/>
      <c r="S195" s="23" t="n"/>
      <c r="T195" s="23" t="n"/>
      <c r="U195" s="23" t="n"/>
      <c r="V195" s="23" t="n"/>
      <c r="W195" s="23" t="n"/>
      <c r="X195" s="35">
        <f>IF(OR(R195="",R195-AP195&lt;=0),"",AB195/(R195-AP195))</f>
        <v/>
      </c>
      <c r="Y195" s="35">
        <f>IF(OR(AR195="",AR195=0),"",R195/AR195)</f>
        <v/>
      </c>
      <c r="Z195" s="24" t="inlineStr">
        <is>
          <t>待执行</t>
        </is>
      </c>
      <c r="AA195" s="23" t="n"/>
      <c r="AB195" s="38" t="n"/>
      <c r="AC195" s="38" t="n"/>
      <c r="AD195" s="38" t="n"/>
      <c r="AE195" s="38" t="n"/>
      <c r="AF195" s="38" t="n"/>
      <c r="AG195" s="38" t="n"/>
      <c r="AH195" s="38" t="n"/>
      <c r="AI195" s="38" t="n"/>
      <c r="AJ195" s="38" t="n"/>
      <c r="AK195" s="39" t="n"/>
      <c r="AL195" s="40">
        <f>IF(OR(R195="",R195-AP195&lt;=0),"",AO195/(R195-AP195))</f>
        <v/>
      </c>
      <c r="AM195" s="41">
        <f>IF(R195="","",SUM(AC195:AF195)-(R195-AP195))</f>
        <v/>
      </c>
      <c r="AN195" s="41">
        <f>IF(R195="","",SUM(S195:W195)+AP195-R195)</f>
        <v/>
      </c>
      <c r="AO195" s="44" t="n"/>
      <c r="AP195" s="45" t="n"/>
      <c r="AQ195" s="47" t="inlineStr">
        <is>
          <t>O04-a old value替换；O04-b new value替换；O04-c CAS compare替换；O04-d 使用上一版本old value</t>
        </is>
      </c>
      <c r="AR195" s="23" t="n"/>
      <c r="AS195" s="35">
        <f>IF(OR(Q195="",Q195=0),"",AR195/Q195)</f>
        <v/>
      </c>
      <c r="AT195" s="62" t="n">
        <v>30</v>
      </c>
      <c r="AU195" s="62" t="n">
        <v>385</v>
      </c>
      <c r="AV195" s="62" t="inlineStr">
        <is>
          <t>常规</t>
        </is>
      </c>
      <c r="AW195" s="62" t="inlineStr">
        <is>
          <t>累计至少385，不机械扩展到2401</t>
        </is>
      </c>
    </row>
    <row r="196" ht="94.15000000000001" customHeight="1" s="58">
      <c r="A196" s="21" t="inlineStr">
        <is>
          <t>O04-F6-W7</t>
        </is>
      </c>
      <c r="B196" s="21" t="inlineStr">
        <is>
          <t>O04</t>
        </is>
      </c>
      <c r="C196" s="21" t="inlineStr">
        <is>
          <t>原子与同步</t>
        </is>
      </c>
      <c r="D196" s="22" t="inlineStr">
        <is>
          <t>LSE 原子读改写的数据选择与返回 MUX。它在 CAS/SWP/LDADD 中选择比较值、替换值、旧内存值和新内存值，并把正确 old value 返回寄存器；交换这些输入不会产生非法编码但会改变原子语义。</t>
        </is>
      </c>
      <c r="E196" s="22" t="inlineStr">
        <is>
          <t>错位拼接</t>
        </is>
      </c>
      <c r="F196"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6" s="22" t="inlineStr">
        <is>
          <t>F6</t>
        </is>
      </c>
      <c r="H196" s="22" t="inlineStr">
        <is>
          <t>首次出现指定事件时注入一次，如 TLB hit、SQ forward、dirty eviction、CAS 成功</t>
        </is>
      </c>
      <c r="I196" s="22" t="inlineStr">
        <is>
          <t>Atomic-Litmus 并发探针（MP、SB、LB、IRIW、Dekker、ticket lock、CAS counter、LDXR/STXR）</t>
        </is>
      </c>
      <c r="J196" s="22" t="inlineStr">
        <is>
          <t>Atomic-Litmus 并发探针（MP、SB、LB、IRIW、Dekker、ticket lock、CAS counter、LDXR/STXR）
执行定义与 oracle：MP、SB、LB、IRIW、Dekker、ticket lock、CAS counter、LDXR/STXR 竞争；每轮检查禁出现结果</t>
        </is>
      </c>
      <c r="K196" s="22" t="inlineStr">
        <is>
          <t>CAS/SWP/LDADD</t>
        </is>
      </c>
      <c r="L196" s="22" t="inlineStr">
        <is>
          <t>L0 原子/屏障事件激活；L1 exclusive monitor、RMW旧值/新值、done/成功码；L2顺序队列与一致性事务；L3跨核可见顺序；L4禁出现结果/提交序；L5结局；请求操作数、内存old/new、返回寄存器、线性化点</t>
        </is>
      </c>
      <c r="M196" s="22" t="inlineStr">
        <is>
          <t>位模式合法且可能不崩溃，预期高SDC；竞争下放大</t>
        </is>
      </c>
      <c r="N196" s="22" t="inlineStr">
        <is>
          <t>针对读改写的数据选择链</t>
        </is>
      </c>
      <c r="O196" s="22" t="inlineStr">
        <is>
          <t>无直接文献</t>
        </is>
      </c>
      <c r="P196" s="23" t="n"/>
      <c r="Q196" s="23" t="n"/>
      <c r="R196" s="23" t="n"/>
      <c r="S196" s="23" t="n"/>
      <c r="T196" s="23" t="n"/>
      <c r="U196" s="23" t="n"/>
      <c r="V196" s="23" t="n"/>
      <c r="W196" s="23" t="n"/>
      <c r="X196" s="35">
        <f>IF(OR(R196="",R196-AP196&lt;=0),"",AB196/(R196-AP196))</f>
        <v/>
      </c>
      <c r="Y196" s="35">
        <f>IF(OR(AR196="",AR196=0),"",R196/AR196)</f>
        <v/>
      </c>
      <c r="Z196" s="24" t="inlineStr">
        <is>
          <t>待执行</t>
        </is>
      </c>
      <c r="AA196" s="23" t="n"/>
      <c r="AB196" s="38" t="n"/>
      <c r="AC196" s="38" t="n"/>
      <c r="AD196" s="38" t="n"/>
      <c r="AE196" s="38" t="n"/>
      <c r="AF196" s="38" t="n"/>
      <c r="AG196" s="38" t="n"/>
      <c r="AH196" s="38" t="n"/>
      <c r="AI196" s="38" t="n"/>
      <c r="AJ196" s="38" t="n"/>
      <c r="AK196" s="39" t="n"/>
      <c r="AL196" s="40">
        <f>IF(OR(R196="",R196-AP196&lt;=0),"",AO196/(R196-AP196))</f>
        <v/>
      </c>
      <c r="AM196" s="41">
        <f>IF(R196="","",SUM(AC196:AF196)-(R196-AP196))</f>
        <v/>
      </c>
      <c r="AN196" s="41">
        <f>IF(R196="","",SUM(S196:W196)+AP196-R196)</f>
        <v/>
      </c>
      <c r="AO196" s="44" t="n"/>
      <c r="AP196" s="45" t="n"/>
      <c r="AQ196" s="47" t="inlineStr">
        <is>
          <t>O04-a old value替换；O04-b new value替换；O04-c CAS compare替换；O04-d 使用上一版本old value</t>
        </is>
      </c>
      <c r="AR196" s="23" t="n"/>
      <c r="AS196" s="35">
        <f>IF(OR(Q196="",Q196=0),"",AR196/Q196)</f>
        <v/>
      </c>
      <c r="AT196" s="62" t="n">
        <v>30</v>
      </c>
      <c r="AU196" s="62" t="n">
        <v>385</v>
      </c>
      <c r="AV196" s="62" t="inlineStr">
        <is>
          <t>常规</t>
        </is>
      </c>
      <c r="AW196" s="62" t="inlineStr">
        <is>
          <t>累计至少385，不机械扩展到2401</t>
        </is>
      </c>
    </row>
    <row r="197" ht="94.15000000000001" customHeight="1" s="58">
      <c r="A197" s="21" t="inlineStr">
        <is>
          <t>O05-F0-W7</t>
        </is>
      </c>
      <c r="B197" s="21" t="inlineStr">
        <is>
          <t>O05</t>
        </is>
      </c>
      <c r="C197" s="21" t="inlineStr">
        <is>
          <t>原子与同步</t>
        </is>
      </c>
      <c r="D197" s="22" t="inlineStr">
        <is>
          <t>原子 RMW 事务从 LSU 发出到一致性系统完成的 request/done 通路及线性化事件。一次 RMW 必须恰好执行一次，并在全局顺序中的一个明确点生效。</t>
        </is>
      </c>
      <c r="E197" s="22" t="inlineStr">
        <is>
          <t>时序</t>
        </is>
      </c>
      <c r="F197"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7" s="22" t="inlineStr">
        <is>
          <t>F0</t>
        </is>
      </c>
      <c r="H197" s="22" t="inlineStr">
        <is>
          <t>每次运行只注入 1 次；在 warm-up 后的 eligible event 中均匀抽样</t>
        </is>
      </c>
      <c r="I197" s="22" t="inlineStr">
        <is>
          <t>Atomic-Litmus 并发探针（MP、SB、LB、IRIW、Dekker、ticket lock、CAS counter、LDXR/STXR）</t>
        </is>
      </c>
      <c r="J197" s="22" t="inlineStr">
        <is>
          <t>Atomic-Litmus 并发探针（MP、SB、LB、IRIW、Dekker、ticket lock、CAS counter、LDXR/STXR）
执行定义与 oracle：MP、SB、LB、IRIW、Dekker、ticket lock、CAS counter、LDXR/STXR 竞争；每轮检查禁出现结果</t>
        </is>
      </c>
      <c r="K197" s="22" t="inlineStr">
        <is>
          <t>原子事务</t>
        </is>
      </c>
      <c r="L197" s="22" t="inlineStr">
        <is>
          <t>L0 原子/屏障事件激活；L1 exclusive monitor、RMW旧值/新值、done/成功码；L2顺序队列与一致性事务；L3跨核可见顺序；L4禁出现结果/提交序；L5结局；transaction ID、coherence序、线性化历史、重复检测</t>
        </is>
      </c>
      <c r="M197" s="22" t="inlineStr">
        <is>
          <t>重复/丢失直接改变计数；提前done可能违反顺序并只在并发下显现</t>
        </is>
      </c>
      <c r="N197" s="22" t="inlineStr">
        <is>
          <t>单线程负载无法覆盖的并发结构化故障</t>
        </is>
      </c>
      <c r="O197" s="22" t="inlineStr">
        <is>
          <t>MICRO'24时延方法论类比</t>
        </is>
      </c>
      <c r="P197" s="23" t="n"/>
      <c r="Q197" s="23" t="n"/>
      <c r="R197" s="23" t="n"/>
      <c r="S197" s="23" t="n"/>
      <c r="T197" s="23" t="n"/>
      <c r="U197" s="23" t="n"/>
      <c r="V197" s="23" t="n"/>
      <c r="W197" s="23" t="n"/>
      <c r="X197" s="35">
        <f>IF(OR(R197="",R197-AP197&lt;=0),"",AB197/(R197-AP197))</f>
        <v/>
      </c>
      <c r="Y197" s="35">
        <f>IF(OR(AR197="",AR197=0),"",R197/AR197)</f>
        <v/>
      </c>
      <c r="Z197" s="24" t="inlineStr">
        <is>
          <t>待执行</t>
        </is>
      </c>
      <c r="AA197" s="23" t="n"/>
      <c r="AB197" s="38" t="n"/>
      <c r="AC197" s="38" t="n"/>
      <c r="AD197" s="38" t="n"/>
      <c r="AE197" s="38" t="n"/>
      <c r="AF197" s="38" t="n"/>
      <c r="AG197" s="38" t="n"/>
      <c r="AH197" s="38" t="n"/>
      <c r="AI197" s="38" t="n"/>
      <c r="AJ197" s="38" t="n"/>
      <c r="AK197" s="39" t="n"/>
      <c r="AL197" s="40">
        <f>IF(OR(R197="",R197-AP197&lt;=0),"",AO197/(R197-AP197))</f>
        <v/>
      </c>
      <c r="AM197" s="41">
        <f>IF(R197="","",SUM(AC197:AF197)-(R197-AP197))</f>
        <v/>
      </c>
      <c r="AN197" s="41">
        <f>IF(R197="","",SUM(S197:W197)+AP197-R197)</f>
        <v/>
      </c>
      <c r="AO197" s="44" t="n"/>
      <c r="AP197" s="45" t="n"/>
      <c r="AQ197" s="47" t="inlineStr">
        <is>
          <t>O05-a RMW请求丢失；O05-b RMW请求重复；O05-c done过早</t>
        </is>
      </c>
      <c r="AR197" s="23" t="n"/>
      <c r="AS197" s="35">
        <f>IF(OR(Q197="",Q197=0),"",AR197/Q197)</f>
        <v/>
      </c>
      <c r="AT197" s="62" t="n">
        <v>30</v>
      </c>
      <c r="AU197" s="62" t="n">
        <v>2401</v>
      </c>
      <c r="AV197" s="62" t="inlineStr">
        <is>
          <t>重点（预登记21项）</t>
        </is>
      </c>
      <c r="AW197" s="62" t="inlineStr">
        <is>
          <t>累计到2401（含前385）</t>
        </is>
      </c>
    </row>
    <row r="198" ht="94.15000000000001" customHeight="1" s="58">
      <c r="A198" s="21" t="inlineStr">
        <is>
          <t>O05-F4-W7</t>
        </is>
      </c>
      <c r="B198" s="21" t="inlineStr">
        <is>
          <t>O05</t>
        </is>
      </c>
      <c r="C198" s="21" t="inlineStr">
        <is>
          <t>原子与同步</t>
        </is>
      </c>
      <c r="D198" s="22" t="inlineStr">
        <is>
          <t>原子 RMW 事务从 LSU 发出到一致性系统完成的 request/done 通路及线性化事件。一次 RMW 必须恰好执行一次，并在全局顺序中的一个明确点生效。</t>
        </is>
      </c>
      <c r="E198" s="22" t="inlineStr">
        <is>
          <t>时序</t>
        </is>
      </c>
      <c r="F198"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8" s="22" t="inlineStr">
        <is>
          <t>F4</t>
        </is>
      </c>
      <c r="H198" s="22" t="inlineStr">
        <is>
          <t>每 100,000 个 eligible events 触发一次，连续污染 2-4 个 eligible events</t>
        </is>
      </c>
      <c r="I198" s="22" t="inlineStr">
        <is>
          <t>Atomic-Litmus 并发探针（MP、SB、LB、IRIW、Dekker、ticket lock、CAS counter、LDXR/STXR）</t>
        </is>
      </c>
      <c r="J198" s="22" t="inlineStr">
        <is>
          <t>Atomic-Litmus 并发探针（MP、SB、LB、IRIW、Dekker、ticket lock、CAS counter、LDXR/STXR）
执行定义与 oracle：MP、SB、LB、IRIW、Dekker、ticket lock、CAS counter、LDXR/STXR 竞争；每轮检查禁出现结果</t>
        </is>
      </c>
      <c r="K198" s="22" t="inlineStr">
        <is>
          <t>原子事务</t>
        </is>
      </c>
      <c r="L198" s="22" t="inlineStr">
        <is>
          <t>L0 原子/屏障事件激活；L1 exclusive monitor、RMW旧值/新值、done/成功码；L2顺序队列与一致性事务；L3跨核可见顺序；L4禁出现结果/提交序；L5结局；transaction ID、coherence序、线性化历史、重复检测</t>
        </is>
      </c>
      <c r="M198" s="22" t="inlineStr">
        <is>
          <t>重复/丢失直接改变计数；提前done可能违反顺序并只在并发下显现</t>
        </is>
      </c>
      <c r="N198" s="22" t="inlineStr">
        <is>
          <t>单线程负载无法覆盖的并发结构化故障</t>
        </is>
      </c>
      <c r="O198" s="22" t="inlineStr">
        <is>
          <t>MICRO'24时延方法论类比</t>
        </is>
      </c>
      <c r="P198" s="23" t="n"/>
      <c r="Q198" s="23" t="n"/>
      <c r="R198" s="23" t="n"/>
      <c r="S198" s="23" t="n"/>
      <c r="T198" s="23" t="n"/>
      <c r="U198" s="23" t="n"/>
      <c r="V198" s="23" t="n"/>
      <c r="W198" s="23" t="n"/>
      <c r="X198" s="35">
        <f>IF(OR(R198="",R198-AP198&lt;=0),"",AB198/(R198-AP198))</f>
        <v/>
      </c>
      <c r="Y198" s="35">
        <f>IF(OR(AR198="",AR198=0),"",R198/AR198)</f>
        <v/>
      </c>
      <c r="Z198" s="24" t="inlineStr">
        <is>
          <t>待执行</t>
        </is>
      </c>
      <c r="AA198" s="23" t="n"/>
      <c r="AB198" s="38" t="n"/>
      <c r="AC198" s="38" t="n"/>
      <c r="AD198" s="38" t="n"/>
      <c r="AE198" s="38" t="n"/>
      <c r="AF198" s="38" t="n"/>
      <c r="AG198" s="38" t="n"/>
      <c r="AH198" s="38" t="n"/>
      <c r="AI198" s="38" t="n"/>
      <c r="AJ198" s="38" t="n"/>
      <c r="AK198" s="39" t="n"/>
      <c r="AL198" s="40">
        <f>IF(OR(R198="",R198-AP198&lt;=0),"",AO198/(R198-AP198))</f>
        <v/>
      </c>
      <c r="AM198" s="41">
        <f>IF(R198="","",SUM(AC198:AF198)-(R198-AP198))</f>
        <v/>
      </c>
      <c r="AN198" s="41">
        <f>IF(R198="","",SUM(S198:W198)+AP198-R198)</f>
        <v/>
      </c>
      <c r="AO198" s="44" t="n"/>
      <c r="AP198" s="45" t="n"/>
      <c r="AQ198" s="47" t="inlineStr">
        <is>
          <t>O05-a RMW请求丢失；O05-b RMW请求重复；O05-c done过早</t>
        </is>
      </c>
      <c r="AR198" s="23" t="n"/>
      <c r="AS198" s="35">
        <f>IF(OR(Q198="",Q198=0),"",AR198/Q198)</f>
        <v/>
      </c>
      <c r="AT198" s="62" t="n">
        <v>30</v>
      </c>
      <c r="AU198" s="62" t="n">
        <v>385</v>
      </c>
      <c r="AV198" s="62" t="inlineStr">
        <is>
          <t>常规</t>
        </is>
      </c>
      <c r="AW198" s="62" t="inlineStr">
        <is>
          <t>累计至少385，不机械扩展到2401</t>
        </is>
      </c>
    </row>
    <row r="199" ht="94.15000000000001" customHeight="1" s="58">
      <c r="A199" s="21" t="inlineStr">
        <is>
          <t>O05-F6-W7</t>
        </is>
      </c>
      <c r="B199" s="21" t="inlineStr">
        <is>
          <t>O05</t>
        </is>
      </c>
      <c r="C199" s="21" t="inlineStr">
        <is>
          <t>原子与同步</t>
        </is>
      </c>
      <c r="D199" s="22" t="inlineStr">
        <is>
          <t>原子 RMW 事务从 LSU 发出到一致性系统完成的 request/done 通路及线性化事件。一次 RMW 必须恰好执行一次，并在全局顺序中的一个明确点生效。</t>
        </is>
      </c>
      <c r="E199" s="22" t="inlineStr">
        <is>
          <t>时序</t>
        </is>
      </c>
      <c r="F199"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9" s="22" t="inlineStr">
        <is>
          <t>F6</t>
        </is>
      </c>
      <c r="H199" s="22" t="inlineStr">
        <is>
          <t>首次出现指定事件时注入一次，如 TLB hit、SQ forward、dirty eviction、CAS 成功</t>
        </is>
      </c>
      <c r="I199" s="22" t="inlineStr">
        <is>
          <t>Atomic-Litmus 并发探针（MP、SB、LB、IRIW、Dekker、ticket lock、CAS counter、LDXR/STXR）</t>
        </is>
      </c>
      <c r="J199" s="22" t="inlineStr">
        <is>
          <t>Atomic-Litmus 并发探针（MP、SB、LB、IRIW、Dekker、ticket lock、CAS counter、LDXR/STXR）
执行定义与 oracle：MP、SB、LB、IRIW、Dekker、ticket lock、CAS counter、LDXR/STXR 竞争；每轮检查禁出现结果</t>
        </is>
      </c>
      <c r="K199" s="22" t="inlineStr">
        <is>
          <t>原子事务</t>
        </is>
      </c>
      <c r="L199" s="22" t="inlineStr">
        <is>
          <t>L0 原子/屏障事件激活；L1 exclusive monitor、RMW旧值/新值、done/成功码；L2顺序队列与一致性事务；L3跨核可见顺序；L4禁出现结果/提交序；L5结局；transaction ID、coherence序、线性化历史、重复检测</t>
        </is>
      </c>
      <c r="M199" s="22" t="inlineStr">
        <is>
          <t>重复/丢失直接改变计数；提前done可能违反顺序并只在并发下显现</t>
        </is>
      </c>
      <c r="N199" s="22" t="inlineStr">
        <is>
          <t>单线程负载无法覆盖的并发结构化故障</t>
        </is>
      </c>
      <c r="O199" s="22" t="inlineStr">
        <is>
          <t>MICRO'24时延方法论类比</t>
        </is>
      </c>
      <c r="P199" s="23" t="n"/>
      <c r="Q199" s="23" t="n"/>
      <c r="R199" s="23" t="n"/>
      <c r="S199" s="23" t="n"/>
      <c r="T199" s="23" t="n"/>
      <c r="U199" s="23" t="n"/>
      <c r="V199" s="23" t="n"/>
      <c r="W199" s="23" t="n"/>
      <c r="X199" s="35">
        <f>IF(OR(R199="",R199-AP199&lt;=0),"",AB199/(R199-AP199))</f>
        <v/>
      </c>
      <c r="Y199" s="35">
        <f>IF(OR(AR199="",AR199=0),"",R199/AR199)</f>
        <v/>
      </c>
      <c r="Z199" s="24" t="inlineStr">
        <is>
          <t>待执行</t>
        </is>
      </c>
      <c r="AA199" s="23" t="n"/>
      <c r="AB199" s="38" t="n"/>
      <c r="AC199" s="38" t="n"/>
      <c r="AD199" s="38" t="n"/>
      <c r="AE199" s="38" t="n"/>
      <c r="AF199" s="38" t="n"/>
      <c r="AG199" s="38" t="n"/>
      <c r="AH199" s="38" t="n"/>
      <c r="AI199" s="38" t="n"/>
      <c r="AJ199" s="38" t="n"/>
      <c r="AK199" s="39" t="n"/>
      <c r="AL199" s="40">
        <f>IF(OR(R199="",R199-AP199&lt;=0),"",AO199/(R199-AP199))</f>
        <v/>
      </c>
      <c r="AM199" s="41">
        <f>IF(R199="","",SUM(AC199:AF199)-(R199-AP199))</f>
        <v/>
      </c>
      <c r="AN199" s="41">
        <f>IF(R199="","",SUM(S199:W199)+AP199-R199)</f>
        <v/>
      </c>
      <c r="AO199" s="44" t="n"/>
      <c r="AP199" s="45" t="n"/>
      <c r="AQ199" s="47" t="inlineStr">
        <is>
          <t>O05-a RMW请求丢失；O05-b RMW请求重复；O05-c done过早</t>
        </is>
      </c>
      <c r="AR199" s="23" t="n"/>
      <c r="AS199" s="35">
        <f>IF(OR(Q199="",Q199=0),"",AR199/Q199)</f>
        <v/>
      </c>
      <c r="AT199" s="62" t="n">
        <v>30</v>
      </c>
      <c r="AU199" s="62" t="n">
        <v>385</v>
      </c>
      <c r="AV199" s="62" t="inlineStr">
        <is>
          <t>常规</t>
        </is>
      </c>
      <c r="AW199" s="62" t="inlineStr">
        <is>
          <t>累计至少385，不机械扩展到2401</t>
        </is>
      </c>
    </row>
    <row r="200" ht="94.15000000000001" customHeight="1" s="58">
      <c r="A200" s="21" t="inlineStr">
        <is>
          <t>O06-F0-W7</t>
        </is>
      </c>
      <c r="B200" s="21" t="inlineStr">
        <is>
          <t>O06</t>
        </is>
      </c>
      <c r="C200" s="21" t="inlineStr">
        <is>
          <t>原子与同步</t>
        </is>
      </c>
      <c r="D200" s="22" t="inlineStr">
        <is>
          <t>DMB/DSB 屏障的完成状态与前后内存事务排空条件。DMB 约束可见顺序，DSB 还要求相关操作完成；提前 done 会让后续访问越过屏障，延后/丢失 done 则会停顿。</t>
        </is>
      </c>
      <c r="E200" s="22" t="inlineStr">
        <is>
          <t>时序</t>
        </is>
      </c>
      <c r="F200"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0" s="22" t="inlineStr">
        <is>
          <t>F0</t>
        </is>
      </c>
      <c r="H200" s="22" t="inlineStr">
        <is>
          <t>每次运行只注入 1 次；在 warm-up 后的 eligible event 中均匀抽样</t>
        </is>
      </c>
      <c r="I200" s="22" t="inlineStr">
        <is>
          <t>Atomic-Litmus 并发探针（MP、SB、LB、IRIW、Dekker、ticket lock、CAS counter、LDXR/STXR）</t>
        </is>
      </c>
      <c r="J200" s="22" t="inlineStr">
        <is>
          <t>Atomic-Litmus 并发探针（MP、SB、LB、IRIW、Dekker、ticket lock、CAS counter、LDXR/STXR）
执行定义与 oracle：MP、SB、LB、IRIW、Dekker、ticket lock、CAS counter、LDXR/STXR 竞争；每轮检查禁出现结果</t>
        </is>
      </c>
      <c r="K200" s="22" t="inlineStr">
        <is>
          <t>barrier有前后内存事务</t>
        </is>
      </c>
      <c r="L200" s="22" t="inlineStr">
        <is>
          <t>L0 原子/屏障事件激活；L1 exclusive monitor、RMW旧值/新值、done/成功码；L2顺序队列与一致性事务；L3跨核可见顺序；L4禁出现结果/提交序；L5结局；屏障前后请求、全局可见序、禁出现结果</t>
        </is>
      </c>
      <c r="M200" s="22" t="inlineStr">
        <is>
          <t>提前done可能出现Arm内存模型禁出现结果；延后多为性能/Timeout</t>
        </is>
      </c>
      <c r="N200" s="22" t="inlineStr">
        <is>
          <t>屏障正确性必须用litmus结果而非单线程输出判断</t>
        </is>
      </c>
      <c r="O200" s="22" t="inlineStr">
        <is>
          <t>无直接文献</t>
        </is>
      </c>
      <c r="P200" s="23" t="n"/>
      <c r="Q200" s="23" t="n"/>
      <c r="R200" s="23" t="n"/>
      <c r="S200" s="23" t="n"/>
      <c r="T200" s="23" t="n"/>
      <c r="U200" s="23" t="n"/>
      <c r="V200" s="23" t="n"/>
      <c r="W200" s="23" t="n"/>
      <c r="X200" s="35">
        <f>IF(OR(R200="",R200-AP200&lt;=0),"",AB200/(R200-AP200))</f>
        <v/>
      </c>
      <c r="Y200" s="35">
        <f>IF(OR(AR200="",AR200=0),"",R200/AR200)</f>
        <v/>
      </c>
      <c r="Z200" s="24" t="inlineStr">
        <is>
          <t>待执行</t>
        </is>
      </c>
      <c r="AA200" s="23" t="n"/>
      <c r="AB200" s="38" t="n"/>
      <c r="AC200" s="38" t="n"/>
      <c r="AD200" s="38" t="n"/>
      <c r="AE200" s="38" t="n"/>
      <c r="AF200" s="38" t="n"/>
      <c r="AG200" s="38" t="n"/>
      <c r="AH200" s="38" t="n"/>
      <c r="AI200" s="38" t="n"/>
      <c r="AJ200" s="38" t="n"/>
      <c r="AK200" s="39" t="n"/>
      <c r="AL200" s="40">
        <f>IF(OR(R200="",R200-AP200&lt;=0),"",AO200/(R200-AP200))</f>
        <v/>
      </c>
      <c r="AM200" s="41">
        <f>IF(R200="","",SUM(AC200:AF200)-(R200-AP200))</f>
        <v/>
      </c>
      <c r="AN200" s="41">
        <f>IF(R200="","",SUM(S200:W200)+AP200-R200)</f>
        <v/>
      </c>
      <c r="AO200" s="44" t="n"/>
      <c r="AP200" s="45" t="n"/>
      <c r="AQ200" s="47" t="inlineStr">
        <is>
          <t>O06-a barrier done过早；O06-b done延迟；O06-c done丢失</t>
        </is>
      </c>
      <c r="AR200" s="23" t="n"/>
      <c r="AS200" s="35">
        <f>IF(OR(Q200="",Q200=0),"",AR200/Q200)</f>
        <v/>
      </c>
      <c r="AT200" s="62" t="n">
        <v>30</v>
      </c>
      <c r="AU200" s="62" t="n">
        <v>385</v>
      </c>
      <c r="AV200" s="62" t="inlineStr">
        <is>
          <t>常规</t>
        </is>
      </c>
      <c r="AW200" s="62" t="inlineStr">
        <is>
          <t>累计至少385，不机械扩展到2401</t>
        </is>
      </c>
    </row>
    <row r="201" ht="94.15000000000001" customHeight="1" s="58">
      <c r="A201" s="21" t="inlineStr">
        <is>
          <t>O06-F4-W7</t>
        </is>
      </c>
      <c r="B201" s="21" t="inlineStr">
        <is>
          <t>O06</t>
        </is>
      </c>
      <c r="C201" s="21" t="inlineStr">
        <is>
          <t>原子与同步</t>
        </is>
      </c>
      <c r="D201" s="22" t="inlineStr">
        <is>
          <t>DMB/DSB 屏障的完成状态与前后内存事务排空条件。DMB 约束可见顺序，DSB 还要求相关操作完成；提前 done 会让后续访问越过屏障，延后/丢失 done 则会停顿。</t>
        </is>
      </c>
      <c r="E201" s="22" t="inlineStr">
        <is>
          <t>时序</t>
        </is>
      </c>
      <c r="F201"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1" s="22" t="inlineStr">
        <is>
          <t>F4</t>
        </is>
      </c>
      <c r="H201" s="22" t="inlineStr">
        <is>
          <t>每 100,000 个 eligible events 触发一次，连续污染 2-4 个 eligible events</t>
        </is>
      </c>
      <c r="I201" s="22" t="inlineStr">
        <is>
          <t>Atomic-Litmus 并发探针（MP、SB、LB、IRIW、Dekker、ticket lock、CAS counter、LDXR/STXR）</t>
        </is>
      </c>
      <c r="J201" s="22" t="inlineStr">
        <is>
          <t>Atomic-Litmus 并发探针（MP、SB、LB、IRIW、Dekker、ticket lock、CAS counter、LDXR/STXR）
执行定义与 oracle：MP、SB、LB、IRIW、Dekker、ticket lock、CAS counter、LDXR/STXR 竞争；每轮检查禁出现结果</t>
        </is>
      </c>
      <c r="K201" s="22" t="inlineStr">
        <is>
          <t>barrier有前后内存事务</t>
        </is>
      </c>
      <c r="L201" s="22" t="inlineStr">
        <is>
          <t>L0 原子/屏障事件激活；L1 exclusive monitor、RMW旧值/新值、done/成功码；L2顺序队列与一致性事务；L3跨核可见顺序；L4禁出现结果/提交序；L5结局；屏障前后请求、全局可见序、禁出现结果</t>
        </is>
      </c>
      <c r="M201" s="22" t="inlineStr">
        <is>
          <t>提前done可能出现Arm内存模型禁出现结果；延后多为性能/Timeout</t>
        </is>
      </c>
      <c r="N201" s="22" t="inlineStr">
        <is>
          <t>屏障正确性必须用litmus结果而非单线程输出判断</t>
        </is>
      </c>
      <c r="O201" s="22" t="inlineStr">
        <is>
          <t>无直接文献</t>
        </is>
      </c>
      <c r="P201" s="23" t="n"/>
      <c r="Q201" s="23" t="n"/>
      <c r="R201" s="23" t="n"/>
      <c r="S201" s="23" t="n"/>
      <c r="T201" s="23" t="n"/>
      <c r="U201" s="23" t="n"/>
      <c r="V201" s="23" t="n"/>
      <c r="W201" s="23" t="n"/>
      <c r="X201" s="35">
        <f>IF(OR(R201="",R201-AP201&lt;=0),"",AB201/(R201-AP201))</f>
        <v/>
      </c>
      <c r="Y201" s="35">
        <f>IF(OR(AR201="",AR201=0),"",R201/AR201)</f>
        <v/>
      </c>
      <c r="Z201" s="24" t="inlineStr">
        <is>
          <t>待执行</t>
        </is>
      </c>
      <c r="AA201" s="23" t="n"/>
      <c r="AB201" s="38" t="n"/>
      <c r="AC201" s="38" t="n"/>
      <c r="AD201" s="38" t="n"/>
      <c r="AE201" s="38" t="n"/>
      <c r="AF201" s="38" t="n"/>
      <c r="AG201" s="38" t="n"/>
      <c r="AH201" s="38" t="n"/>
      <c r="AI201" s="38" t="n"/>
      <c r="AJ201" s="38" t="n"/>
      <c r="AK201" s="39" t="n"/>
      <c r="AL201" s="40">
        <f>IF(OR(R201="",R201-AP201&lt;=0),"",AO201/(R201-AP201))</f>
        <v/>
      </c>
      <c r="AM201" s="41">
        <f>IF(R201="","",SUM(AC201:AF201)-(R201-AP201))</f>
        <v/>
      </c>
      <c r="AN201" s="41">
        <f>IF(R201="","",SUM(S201:W201)+AP201-R201)</f>
        <v/>
      </c>
      <c r="AO201" s="44" t="n"/>
      <c r="AP201" s="45" t="n"/>
      <c r="AQ201" s="47" t="inlineStr">
        <is>
          <t>O06-a barrier done过早；O06-b done延迟；O06-c done丢失</t>
        </is>
      </c>
      <c r="AR201" s="23" t="n"/>
      <c r="AS201" s="35">
        <f>IF(OR(Q201="",Q201=0),"",AR201/Q201)</f>
        <v/>
      </c>
      <c r="AT201" s="62" t="n">
        <v>30</v>
      </c>
      <c r="AU201" s="62" t="n">
        <v>385</v>
      </c>
      <c r="AV201" s="62" t="inlineStr">
        <is>
          <t>常规</t>
        </is>
      </c>
      <c r="AW201" s="62" t="inlineStr">
        <is>
          <t>累计至少385，不机械扩展到2401</t>
        </is>
      </c>
    </row>
    <row r="202" ht="94.15000000000001" customHeight="1" s="58">
      <c r="A202" s="21" t="inlineStr">
        <is>
          <t>O06-F6-W7</t>
        </is>
      </c>
      <c r="B202" s="21" t="inlineStr">
        <is>
          <t>O06</t>
        </is>
      </c>
      <c r="C202" s="21" t="inlineStr">
        <is>
          <t>原子与同步</t>
        </is>
      </c>
      <c r="D202" s="22" t="inlineStr">
        <is>
          <t>DMB/DSB 屏障的完成状态与前后内存事务排空条件。DMB 约束可见顺序，DSB 还要求相关操作完成；提前 done 会让后续访问越过屏障，延后/丢失 done 则会停顿。</t>
        </is>
      </c>
      <c r="E202" s="22" t="inlineStr">
        <is>
          <t>时序</t>
        </is>
      </c>
      <c r="F202"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2" s="22" t="inlineStr">
        <is>
          <t>F6</t>
        </is>
      </c>
      <c r="H202" s="22" t="inlineStr">
        <is>
          <t>首次出现指定事件时注入一次，如 TLB hit、SQ forward、dirty eviction、CAS 成功</t>
        </is>
      </c>
      <c r="I202" s="22" t="inlineStr">
        <is>
          <t>Atomic-Litmus 并发探针（MP、SB、LB、IRIW、Dekker、ticket lock、CAS counter、LDXR/STXR）</t>
        </is>
      </c>
      <c r="J202" s="22" t="inlineStr">
        <is>
          <t>Atomic-Litmus 并发探针（MP、SB、LB、IRIW、Dekker、ticket lock、CAS counter、LDXR/STXR）
执行定义与 oracle：MP、SB、LB、IRIW、Dekker、ticket lock、CAS counter、LDXR/STXR 竞争；每轮检查禁出现结果</t>
        </is>
      </c>
      <c r="K202" s="22" t="inlineStr">
        <is>
          <t>barrier有前后内存事务</t>
        </is>
      </c>
      <c r="L202" s="22" t="inlineStr">
        <is>
          <t>L0 原子/屏障事件激活；L1 exclusive monitor、RMW旧值/新值、done/成功码；L2顺序队列与一致性事务；L3跨核可见顺序；L4禁出现结果/提交序；L5结局；屏障前后请求、全局可见序、禁出现结果</t>
        </is>
      </c>
      <c r="M202" s="22" t="inlineStr">
        <is>
          <t>提前done可能出现Arm内存模型禁出现结果；延后多为性能/Timeout</t>
        </is>
      </c>
      <c r="N202" s="22" t="inlineStr">
        <is>
          <t>屏障正确性必须用litmus结果而非单线程输出判断</t>
        </is>
      </c>
      <c r="O202" s="22" t="inlineStr">
        <is>
          <t>无直接文献</t>
        </is>
      </c>
      <c r="P202" s="23" t="n"/>
      <c r="Q202" s="23" t="n"/>
      <c r="R202" s="23" t="n"/>
      <c r="S202" s="23" t="n"/>
      <c r="T202" s="23" t="n"/>
      <c r="U202" s="23" t="n"/>
      <c r="V202" s="23" t="n"/>
      <c r="W202" s="23" t="n"/>
      <c r="X202" s="35">
        <f>IF(OR(R202="",R202-AP202&lt;=0),"",AB202/(R202-AP202))</f>
        <v/>
      </c>
      <c r="Y202" s="35">
        <f>IF(OR(AR202="",AR202=0),"",R202/AR202)</f>
        <v/>
      </c>
      <c r="Z202" s="24" t="inlineStr">
        <is>
          <t>待执行</t>
        </is>
      </c>
      <c r="AA202" s="23" t="n"/>
      <c r="AB202" s="38" t="n"/>
      <c r="AC202" s="38" t="n"/>
      <c r="AD202" s="38" t="n"/>
      <c r="AE202" s="38" t="n"/>
      <c r="AF202" s="38" t="n"/>
      <c r="AG202" s="38" t="n"/>
      <c r="AH202" s="38" t="n"/>
      <c r="AI202" s="38" t="n"/>
      <c r="AJ202" s="38" t="n"/>
      <c r="AK202" s="39" t="n"/>
      <c r="AL202" s="40">
        <f>IF(OR(R202="",R202-AP202&lt;=0),"",AO202/(R202-AP202))</f>
        <v/>
      </c>
      <c r="AM202" s="41">
        <f>IF(R202="","",SUM(AC202:AF202)-(R202-AP202))</f>
        <v/>
      </c>
      <c r="AN202" s="41">
        <f>IF(R202="","",SUM(S202:W202)+AP202-R202)</f>
        <v/>
      </c>
      <c r="AO202" s="44" t="n"/>
      <c r="AP202" s="45" t="n"/>
      <c r="AQ202" s="47" t="inlineStr">
        <is>
          <t>O06-a barrier done过早；O06-b done延迟；O06-c done丢失</t>
        </is>
      </c>
      <c r="AR202" s="23" t="n"/>
      <c r="AS202" s="35">
        <f>IF(OR(Q202="",Q202=0),"",AR202/Q202)</f>
        <v/>
      </c>
      <c r="AT202" s="62" t="n">
        <v>30</v>
      </c>
      <c r="AU202" s="62" t="n">
        <v>385</v>
      </c>
      <c r="AV202" s="62" t="inlineStr">
        <is>
          <t>常规</t>
        </is>
      </c>
      <c r="AW202" s="62" t="inlineStr">
        <is>
          <t>累计至少385，不机械扩展到2401</t>
        </is>
      </c>
    </row>
    <row r="203" ht="94.15000000000001" customHeight="1" s="58">
      <c r="A203" s="21" t="inlineStr">
        <is>
          <t>O07-F0-W7</t>
        </is>
      </c>
      <c r="B203" s="21" t="inlineStr">
        <is>
          <t>O07</t>
        </is>
      </c>
      <c r="C203" s="21" t="inlineStr">
        <is>
          <t>原子与同步</t>
        </is>
      </c>
      <c r="D203" s="22" t="inlineStr">
        <is>
          <t>LSU 内部 ordering queue 的 order tag、valid/ready 和选择逻辑。它维护 acquire/release、屏障和普通访存的先后关系；交换两个合法序号可能只改变时序，也可能产生 Arm 内存模型禁止的结果。</t>
        </is>
      </c>
      <c r="E203" s="22" t="inlineStr">
        <is>
          <t>换值</t>
        </is>
      </c>
      <c r="F203"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3" s="22" t="inlineStr">
        <is>
          <t>F0</t>
        </is>
      </c>
      <c r="H203" s="22" t="inlineStr">
        <is>
          <t>每次运行只注入 1 次；在 warm-up 后的 eligible event 中均匀抽样</t>
        </is>
      </c>
      <c r="I203" s="22" t="inlineStr">
        <is>
          <t>Atomic-Litmus 并发探针（MP、SB、LB、IRIW、Dekker、ticket lock、CAS counter、LDXR/STXR）</t>
        </is>
      </c>
      <c r="J203" s="22" t="inlineStr">
        <is>
          <t>Atomic-Litmus 并发探针（MP、SB、LB、IRIW、Dekker、ticket lock、CAS counter、LDXR/STXR）
执行定义与 oracle：MP、SB、LB、IRIW、Dekker、ticket lock、CAS counter、LDXR/STXR 竞争；每轮检查禁出现结果</t>
        </is>
      </c>
      <c r="K203" s="22" t="inlineStr">
        <is>
          <t>至少2个相关事务</t>
        </is>
      </c>
      <c r="L203" s="22" t="inlineStr">
        <is>
          <t>L0 原子/屏障事件激活；L1 exclusive monitor、RMW旧值/新值、done/成功码；L2顺序队列与一致性事务；L3跨核可见顺序；L4禁出现结果/提交序；L5结局；per-core issue/commit/global order、replay、snoop</t>
        </is>
      </c>
      <c r="M203" s="22" t="inlineStr">
        <is>
          <t>可能只改变时序，也可能违反release/acquire；依赖并发负载</t>
        </is>
      </c>
      <c r="N203" s="22" t="inlineStr">
        <is>
          <t>覆盖排序状态而非数据阵列</t>
        </is>
      </c>
      <c r="O203" s="22" t="inlineStr">
        <is>
          <t>无直接文献</t>
        </is>
      </c>
      <c r="P203" s="23" t="n"/>
      <c r="Q203" s="23" t="n"/>
      <c r="R203" s="23" t="n"/>
      <c r="S203" s="23" t="n"/>
      <c r="T203" s="23" t="n"/>
      <c r="U203" s="23" t="n"/>
      <c r="V203" s="23" t="n"/>
      <c r="W203" s="23" t="n"/>
      <c r="X203" s="35">
        <f>IF(OR(R203="",R203-AP203&lt;=0),"",AB203/(R203-AP203))</f>
        <v/>
      </c>
      <c r="Y203" s="35">
        <f>IF(OR(AR203="",AR203=0),"",R203/AR203)</f>
        <v/>
      </c>
      <c r="Z203" s="24" t="inlineStr">
        <is>
          <t>待执行</t>
        </is>
      </c>
      <c r="AA203" s="23" t="n"/>
      <c r="AB203" s="38" t="n"/>
      <c r="AC203" s="38" t="n"/>
      <c r="AD203" s="38" t="n"/>
      <c r="AE203" s="38" t="n"/>
      <c r="AF203" s="38" t="n"/>
      <c r="AG203" s="38" t="n"/>
      <c r="AH203" s="38" t="n"/>
      <c r="AI203" s="38" t="n"/>
      <c r="AJ203" s="38" t="n"/>
      <c r="AK203" s="39" t="n"/>
      <c r="AL203" s="40">
        <f>IF(OR(R203="",R203-AP203&lt;=0),"",AO203/(R203-AP203))</f>
        <v/>
      </c>
      <c r="AM203" s="41">
        <f>IF(R203="","",SUM(AC203:AF203)-(R203-AP203))</f>
        <v/>
      </c>
      <c r="AN203" s="41">
        <f>IF(R203="","",SUM(S203:W203)+AP203-R203)</f>
        <v/>
      </c>
      <c r="AO203" s="44" t="n"/>
      <c r="AP203" s="45" t="n"/>
      <c r="AQ203" s="47" t="inlineStr">
        <is>
          <t>O07-a order tag互换；O07-b valid伪置位；O07-c ready伪置位</t>
        </is>
      </c>
      <c r="AR203" s="23" t="n"/>
      <c r="AS203" s="35">
        <f>IF(OR(Q203="",Q203=0),"",AR203/Q203)</f>
        <v/>
      </c>
      <c r="AT203" s="62" t="n">
        <v>30</v>
      </c>
      <c r="AU203" s="62" t="n">
        <v>385</v>
      </c>
      <c r="AV203" s="62" t="inlineStr">
        <is>
          <t>常规</t>
        </is>
      </c>
      <c r="AW203" s="62" t="inlineStr">
        <is>
          <t>累计至少385，不机械扩展到2401</t>
        </is>
      </c>
    </row>
    <row r="204" ht="94.15000000000001" customHeight="1" s="58">
      <c r="A204" s="21" t="inlineStr">
        <is>
          <t>O07-F2-W7</t>
        </is>
      </c>
      <c r="B204" s="21" t="inlineStr">
        <is>
          <t>O07</t>
        </is>
      </c>
      <c r="C204" s="21" t="inlineStr">
        <is>
          <t>原子与同步</t>
        </is>
      </c>
      <c r="D204" s="22" t="inlineStr">
        <is>
          <t>LSU 内部 ordering queue 的 order tag、valid/ready 和选择逻辑。它维护 acquire/release、屏障和普通访存的先后关系；交换两个合法序号可能只改变时序，也可能产生 Arm 内存模型禁止的结果。</t>
        </is>
      </c>
      <c r="E204" s="22" t="inlineStr">
        <is>
          <t>换值</t>
        </is>
      </c>
      <c r="F204"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4" s="22" t="inlineStr">
        <is>
          <t>F2</t>
        </is>
      </c>
      <c r="H204" s="22" t="inlineStr">
        <is>
          <t>平均每 100,000 个 eligible events 注入 1 次，间隔加入 ±50% 抖动</t>
        </is>
      </c>
      <c r="I204" s="22" t="inlineStr">
        <is>
          <t>Atomic-Litmus 并发探针（MP、SB、LB、IRIW、Dekker、ticket lock、CAS counter、LDXR/STXR）</t>
        </is>
      </c>
      <c r="J204" s="22" t="inlineStr">
        <is>
          <t>Atomic-Litmus 并发探针（MP、SB、LB、IRIW、Dekker、ticket lock、CAS counter、LDXR/STXR）
执行定义与 oracle：MP、SB、LB、IRIW、Dekker、ticket lock、CAS counter、LDXR/STXR 竞争；每轮检查禁出现结果</t>
        </is>
      </c>
      <c r="K204" s="22" t="inlineStr">
        <is>
          <t>至少2个相关事务</t>
        </is>
      </c>
      <c r="L204" s="22" t="inlineStr">
        <is>
          <t>L0 原子/屏障事件激活；L1 exclusive monitor、RMW旧值/新值、done/成功码；L2顺序队列与一致性事务；L3跨核可见顺序；L4禁出现结果/提交序；L5结局；per-core issue/commit/global order、replay、snoop</t>
        </is>
      </c>
      <c r="M204" s="22" t="inlineStr">
        <is>
          <t>可能只改变时序，也可能违反release/acquire；依赖并发负载</t>
        </is>
      </c>
      <c r="N204" s="22" t="inlineStr">
        <is>
          <t>覆盖排序状态而非数据阵列</t>
        </is>
      </c>
      <c r="O204" s="22" t="inlineStr">
        <is>
          <t>无直接文献</t>
        </is>
      </c>
      <c r="P204" s="23" t="n"/>
      <c r="Q204" s="23" t="n"/>
      <c r="R204" s="23" t="n"/>
      <c r="S204" s="23" t="n"/>
      <c r="T204" s="23" t="n"/>
      <c r="U204" s="23" t="n"/>
      <c r="V204" s="23" t="n"/>
      <c r="W204" s="23" t="n"/>
      <c r="X204" s="35">
        <f>IF(OR(R204="",R204-AP204&lt;=0),"",AB204/(R204-AP204))</f>
        <v/>
      </c>
      <c r="Y204" s="35">
        <f>IF(OR(AR204="",AR204=0),"",R204/AR204)</f>
        <v/>
      </c>
      <c r="Z204" s="24" t="inlineStr">
        <is>
          <t>待执行</t>
        </is>
      </c>
      <c r="AA204" s="23" t="n"/>
      <c r="AB204" s="38" t="n"/>
      <c r="AC204" s="38" t="n"/>
      <c r="AD204" s="38" t="n"/>
      <c r="AE204" s="38" t="n"/>
      <c r="AF204" s="38" t="n"/>
      <c r="AG204" s="38" t="n"/>
      <c r="AH204" s="38" t="n"/>
      <c r="AI204" s="38" t="n"/>
      <c r="AJ204" s="38" t="n"/>
      <c r="AK204" s="39" t="n"/>
      <c r="AL204" s="40">
        <f>IF(OR(R204="",R204-AP204&lt;=0),"",AO204/(R204-AP204))</f>
        <v/>
      </c>
      <c r="AM204" s="41">
        <f>IF(R204="","",SUM(AC204:AF204)-(R204-AP204))</f>
        <v/>
      </c>
      <c r="AN204" s="41">
        <f>IF(R204="","",SUM(S204:W204)+AP204-R204)</f>
        <v/>
      </c>
      <c r="AO204" s="44" t="n"/>
      <c r="AP204" s="45" t="n"/>
      <c r="AQ204" s="47" t="inlineStr">
        <is>
          <t>O07-a order tag互换；O07-b valid伪置位；O07-c ready伪置位</t>
        </is>
      </c>
      <c r="AR204" s="23" t="n"/>
      <c r="AS204" s="35">
        <f>IF(OR(Q204="",Q204=0),"",AR204/Q204)</f>
        <v/>
      </c>
      <c r="AT204" s="62" t="n">
        <v>30</v>
      </c>
      <c r="AU204" s="62" t="n">
        <v>385</v>
      </c>
      <c r="AV204" s="62" t="inlineStr">
        <is>
          <t>常规</t>
        </is>
      </c>
      <c r="AW204" s="62" t="inlineStr">
        <is>
          <t>累计至少385，不机械扩展到2401</t>
        </is>
      </c>
    </row>
    <row r="205" ht="94.15000000000001" customHeight="1" s="58">
      <c r="A205" s="21" t="inlineStr">
        <is>
          <t>O07-F6-W7</t>
        </is>
      </c>
      <c r="B205" s="21" t="inlineStr">
        <is>
          <t>O07</t>
        </is>
      </c>
      <c r="C205" s="21" t="inlineStr">
        <is>
          <t>原子与同步</t>
        </is>
      </c>
      <c r="D205" s="22" t="inlineStr">
        <is>
          <t>LSU 内部 ordering queue 的 order tag、valid/ready 和选择逻辑。它维护 acquire/release、屏障和普通访存的先后关系；交换两个合法序号可能只改变时序，也可能产生 Arm 内存模型禁止的结果。</t>
        </is>
      </c>
      <c r="E205" s="22" t="inlineStr">
        <is>
          <t>换值</t>
        </is>
      </c>
      <c r="F205"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5" s="22" t="inlineStr">
        <is>
          <t>F6</t>
        </is>
      </c>
      <c r="H205" s="22" t="inlineStr">
        <is>
          <t>首次出现指定事件时注入一次，如 TLB hit、SQ forward、dirty eviction、CAS 成功</t>
        </is>
      </c>
      <c r="I205" s="22" t="inlineStr">
        <is>
          <t>Atomic-Litmus 并发探针（MP、SB、LB、IRIW、Dekker、ticket lock、CAS counter、LDXR/STXR）</t>
        </is>
      </c>
      <c r="J205" s="22" t="inlineStr">
        <is>
          <t>Atomic-Litmus 并发探针（MP、SB、LB、IRIW、Dekker、ticket lock、CAS counter、LDXR/STXR）
执行定义与 oracle：MP、SB、LB、IRIW、Dekker、ticket lock、CAS counter、LDXR/STXR 竞争；每轮检查禁出现结果</t>
        </is>
      </c>
      <c r="K205" s="22" t="inlineStr">
        <is>
          <t>至少2个相关事务</t>
        </is>
      </c>
      <c r="L205" s="22" t="inlineStr">
        <is>
          <t>L0 原子/屏障事件激活；L1 exclusive monitor、RMW旧值/新值、done/成功码；L2顺序队列与一致性事务；L3跨核可见顺序；L4禁出现结果/提交序；L5结局；per-core issue/commit/global order、replay、snoop</t>
        </is>
      </c>
      <c r="M205" s="22" t="inlineStr">
        <is>
          <t>可能只改变时序，也可能违反release/acquire；依赖并发负载</t>
        </is>
      </c>
      <c r="N205" s="22" t="inlineStr">
        <is>
          <t>覆盖排序状态而非数据阵列</t>
        </is>
      </c>
      <c r="O205" s="22" t="inlineStr">
        <is>
          <t>无直接文献</t>
        </is>
      </c>
      <c r="P205" s="23" t="n"/>
      <c r="Q205" s="23" t="n"/>
      <c r="R205" s="23" t="n"/>
      <c r="S205" s="23" t="n"/>
      <c r="T205" s="23" t="n"/>
      <c r="U205" s="23" t="n"/>
      <c r="V205" s="23" t="n"/>
      <c r="W205" s="23" t="n"/>
      <c r="X205" s="35">
        <f>IF(OR(R205="",R205-AP205&lt;=0),"",AB205/(R205-AP205))</f>
        <v/>
      </c>
      <c r="Y205" s="35">
        <f>IF(OR(AR205="",AR205=0),"",R205/AR205)</f>
        <v/>
      </c>
      <c r="Z205" s="24" t="inlineStr">
        <is>
          <t>待执行</t>
        </is>
      </c>
      <c r="AA205" s="23" t="n"/>
      <c r="AB205" s="38" t="n"/>
      <c r="AC205" s="38" t="n"/>
      <c r="AD205" s="38" t="n"/>
      <c r="AE205" s="38" t="n"/>
      <c r="AF205" s="38" t="n"/>
      <c r="AG205" s="38" t="n"/>
      <c r="AH205" s="38" t="n"/>
      <c r="AI205" s="38" t="n"/>
      <c r="AJ205" s="38" t="n"/>
      <c r="AK205" s="39" t="n"/>
      <c r="AL205" s="40">
        <f>IF(OR(R205="",R205-AP205&lt;=0),"",AO205/(R205-AP205))</f>
        <v/>
      </c>
      <c r="AM205" s="41">
        <f>IF(R205="","",SUM(AC205:AF205)-(R205-AP205))</f>
        <v/>
      </c>
      <c r="AN205" s="41">
        <f>IF(R205="","",SUM(S205:W205)+AP205-R205)</f>
        <v/>
      </c>
      <c r="AO205" s="44" t="n"/>
      <c r="AP205" s="45" t="n"/>
      <c r="AQ205" s="47" t="inlineStr">
        <is>
          <t>O07-a order tag互换；O07-b valid伪置位；O07-c ready伪置位</t>
        </is>
      </c>
      <c r="AR205" s="23" t="n"/>
      <c r="AS205" s="35">
        <f>IF(OR(Q205="",Q205=0),"",AR205/Q205)</f>
        <v/>
      </c>
      <c r="AT205" s="62" t="n">
        <v>30</v>
      </c>
      <c r="AU205" s="62" t="n">
        <v>385</v>
      </c>
      <c r="AV205" s="62" t="inlineStr">
        <is>
          <t>常规</t>
        </is>
      </c>
      <c r="AW205" s="62" t="inlineStr">
        <is>
          <t>累计至少385，不机械扩展到2401</t>
        </is>
      </c>
    </row>
    <row r="206" ht="94.15000000000001" customHeight="1" s="58">
      <c r="A206" s="21" t="inlineStr">
        <is>
          <t>P01-F0-W2</t>
        </is>
      </c>
      <c r="B206" s="21" t="inlineStr">
        <is>
          <t>P01</t>
        </is>
      </c>
      <c r="C206" s="21" t="inlineStr">
        <is>
          <t>数据预取器</t>
        </is>
      </c>
      <c r="D206" s="22" t="inlineStr">
        <is>
          <t>Stride prefetcher 的 PC/PHT tag 与 stride 历史字段。PC/tag 用于识别哪条 load 的历史，stride 记录相邻访问地址差；错误通常生成错误预取地址，但原则上不应直接改变需求 load 的架构结果。</t>
        </is>
      </c>
      <c r="E206" s="22" t="inlineStr">
        <is>
          <t>单比特翻转</t>
        </is>
      </c>
      <c r="F206"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6" s="22" t="inlineStr">
        <is>
          <t>F0</t>
        </is>
      </c>
      <c r="H206" s="22" t="inlineStr">
        <is>
          <t>每次运行只注入 1 次；在 warm-up 后的 eligible event 中均匀抽样</t>
        </is>
      </c>
      <c r="I206" s="22" t="inlineStr">
        <is>
          <t>BEEBS-DelayAVF 论文负载（md5、libbubblesort、libstrstr、matmult、libfibcall）</t>
        </is>
      </c>
      <c r="J206" s="22" t="inlineStr">
        <is>
          <t>BEEBS-DelayAVF 论文负载（md5、libbubblesort、libstrstr、matmult、libfibcall）
执行定义与 oracle：md5、libbubblesort、libstrstr、matmult、libfibcall</t>
        </is>
      </c>
      <c r="K206" s="22" t="inlineStr">
        <is>
          <t>预取器已有训练项</t>
        </is>
      </c>
      <c r="L206" s="22" t="inlineStr">
        <is>
          <t>L0 训练项/请求是否消费；L1 PC/stride/confidence/queue；L2预取地址、issued/useful/late/useless；L3填充way、驱逐对象、需求合并；L4架构结果；L5结局与性能偏差；issued/useful/late/useless、覆盖率、MPKI、输出</t>
        </is>
      </c>
      <c r="M206" s="22" t="inlineStr">
        <is>
          <t>通常只改命中率/带宽；若错误请求仍合法，不应改变架构结果，是负对照</t>
        </is>
      </c>
      <c r="N206" s="22" t="inlineStr">
        <is>
          <t>检验TC'23“预取错误不改架构状态”的边界</t>
        </is>
      </c>
      <c r="O206" s="22" t="inlineStr">
        <is>
          <t>TC'23排除理由；MICRO'24预取buffer结果作不同模型对照</t>
        </is>
      </c>
      <c r="P206" s="23" t="n"/>
      <c r="Q206" s="23" t="n"/>
      <c r="R206" s="23" t="n"/>
      <c r="S206" s="23" t="n"/>
      <c r="T206" s="23" t="n"/>
      <c r="U206" s="23" t="n"/>
      <c r="V206" s="23" t="n"/>
      <c r="W206" s="23" t="n"/>
      <c r="X206" s="35">
        <f>IF(OR(R206="",R206-AP206&lt;=0),"",AB206/(R206-AP206))</f>
        <v/>
      </c>
      <c r="Y206" s="35">
        <f>IF(OR(AR206="",AR206=0),"",R206/AR206)</f>
        <v/>
      </c>
      <c r="Z206" s="24" t="inlineStr">
        <is>
          <t>待执行</t>
        </is>
      </c>
      <c r="AA206" s="23" t="n"/>
      <c r="AB206" s="38" t="n"/>
      <c r="AC206" s="38" t="n"/>
      <c r="AD206" s="38" t="n"/>
      <c r="AE206" s="38" t="n"/>
      <c r="AF206" s="38" t="n"/>
      <c r="AG206" s="38" t="n"/>
      <c r="AH206" s="38" t="n"/>
      <c r="AI206" s="38" t="n"/>
      <c r="AJ206" s="38" t="n"/>
      <c r="AK206" s="39" t="n"/>
      <c r="AL206" s="40">
        <f>IF(OR(R206="",R206-AP206&lt;=0),"",AO206/(R206-AP206))</f>
        <v/>
      </c>
      <c r="AM206" s="41">
        <f>IF(R206="","",SUM(AC206:AF206)-(R206-AP206))</f>
        <v/>
      </c>
      <c r="AN206" s="41">
        <f>IF(R206="","",SUM(S206:W206)+AP206-R206)</f>
        <v/>
      </c>
      <c r="AO206" s="44" t="n"/>
      <c r="AP206" s="45" t="n"/>
      <c r="AQ206" s="47" t="inlineStr">
        <is>
          <t>P01-a prefetch PC tag单bit；P01-b stride单bit</t>
        </is>
      </c>
      <c r="AR206" s="23" t="n"/>
      <c r="AS206" s="35">
        <f>IF(OR(Q206="",Q206=0),"",AR206/Q206)</f>
        <v/>
      </c>
      <c r="AT206" s="62" t="n">
        <v>30</v>
      </c>
      <c r="AU206" s="62" t="n">
        <v>385</v>
      </c>
      <c r="AV206" s="62" t="inlineStr">
        <is>
          <t>常规</t>
        </is>
      </c>
      <c r="AW206" s="62" t="inlineStr">
        <is>
          <t>累计至少385，不机械扩展到2401</t>
        </is>
      </c>
    </row>
    <row r="207" ht="94.15000000000001" customHeight="1" s="58">
      <c r="A207" s="21" t="inlineStr">
        <is>
          <t>P01-F0-W8</t>
        </is>
      </c>
      <c r="B207" s="21" t="inlineStr">
        <is>
          <t>P01</t>
        </is>
      </c>
      <c r="C207" s="21" t="inlineStr">
        <is>
          <t>数据预取器</t>
        </is>
      </c>
      <c r="D207" s="22" t="inlineStr">
        <is>
          <t>Stride prefetcher 的 PC/PHT tag 与 stride 历史字段。PC/tag 用于识别哪条 load 的历史，stride 记录相邻访问地址差；错误通常生成错误预取地址，但原则上不应直接改变需求 load 的架构结果。</t>
        </is>
      </c>
      <c r="E207" s="22" t="inlineStr">
        <is>
          <t>单比特翻转</t>
        </is>
      </c>
      <c r="F207"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7" s="22" t="inlineStr">
        <is>
          <t>F0</t>
        </is>
      </c>
      <c r="H207" s="22" t="inlineStr">
        <is>
          <t>每次运行只注入 1 次；在 warm-up 后的 eligible event 中均匀抽样</t>
        </is>
      </c>
      <c r="I207" s="22" t="inlineStr">
        <is>
          <t>Prefetch-Stride 预取探针（正/负/交错 stride、pointer chase、跨页 stride、训练后变步长）</t>
        </is>
      </c>
      <c r="J207" s="22" t="inlineStr">
        <is>
          <t>Prefetch-Stride 预取探针（正/负/交错 stride、pointer chase、跨页 stride、训练后变步长）
执行定义与 oracle：正/负/交错 stride、随机 pointer chase、跨页 stride、训练后变步长、需求/预取竞争</t>
        </is>
      </c>
      <c r="K207" s="22" t="inlineStr">
        <is>
          <t>预取器已有训练项</t>
        </is>
      </c>
      <c r="L207" s="22" t="inlineStr">
        <is>
          <t>L0 训练项/请求是否消费；L1 PC/stride/confidence/queue；L2预取地址、issued/useful/late/useless；L3填充way、驱逐对象、需求合并；L4架构结果；L5结局与性能偏差；issued/useful/late/useless、覆盖率、MPKI、输出</t>
        </is>
      </c>
      <c r="M207" s="22" t="inlineStr">
        <is>
          <t>通常只改命中率/带宽；若错误请求仍合法，不应改变架构结果，是负对照</t>
        </is>
      </c>
      <c r="N207" s="22" t="inlineStr">
        <is>
          <t>检验TC'23“预取错误不改架构状态”的边界</t>
        </is>
      </c>
      <c r="O207" s="22" t="inlineStr">
        <is>
          <t>TC'23排除理由；MICRO'24预取buffer结果作不同模型对照</t>
        </is>
      </c>
      <c r="P207" s="23" t="n"/>
      <c r="Q207" s="23" t="n"/>
      <c r="R207" s="23" t="n"/>
      <c r="S207" s="23" t="n"/>
      <c r="T207" s="23" t="n"/>
      <c r="U207" s="23" t="n"/>
      <c r="V207" s="23" t="n"/>
      <c r="W207" s="23" t="n"/>
      <c r="X207" s="35">
        <f>IF(OR(R207="",R207-AP207&lt;=0),"",AB207/(R207-AP207))</f>
        <v/>
      </c>
      <c r="Y207" s="35">
        <f>IF(OR(AR207="",AR207=0),"",R207/AR207)</f>
        <v/>
      </c>
      <c r="Z207" s="24" t="inlineStr">
        <is>
          <t>待执行</t>
        </is>
      </c>
      <c r="AA207" s="23" t="n"/>
      <c r="AB207" s="38" t="n"/>
      <c r="AC207" s="38" t="n"/>
      <c r="AD207" s="38" t="n"/>
      <c r="AE207" s="38" t="n"/>
      <c r="AF207" s="38" t="n"/>
      <c r="AG207" s="38" t="n"/>
      <c r="AH207" s="38" t="n"/>
      <c r="AI207" s="38" t="n"/>
      <c r="AJ207" s="38" t="n"/>
      <c r="AK207" s="39" t="n"/>
      <c r="AL207" s="40">
        <f>IF(OR(R207="",R207-AP207&lt;=0),"",AO207/(R207-AP207))</f>
        <v/>
      </c>
      <c r="AM207" s="41">
        <f>IF(R207="","",SUM(AC207:AF207)-(R207-AP207))</f>
        <v/>
      </c>
      <c r="AN207" s="41">
        <f>IF(R207="","",SUM(S207:W207)+AP207-R207)</f>
        <v/>
      </c>
      <c r="AO207" s="44" t="n"/>
      <c r="AP207" s="45" t="n"/>
      <c r="AQ207" s="47" t="inlineStr">
        <is>
          <t>P01-a prefetch PC tag单bit；P01-b stride单bit</t>
        </is>
      </c>
      <c r="AR207" s="23" t="n"/>
      <c r="AS207" s="35">
        <f>IF(OR(Q207="",Q207=0),"",AR207/Q207)</f>
        <v/>
      </c>
      <c r="AT207" s="62" t="n">
        <v>30</v>
      </c>
      <c r="AU207" s="62" t="n">
        <v>385</v>
      </c>
      <c r="AV207" s="62" t="inlineStr">
        <is>
          <t>常规</t>
        </is>
      </c>
      <c r="AW207" s="62" t="inlineStr">
        <is>
          <t>累计至少385，不机械扩展到2401</t>
        </is>
      </c>
    </row>
    <row r="208" ht="94.15000000000001" customHeight="1" s="58">
      <c r="A208" s="21" t="inlineStr">
        <is>
          <t>P01-F1-W2</t>
        </is>
      </c>
      <c r="B208" s="21" t="inlineStr">
        <is>
          <t>P01</t>
        </is>
      </c>
      <c r="C208" s="21" t="inlineStr">
        <is>
          <t>数据预取器</t>
        </is>
      </c>
      <c r="D208" s="22" t="inlineStr">
        <is>
          <t>Stride prefetcher 的 PC/PHT tag 与 stride 历史字段。PC/tag 用于识别哪条 load 的历史，stride 记录相邻访问地址差；错误通常生成错误预取地址，但原则上不应直接改变需求 load 的架构结果。</t>
        </is>
      </c>
      <c r="E208" s="22" t="inlineStr">
        <is>
          <t>单比特翻转</t>
        </is>
      </c>
      <c r="F208"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8" s="22" t="inlineStr">
        <is>
          <t>F1</t>
        </is>
      </c>
      <c r="H208" s="22" t="inlineStr">
        <is>
          <t>平均每 1,000,000 个 eligible events 注入 1 次，间隔加入 ±50% 抖动</t>
        </is>
      </c>
      <c r="I208" s="22" t="inlineStr">
        <is>
          <t>BEEBS-DelayAVF 论文负载（md5、libbubblesort、libstrstr、matmult、libfibcall）</t>
        </is>
      </c>
      <c r="J208" s="22" t="inlineStr">
        <is>
          <t>BEEBS-DelayAVF 论文负载（md5、libbubblesort、libstrstr、matmult、libfibcall）
执行定义与 oracle：md5、libbubblesort、libstrstr、matmult、libfibcall</t>
        </is>
      </c>
      <c r="K208" s="22" t="inlineStr">
        <is>
          <t>预取器已有训练项</t>
        </is>
      </c>
      <c r="L208" s="22" t="inlineStr">
        <is>
          <t>L0 训练项/请求是否消费；L1 PC/stride/confidence/queue；L2预取地址、issued/useful/late/useless；L3填充way、驱逐对象、需求合并；L4架构结果；L5结局与性能偏差；issued/useful/late/useless、覆盖率、MPKI、输出</t>
        </is>
      </c>
      <c r="M208" s="22" t="inlineStr">
        <is>
          <t>通常只改命中率/带宽；若错误请求仍合法，不应改变架构结果，是负对照</t>
        </is>
      </c>
      <c r="N208" s="22" t="inlineStr">
        <is>
          <t>检验TC'23“预取错误不改架构状态”的边界</t>
        </is>
      </c>
      <c r="O208" s="22" t="inlineStr">
        <is>
          <t>TC'23排除理由；MICRO'24预取buffer结果作不同模型对照</t>
        </is>
      </c>
      <c r="P208" s="23" t="n"/>
      <c r="Q208" s="23" t="n"/>
      <c r="R208" s="23" t="n"/>
      <c r="S208" s="23" t="n"/>
      <c r="T208" s="23" t="n"/>
      <c r="U208" s="23" t="n"/>
      <c r="V208" s="23" t="n"/>
      <c r="W208" s="23" t="n"/>
      <c r="X208" s="35">
        <f>IF(OR(R208="",R208-AP208&lt;=0),"",AB208/(R208-AP208))</f>
        <v/>
      </c>
      <c r="Y208" s="35">
        <f>IF(OR(AR208="",AR208=0),"",R208/AR208)</f>
        <v/>
      </c>
      <c r="Z208" s="24" t="inlineStr">
        <is>
          <t>待执行</t>
        </is>
      </c>
      <c r="AA208" s="23" t="n"/>
      <c r="AB208" s="38" t="n"/>
      <c r="AC208" s="38" t="n"/>
      <c r="AD208" s="38" t="n"/>
      <c r="AE208" s="38" t="n"/>
      <c r="AF208" s="38" t="n"/>
      <c r="AG208" s="38" t="n"/>
      <c r="AH208" s="38" t="n"/>
      <c r="AI208" s="38" t="n"/>
      <c r="AJ208" s="38" t="n"/>
      <c r="AK208" s="39" t="n"/>
      <c r="AL208" s="40">
        <f>IF(OR(R208="",R208-AP208&lt;=0),"",AO208/(R208-AP208))</f>
        <v/>
      </c>
      <c r="AM208" s="41">
        <f>IF(R208="","",SUM(AC208:AF208)-(R208-AP208))</f>
        <v/>
      </c>
      <c r="AN208" s="41">
        <f>IF(R208="","",SUM(S208:W208)+AP208-R208)</f>
        <v/>
      </c>
      <c r="AO208" s="44" t="n"/>
      <c r="AP208" s="45" t="n"/>
      <c r="AQ208" s="47" t="inlineStr">
        <is>
          <t>P01-a prefetch PC tag单bit；P01-b stride单bit</t>
        </is>
      </c>
      <c r="AR208" s="23" t="n"/>
      <c r="AS208" s="35">
        <f>IF(OR(Q208="",Q208=0),"",AR208/Q208)</f>
        <v/>
      </c>
      <c r="AT208" s="62" t="n">
        <v>30</v>
      </c>
      <c r="AU208" s="62" t="n">
        <v>385</v>
      </c>
      <c r="AV208" s="62" t="inlineStr">
        <is>
          <t>常规</t>
        </is>
      </c>
      <c r="AW208" s="62" t="inlineStr">
        <is>
          <t>累计至少385，不机械扩展到2401</t>
        </is>
      </c>
    </row>
    <row r="209" ht="94.15000000000001" customHeight="1" s="58">
      <c r="A209" s="21" t="inlineStr">
        <is>
          <t>P01-F1-W8</t>
        </is>
      </c>
      <c r="B209" s="21" t="inlineStr">
        <is>
          <t>P01</t>
        </is>
      </c>
      <c r="C209" s="21" t="inlineStr">
        <is>
          <t>数据预取器</t>
        </is>
      </c>
      <c r="D209" s="22" t="inlineStr">
        <is>
          <t>Stride prefetcher 的 PC/PHT tag 与 stride 历史字段。PC/tag 用于识别哪条 load 的历史，stride 记录相邻访问地址差；错误通常生成错误预取地址，但原则上不应直接改变需求 load 的架构结果。</t>
        </is>
      </c>
      <c r="E209" s="22" t="inlineStr">
        <is>
          <t>单比特翻转</t>
        </is>
      </c>
      <c r="F209"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9" s="22" t="inlineStr">
        <is>
          <t>F1</t>
        </is>
      </c>
      <c r="H209" s="22" t="inlineStr">
        <is>
          <t>平均每 1,000,000 个 eligible events 注入 1 次，间隔加入 ±50% 抖动</t>
        </is>
      </c>
      <c r="I209" s="22" t="inlineStr">
        <is>
          <t>Prefetch-Stride 预取探针（正/负/交错 stride、pointer chase、跨页 stride、训练后变步长）</t>
        </is>
      </c>
      <c r="J209" s="22" t="inlineStr">
        <is>
          <t>Prefetch-Stride 预取探针（正/负/交错 stride、pointer chase、跨页 stride、训练后变步长）
执行定义与 oracle：正/负/交错 stride、随机 pointer chase、跨页 stride、训练后变步长、需求/预取竞争</t>
        </is>
      </c>
      <c r="K209" s="22" t="inlineStr">
        <is>
          <t>预取器已有训练项</t>
        </is>
      </c>
      <c r="L209" s="22" t="inlineStr">
        <is>
          <t>L0 训练项/请求是否消费；L1 PC/stride/confidence/queue；L2预取地址、issued/useful/late/useless；L3填充way、驱逐对象、需求合并；L4架构结果；L5结局与性能偏差；issued/useful/late/useless、覆盖率、MPKI、输出</t>
        </is>
      </c>
      <c r="M209" s="22" t="inlineStr">
        <is>
          <t>通常只改命中率/带宽；若错误请求仍合法，不应改变架构结果，是负对照</t>
        </is>
      </c>
      <c r="N209" s="22" t="inlineStr">
        <is>
          <t>检验TC'23“预取错误不改架构状态”的边界</t>
        </is>
      </c>
      <c r="O209" s="22" t="inlineStr">
        <is>
          <t>TC'23排除理由；MICRO'24预取buffer结果作不同模型对照</t>
        </is>
      </c>
      <c r="P209" s="23" t="n"/>
      <c r="Q209" s="23" t="n"/>
      <c r="R209" s="23" t="n"/>
      <c r="S209" s="23" t="n"/>
      <c r="T209" s="23" t="n"/>
      <c r="U209" s="23" t="n"/>
      <c r="V209" s="23" t="n"/>
      <c r="W209" s="23" t="n"/>
      <c r="X209" s="35">
        <f>IF(OR(R209="",R209-AP209&lt;=0),"",AB209/(R209-AP209))</f>
        <v/>
      </c>
      <c r="Y209" s="35">
        <f>IF(OR(AR209="",AR209=0),"",R209/AR209)</f>
        <v/>
      </c>
      <c r="Z209" s="24" t="inlineStr">
        <is>
          <t>待执行</t>
        </is>
      </c>
      <c r="AA209" s="23" t="n"/>
      <c r="AB209" s="38" t="n"/>
      <c r="AC209" s="38" t="n"/>
      <c r="AD209" s="38" t="n"/>
      <c r="AE209" s="38" t="n"/>
      <c r="AF209" s="38" t="n"/>
      <c r="AG209" s="38" t="n"/>
      <c r="AH209" s="38" t="n"/>
      <c r="AI209" s="38" t="n"/>
      <c r="AJ209" s="38" t="n"/>
      <c r="AK209" s="39" t="n"/>
      <c r="AL209" s="40">
        <f>IF(OR(R209="",R209-AP209&lt;=0),"",AO209/(R209-AP209))</f>
        <v/>
      </c>
      <c r="AM209" s="41">
        <f>IF(R209="","",SUM(AC209:AF209)-(R209-AP209))</f>
        <v/>
      </c>
      <c r="AN209" s="41">
        <f>IF(R209="","",SUM(S209:W209)+AP209-R209)</f>
        <v/>
      </c>
      <c r="AO209" s="44" t="n"/>
      <c r="AP209" s="45" t="n"/>
      <c r="AQ209" s="47" t="inlineStr">
        <is>
          <t>P01-a prefetch PC tag单bit；P01-b stride单bit</t>
        </is>
      </c>
      <c r="AR209" s="23" t="n"/>
      <c r="AS209" s="35">
        <f>IF(OR(Q209="",Q209=0),"",AR209/Q209)</f>
        <v/>
      </c>
      <c r="AT209" s="62" t="n">
        <v>30</v>
      </c>
      <c r="AU209" s="62" t="n">
        <v>385</v>
      </c>
      <c r="AV209" s="62" t="inlineStr">
        <is>
          <t>常规</t>
        </is>
      </c>
      <c r="AW209" s="62" t="inlineStr">
        <is>
          <t>累计至少385，不机械扩展到2401</t>
        </is>
      </c>
    </row>
    <row r="210" ht="94.15000000000001" customHeight="1" s="58">
      <c r="A210" s="21" t="inlineStr">
        <is>
          <t>P01-F2-W2</t>
        </is>
      </c>
      <c r="B210" s="21" t="inlineStr">
        <is>
          <t>P01</t>
        </is>
      </c>
      <c r="C210" s="21" t="inlineStr">
        <is>
          <t>数据预取器</t>
        </is>
      </c>
      <c r="D210" s="22" t="inlineStr">
        <is>
          <t>Stride prefetcher 的 PC/PHT tag 与 stride 历史字段。PC/tag 用于识别哪条 load 的历史，stride 记录相邻访问地址差；错误通常生成错误预取地址，但原则上不应直接改变需求 load 的架构结果。</t>
        </is>
      </c>
      <c r="E210" s="22" t="inlineStr">
        <is>
          <t>单比特翻转</t>
        </is>
      </c>
      <c r="F210"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10" s="22" t="inlineStr">
        <is>
          <t>F2</t>
        </is>
      </c>
      <c r="H210" s="22" t="inlineStr">
        <is>
          <t>平均每 100,000 个 eligible events 注入 1 次，间隔加入 ±50% 抖动</t>
        </is>
      </c>
      <c r="I210" s="22" t="inlineStr">
        <is>
          <t>BEEBS-DelayAVF 论文负载（md5、libbubblesort、libstrstr、matmult、libfibcall）</t>
        </is>
      </c>
      <c r="J210" s="22" t="inlineStr">
        <is>
          <t>BEEBS-DelayAVF 论文负载（md5、libbubblesort、libstrstr、matmult、libfibcall）
执行定义与 oracle：md5、libbubblesort、libstrstr、matmult、libfibcall</t>
        </is>
      </c>
      <c r="K210" s="22" t="inlineStr">
        <is>
          <t>预取器已有训练项</t>
        </is>
      </c>
      <c r="L210" s="22" t="inlineStr">
        <is>
          <t>L0 训练项/请求是否消费；L1 PC/stride/confidence/queue；L2预取地址、issued/useful/late/useless；L3填充way、驱逐对象、需求合并；L4架构结果；L5结局与性能偏差；issued/useful/late/useless、覆盖率、MPKI、输出</t>
        </is>
      </c>
      <c r="M210" s="22" t="inlineStr">
        <is>
          <t>通常只改命中率/带宽；若错误请求仍合法，不应改变架构结果，是负对照</t>
        </is>
      </c>
      <c r="N210" s="22" t="inlineStr">
        <is>
          <t>检验TC'23“预取错误不改架构状态”的边界</t>
        </is>
      </c>
      <c r="O210" s="22" t="inlineStr">
        <is>
          <t>TC'23排除理由；MICRO'24预取buffer结果作不同模型对照</t>
        </is>
      </c>
      <c r="P210" s="23" t="n"/>
      <c r="Q210" s="23" t="n"/>
      <c r="R210" s="23" t="n"/>
      <c r="S210" s="23" t="n"/>
      <c r="T210" s="23" t="n"/>
      <c r="U210" s="23" t="n"/>
      <c r="V210" s="23" t="n"/>
      <c r="W210" s="23" t="n"/>
      <c r="X210" s="35">
        <f>IF(OR(R210="",R210-AP210&lt;=0),"",AB210/(R210-AP210))</f>
        <v/>
      </c>
      <c r="Y210" s="35">
        <f>IF(OR(AR210="",AR210=0),"",R210/AR210)</f>
        <v/>
      </c>
      <c r="Z210" s="24" t="inlineStr">
        <is>
          <t>待执行</t>
        </is>
      </c>
      <c r="AA210" s="23" t="n"/>
      <c r="AB210" s="38" t="n"/>
      <c r="AC210" s="38" t="n"/>
      <c r="AD210" s="38" t="n"/>
      <c r="AE210" s="38" t="n"/>
      <c r="AF210" s="38" t="n"/>
      <c r="AG210" s="38" t="n"/>
      <c r="AH210" s="38" t="n"/>
      <c r="AI210" s="38" t="n"/>
      <c r="AJ210" s="38" t="n"/>
      <c r="AK210" s="39" t="n"/>
      <c r="AL210" s="40">
        <f>IF(OR(R210="",R210-AP210&lt;=0),"",AO210/(R210-AP210))</f>
        <v/>
      </c>
      <c r="AM210" s="41">
        <f>IF(R210="","",SUM(AC210:AF210)-(R210-AP210))</f>
        <v/>
      </c>
      <c r="AN210" s="41">
        <f>IF(R210="","",SUM(S210:W210)+AP210-R210)</f>
        <v/>
      </c>
      <c r="AO210" s="44" t="n"/>
      <c r="AP210" s="45" t="n"/>
      <c r="AQ210" s="47" t="inlineStr">
        <is>
          <t>P01-a prefetch PC tag单bit；P01-b stride单bit</t>
        </is>
      </c>
      <c r="AR210" s="23" t="n"/>
      <c r="AS210" s="35">
        <f>IF(OR(Q210="",Q210=0),"",AR210/Q210)</f>
        <v/>
      </c>
      <c r="AT210" s="62" t="n">
        <v>30</v>
      </c>
      <c r="AU210" s="62" t="n">
        <v>385</v>
      </c>
      <c r="AV210" s="62" t="inlineStr">
        <is>
          <t>常规</t>
        </is>
      </c>
      <c r="AW210" s="62" t="inlineStr">
        <is>
          <t>累计至少385，不机械扩展到2401</t>
        </is>
      </c>
    </row>
    <row r="211" ht="94.15000000000001" customHeight="1" s="58">
      <c r="A211" s="21" t="inlineStr">
        <is>
          <t>P01-F2-W8</t>
        </is>
      </c>
      <c r="B211" s="21" t="inlineStr">
        <is>
          <t>P01</t>
        </is>
      </c>
      <c r="C211" s="21" t="inlineStr">
        <is>
          <t>数据预取器</t>
        </is>
      </c>
      <c r="D211" s="22" t="inlineStr">
        <is>
          <t>Stride prefetcher 的 PC/PHT tag 与 stride 历史字段。PC/tag 用于识别哪条 load 的历史，stride 记录相邻访问地址差；错误通常生成错误预取地址，但原则上不应直接改变需求 load 的架构结果。</t>
        </is>
      </c>
      <c r="E211" s="22" t="inlineStr">
        <is>
          <t>单比特翻转</t>
        </is>
      </c>
      <c r="F211"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11" s="22" t="inlineStr">
        <is>
          <t>F2</t>
        </is>
      </c>
      <c r="H211" s="22" t="inlineStr">
        <is>
          <t>平均每 100,000 个 eligible events 注入 1 次，间隔加入 ±50% 抖动</t>
        </is>
      </c>
      <c r="I211" s="22" t="inlineStr">
        <is>
          <t>Prefetch-Stride 预取探针（正/负/交错 stride、pointer chase、跨页 stride、训练后变步长）</t>
        </is>
      </c>
      <c r="J211" s="22" t="inlineStr">
        <is>
          <t>Prefetch-Stride 预取探针（正/负/交错 stride、pointer chase、跨页 stride、训练后变步长）
执行定义与 oracle：正/负/交错 stride、随机 pointer chase、跨页 stride、训练后变步长、需求/预取竞争</t>
        </is>
      </c>
      <c r="K211" s="22" t="inlineStr">
        <is>
          <t>预取器已有训练项</t>
        </is>
      </c>
      <c r="L211" s="22" t="inlineStr">
        <is>
          <t>L0 训练项/请求是否消费；L1 PC/stride/confidence/queue；L2预取地址、issued/useful/late/useless；L3填充way、驱逐对象、需求合并；L4架构结果；L5结局与性能偏差；issued/useful/late/useless、覆盖率、MPKI、输出</t>
        </is>
      </c>
      <c r="M211" s="22" t="inlineStr">
        <is>
          <t>通常只改命中率/带宽；若错误请求仍合法，不应改变架构结果，是负对照</t>
        </is>
      </c>
      <c r="N211" s="22" t="inlineStr">
        <is>
          <t>检验TC'23“预取错误不改架构状态”的边界</t>
        </is>
      </c>
      <c r="O211" s="22" t="inlineStr">
        <is>
          <t>TC'23排除理由；MICRO'24预取buffer结果作不同模型对照</t>
        </is>
      </c>
      <c r="P211" s="23" t="n"/>
      <c r="Q211" s="23" t="n"/>
      <c r="R211" s="23" t="n"/>
      <c r="S211" s="23" t="n"/>
      <c r="T211" s="23" t="n"/>
      <c r="U211" s="23" t="n"/>
      <c r="V211" s="23" t="n"/>
      <c r="W211" s="23" t="n"/>
      <c r="X211" s="35">
        <f>IF(OR(R211="",R211-AP211&lt;=0),"",AB211/(R211-AP211))</f>
        <v/>
      </c>
      <c r="Y211" s="35">
        <f>IF(OR(AR211="",AR211=0),"",R211/AR211)</f>
        <v/>
      </c>
      <c r="Z211" s="24" t="inlineStr">
        <is>
          <t>待执行</t>
        </is>
      </c>
      <c r="AA211" s="23" t="n"/>
      <c r="AB211" s="38" t="n"/>
      <c r="AC211" s="38" t="n"/>
      <c r="AD211" s="38" t="n"/>
      <c r="AE211" s="38" t="n"/>
      <c r="AF211" s="38" t="n"/>
      <c r="AG211" s="38" t="n"/>
      <c r="AH211" s="38" t="n"/>
      <c r="AI211" s="38" t="n"/>
      <c r="AJ211" s="38" t="n"/>
      <c r="AK211" s="39" t="n"/>
      <c r="AL211" s="40">
        <f>IF(OR(R211="",R211-AP211&lt;=0),"",AO211/(R211-AP211))</f>
        <v/>
      </c>
      <c r="AM211" s="41">
        <f>IF(R211="","",SUM(AC211:AF211)-(R211-AP211))</f>
        <v/>
      </c>
      <c r="AN211" s="41">
        <f>IF(R211="","",SUM(S211:W211)+AP211-R211)</f>
        <v/>
      </c>
      <c r="AO211" s="44" t="n"/>
      <c r="AP211" s="45" t="n"/>
      <c r="AQ211" s="47" t="inlineStr">
        <is>
          <t>P01-a prefetch PC tag单bit；P01-b stride单bit</t>
        </is>
      </c>
      <c r="AR211" s="23" t="n"/>
      <c r="AS211" s="35">
        <f>IF(OR(Q211="",Q211=0),"",AR211/Q211)</f>
        <v/>
      </c>
      <c r="AT211" s="62" t="n">
        <v>30</v>
      </c>
      <c r="AU211" s="62" t="n">
        <v>385</v>
      </c>
      <c r="AV211" s="62" t="inlineStr">
        <is>
          <t>常规</t>
        </is>
      </c>
      <c r="AW211" s="62" t="inlineStr">
        <is>
          <t>累计至少385，不机械扩展到2401</t>
        </is>
      </c>
    </row>
    <row r="212" ht="94.15000000000001" customHeight="1" s="58">
      <c r="A212" s="21" t="inlineStr">
        <is>
          <t>P02-F0-W8</t>
        </is>
      </c>
      <c r="B212" s="21" t="inlineStr">
        <is>
          <t>P02</t>
        </is>
      </c>
      <c r="C212" s="21" t="inlineStr">
        <is>
          <t>数据预取器</t>
        </is>
      </c>
      <c r="D212" s="22" t="inlineStr">
        <is>
          <t>预取器的 confidence、degree、distance 与 throttle 控制。confidence 决定模式是否可信，degree 是一次发出多少条预取，distance 是提前多远，throttle 限制带宽；这些字段通常只改变性能和污染。</t>
        </is>
      </c>
      <c r="E212" s="22" t="inlineStr">
        <is>
          <t>状态</t>
        </is>
      </c>
      <c r="F212"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2" s="22" t="inlineStr">
        <is>
          <t>F0</t>
        </is>
      </c>
      <c r="H212" s="22" t="inlineStr">
        <is>
          <t>每次运行只注入 1 次；在 warm-up 后的 eligible event 中均匀抽样</t>
        </is>
      </c>
      <c r="I212" s="22" t="inlineStr">
        <is>
          <t>Prefetch-Stride 预取探针（正/负/交错 stride、pointer chase、跨页 stride、训练后变步长）</t>
        </is>
      </c>
      <c r="J212" s="22" t="inlineStr">
        <is>
          <t>Prefetch-Stride 预取探针（正/负/交错 stride、pointer chase、跨页 stride、训练后变步长）
执行定义与 oracle：正/负/交错 stride、随机 pointer chase、跨页 stride、训练后变步长、需求/预取竞争</t>
        </is>
      </c>
      <c r="K212" s="22" t="inlineStr">
        <is>
          <t>稳定stride训练后</t>
        </is>
      </c>
      <c r="L212" s="22" t="inlineStr">
        <is>
          <t>L0 训练项/请求是否消费；L1 PC/stride/confidence/queue；L2预取地址、issued/useful/late/useless；L3填充way、驱逐对象、需求合并；L4架构结果；L5结局与性能偏差；预取数量、带宽、污染率、IPC、最终输出</t>
        </is>
      </c>
      <c r="M212" s="22" t="inlineStr">
        <is>
          <t>预期仅性能/能耗/带宽变化，SDC应为0；作为方法学负对照</t>
        </is>
      </c>
      <c r="N212" s="22" t="inlineStr">
        <is>
          <t>若此行出现SDC，优先检查注入器是否污染fill数据/元数据</t>
        </is>
      </c>
      <c r="O212" s="22" t="inlineStr">
        <is>
          <t>负对照</t>
        </is>
      </c>
      <c r="P212" s="23" t="n"/>
      <c r="Q212" s="23" t="n"/>
      <c r="R212" s="23" t="n"/>
      <c r="S212" s="23" t="n"/>
      <c r="T212" s="23" t="n"/>
      <c r="U212" s="23" t="n"/>
      <c r="V212" s="23" t="n"/>
      <c r="W212" s="23" t="n"/>
      <c r="X212" s="35">
        <f>IF(OR(R212="",R212-AP212&lt;=0),"",AB212/(R212-AP212))</f>
        <v/>
      </c>
      <c r="Y212" s="35">
        <f>IF(OR(AR212="",AR212=0),"",R212/AR212)</f>
        <v/>
      </c>
      <c r="Z212" s="24" t="inlineStr">
        <is>
          <t>待执行</t>
        </is>
      </c>
      <c r="AA212" s="23" t="n"/>
      <c r="AB212" s="38" t="n"/>
      <c r="AC212" s="38" t="n"/>
      <c r="AD212" s="38" t="n"/>
      <c r="AE212" s="38" t="n"/>
      <c r="AF212" s="38" t="n"/>
      <c r="AG212" s="38" t="n"/>
      <c r="AH212" s="38" t="n"/>
      <c r="AI212" s="38" t="n"/>
      <c r="AJ212" s="38" t="n"/>
      <c r="AK212" s="39" t="n"/>
      <c r="AL212" s="40">
        <f>IF(OR(R212="",R212-AP212&lt;=0),"",AO212/(R212-AP212))</f>
        <v/>
      </c>
      <c r="AM212" s="41">
        <f>IF(R212="","",SUM(AC212:AF212)-(R212-AP212))</f>
        <v/>
      </c>
      <c r="AN212" s="41">
        <f>IF(R212="","",SUM(S212:W212)+AP212-R212)</f>
        <v/>
      </c>
      <c r="AO212" s="44" t="n"/>
      <c r="AP212" s="45" t="n"/>
      <c r="AQ212" s="47" t="inlineStr">
        <is>
          <t>P02-a confidence错误；P02-b degree错误；P02-c distance错误；P02-d throttle状态错误</t>
        </is>
      </c>
      <c r="AR212" s="23" t="n"/>
      <c r="AS212" s="35">
        <f>IF(OR(Q212="",Q212=0),"",AR212/Q212)</f>
        <v/>
      </c>
      <c r="AT212" s="62" t="n">
        <v>30</v>
      </c>
      <c r="AU212" s="62" t="n">
        <v>385</v>
      </c>
      <c r="AV212" s="62" t="inlineStr">
        <is>
          <t>常规</t>
        </is>
      </c>
      <c r="AW212" s="62" t="inlineStr">
        <is>
          <t>累计至少385，不机械扩展到2401</t>
        </is>
      </c>
    </row>
    <row r="213" ht="94.15000000000001" customHeight="1" s="58">
      <c r="A213" s="21" t="inlineStr">
        <is>
          <t>P02-F0-W10</t>
        </is>
      </c>
      <c r="B213" s="21" t="inlineStr">
        <is>
          <t>P02</t>
        </is>
      </c>
      <c r="C213" s="21" t="inlineStr">
        <is>
          <t>数据预取器</t>
        </is>
      </c>
      <c r="D213" s="22" t="inlineStr">
        <is>
          <t>预取器的 confidence、degree、distance 与 throttle 控制。confidence 决定模式是否可信，degree 是一次发出多少条预取，distance 是提前多远，throttle 限制带宽；这些字段通常只改变性能和污染。</t>
        </is>
      </c>
      <c r="E213" s="22" t="inlineStr">
        <is>
          <t>状态</t>
        </is>
      </c>
      <c r="F213"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3" s="22" t="inlineStr">
        <is>
          <t>F0</t>
        </is>
      </c>
      <c r="H213" s="22" t="inlineStr">
        <is>
          <t>每次运行只注入 1 次；在 warm-up 后的 eligible event 中均匀抽样</t>
        </is>
      </c>
      <c r="I213" s="22" t="inlineStr">
        <is>
          <t>STREAM+PointerChase（Copy、Scale、Add、Triad 与随机指针链）</t>
        </is>
      </c>
      <c r="J213" s="22" t="inlineStr">
        <is>
          <t>STREAM+PointerChase（Copy、Scale、Add、Triad 与随机指针链）
执行定义与 oracle：STREAM Copy/Scale/Add/Triad 加随机 pointer chase；检查数组 hash 与遍历节点数</t>
        </is>
      </c>
      <c r="K213" s="22" t="inlineStr">
        <is>
          <t>稳定stride训练后</t>
        </is>
      </c>
      <c r="L213" s="22" t="inlineStr">
        <is>
          <t>L0 训练项/请求是否消费；L1 PC/stride/confidence/queue；L2预取地址、issued/useful/late/useless；L3填充way、驱逐对象、需求合并；L4架构结果；L5结局与性能偏差；预取数量、带宽、污染率、IPC、最终输出</t>
        </is>
      </c>
      <c r="M213" s="22" t="inlineStr">
        <is>
          <t>预期仅性能/能耗/带宽变化，SDC应为0；作为方法学负对照</t>
        </is>
      </c>
      <c r="N213" s="22" t="inlineStr">
        <is>
          <t>若此行出现SDC，优先检查注入器是否污染fill数据/元数据</t>
        </is>
      </c>
      <c r="O213" s="22" t="inlineStr">
        <is>
          <t>负对照</t>
        </is>
      </c>
      <c r="P213" s="23" t="n"/>
      <c r="Q213" s="23" t="n"/>
      <c r="R213" s="23" t="n"/>
      <c r="S213" s="23" t="n"/>
      <c r="T213" s="23" t="n"/>
      <c r="U213" s="23" t="n"/>
      <c r="V213" s="23" t="n"/>
      <c r="W213" s="23" t="n"/>
      <c r="X213" s="35">
        <f>IF(OR(R213="",R213-AP213&lt;=0),"",AB213/(R213-AP213))</f>
        <v/>
      </c>
      <c r="Y213" s="35">
        <f>IF(OR(AR213="",AR213=0),"",R213/AR213)</f>
        <v/>
      </c>
      <c r="Z213" s="24" t="inlineStr">
        <is>
          <t>待执行</t>
        </is>
      </c>
      <c r="AA213" s="23" t="n"/>
      <c r="AB213" s="38" t="n"/>
      <c r="AC213" s="38" t="n"/>
      <c r="AD213" s="38" t="n"/>
      <c r="AE213" s="38" t="n"/>
      <c r="AF213" s="38" t="n"/>
      <c r="AG213" s="38" t="n"/>
      <c r="AH213" s="38" t="n"/>
      <c r="AI213" s="38" t="n"/>
      <c r="AJ213" s="38" t="n"/>
      <c r="AK213" s="39" t="n"/>
      <c r="AL213" s="40">
        <f>IF(OR(R213="",R213-AP213&lt;=0),"",AO213/(R213-AP213))</f>
        <v/>
      </c>
      <c r="AM213" s="41">
        <f>IF(R213="","",SUM(AC213:AF213)-(R213-AP213))</f>
        <v/>
      </c>
      <c r="AN213" s="41">
        <f>IF(R213="","",SUM(S213:W213)+AP213-R213)</f>
        <v/>
      </c>
      <c r="AO213" s="44" t="n"/>
      <c r="AP213" s="45" t="n"/>
      <c r="AQ213" s="47" t="inlineStr">
        <is>
          <t>P02-a confidence错误；P02-b degree错误；P02-c distance错误；P02-d throttle状态错误</t>
        </is>
      </c>
      <c r="AR213" s="23" t="n"/>
      <c r="AS213" s="35">
        <f>IF(OR(Q213="",Q213=0),"",AR213/Q213)</f>
        <v/>
      </c>
      <c r="AT213" s="62" t="n">
        <v>30</v>
      </c>
      <c r="AU213" s="62" t="n">
        <v>385</v>
      </c>
      <c r="AV213" s="62" t="inlineStr">
        <is>
          <t>常规</t>
        </is>
      </c>
      <c r="AW213" s="62" t="inlineStr">
        <is>
          <t>累计至少385，不机械扩展到2401</t>
        </is>
      </c>
    </row>
    <row r="214" ht="94.15000000000001" customHeight="1" s="58">
      <c r="A214" s="21" t="inlineStr">
        <is>
          <t>P02-F3-W8</t>
        </is>
      </c>
      <c r="B214" s="21" t="inlineStr">
        <is>
          <t>P02</t>
        </is>
      </c>
      <c r="C214" s="21" t="inlineStr">
        <is>
          <t>数据预取器</t>
        </is>
      </c>
      <c r="D214" s="22" t="inlineStr">
        <is>
          <t>预取器的 confidence、degree、distance 与 throttle 控制。confidence 决定模式是否可信，degree 是一次发出多少条预取，distance 是提前多远，throttle 限制带宽；这些字段通常只改变性能和污染。</t>
        </is>
      </c>
      <c r="E214" s="22" t="inlineStr">
        <is>
          <t>状态</t>
        </is>
      </c>
      <c r="F214"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4" s="22" t="inlineStr">
        <is>
          <t>F3</t>
        </is>
      </c>
      <c r="H214" s="22" t="inlineStr">
        <is>
          <t>平均每 10,000 个 eligible events 注入 1 次，间隔加入 ±50% 抖动</t>
        </is>
      </c>
      <c r="I214" s="22" t="inlineStr">
        <is>
          <t>Prefetch-Stride 预取探针（正/负/交错 stride、pointer chase、跨页 stride、训练后变步长）</t>
        </is>
      </c>
      <c r="J214" s="22" t="inlineStr">
        <is>
          <t>Prefetch-Stride 预取探针（正/负/交错 stride、pointer chase、跨页 stride、训练后变步长）
执行定义与 oracle：正/负/交错 stride、随机 pointer chase、跨页 stride、训练后变步长、需求/预取竞争</t>
        </is>
      </c>
      <c r="K214" s="22" t="inlineStr">
        <is>
          <t>稳定stride训练后</t>
        </is>
      </c>
      <c r="L214" s="22" t="inlineStr">
        <is>
          <t>L0 训练项/请求是否消费；L1 PC/stride/confidence/queue；L2预取地址、issued/useful/late/useless；L3填充way、驱逐对象、需求合并；L4架构结果；L5结局与性能偏差；预取数量、带宽、污染率、IPC、最终输出</t>
        </is>
      </c>
      <c r="M214" s="22" t="inlineStr">
        <is>
          <t>预期仅性能/能耗/带宽变化，SDC应为0；作为方法学负对照</t>
        </is>
      </c>
      <c r="N214" s="22" t="inlineStr">
        <is>
          <t>若此行出现SDC，优先检查注入器是否污染fill数据/元数据</t>
        </is>
      </c>
      <c r="O214" s="22" t="inlineStr">
        <is>
          <t>负对照</t>
        </is>
      </c>
      <c r="P214" s="23" t="n"/>
      <c r="Q214" s="23" t="n"/>
      <c r="R214" s="23" t="n"/>
      <c r="S214" s="23" t="n"/>
      <c r="T214" s="23" t="n"/>
      <c r="U214" s="23" t="n"/>
      <c r="V214" s="23" t="n"/>
      <c r="W214" s="23" t="n"/>
      <c r="X214" s="35">
        <f>IF(OR(R214="",R214-AP214&lt;=0),"",AB214/(R214-AP214))</f>
        <v/>
      </c>
      <c r="Y214" s="35">
        <f>IF(OR(AR214="",AR214=0),"",R214/AR214)</f>
        <v/>
      </c>
      <c r="Z214" s="24" t="inlineStr">
        <is>
          <t>待执行</t>
        </is>
      </c>
      <c r="AA214" s="23" t="n"/>
      <c r="AB214" s="38" t="n"/>
      <c r="AC214" s="38" t="n"/>
      <c r="AD214" s="38" t="n"/>
      <c r="AE214" s="38" t="n"/>
      <c r="AF214" s="38" t="n"/>
      <c r="AG214" s="38" t="n"/>
      <c r="AH214" s="38" t="n"/>
      <c r="AI214" s="38" t="n"/>
      <c r="AJ214" s="38" t="n"/>
      <c r="AK214" s="39" t="n"/>
      <c r="AL214" s="40">
        <f>IF(OR(R214="",R214-AP214&lt;=0),"",AO214/(R214-AP214))</f>
        <v/>
      </c>
      <c r="AM214" s="41">
        <f>IF(R214="","",SUM(AC214:AF214)-(R214-AP214))</f>
        <v/>
      </c>
      <c r="AN214" s="41">
        <f>IF(R214="","",SUM(S214:W214)+AP214-R214)</f>
        <v/>
      </c>
      <c r="AO214" s="44" t="n"/>
      <c r="AP214" s="45" t="n"/>
      <c r="AQ214" s="47" t="inlineStr">
        <is>
          <t>P02-a confidence错误；P02-b degree错误；P02-c distance错误；P02-d throttle状态错误</t>
        </is>
      </c>
      <c r="AR214" s="23" t="n"/>
      <c r="AS214" s="35">
        <f>IF(OR(Q214="",Q214=0),"",AR214/Q214)</f>
        <v/>
      </c>
      <c r="AT214" s="62" t="n">
        <v>30</v>
      </c>
      <c r="AU214" s="62" t="n">
        <v>385</v>
      </c>
      <c r="AV214" s="62" t="inlineStr">
        <is>
          <t>常规</t>
        </is>
      </c>
      <c r="AW214" s="62" t="inlineStr">
        <is>
          <t>累计至少385，不机械扩展到2401</t>
        </is>
      </c>
    </row>
    <row r="215" ht="94.15000000000001" customHeight="1" s="58">
      <c r="A215" s="21" t="inlineStr">
        <is>
          <t>P02-F3-W10</t>
        </is>
      </c>
      <c r="B215" s="21" t="inlineStr">
        <is>
          <t>P02</t>
        </is>
      </c>
      <c r="C215" s="21" t="inlineStr">
        <is>
          <t>数据预取器</t>
        </is>
      </c>
      <c r="D215" s="22" t="inlineStr">
        <is>
          <t>预取器的 confidence、degree、distance 与 throttle 控制。confidence 决定模式是否可信，degree 是一次发出多少条预取，distance 是提前多远，throttle 限制带宽；这些字段通常只改变性能和污染。</t>
        </is>
      </c>
      <c r="E215" s="22" t="inlineStr">
        <is>
          <t>状态</t>
        </is>
      </c>
      <c r="F215"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5" s="22" t="inlineStr">
        <is>
          <t>F3</t>
        </is>
      </c>
      <c r="H215" s="22" t="inlineStr">
        <is>
          <t>平均每 10,000 个 eligible events 注入 1 次，间隔加入 ±50% 抖动</t>
        </is>
      </c>
      <c r="I215" s="22" t="inlineStr">
        <is>
          <t>STREAM+PointerChase（Copy、Scale、Add、Triad 与随机指针链）</t>
        </is>
      </c>
      <c r="J215" s="22" t="inlineStr">
        <is>
          <t>STREAM+PointerChase（Copy、Scale、Add、Triad 与随机指针链）
执行定义与 oracle：STREAM Copy/Scale/Add/Triad 加随机 pointer chase；检查数组 hash 与遍历节点数</t>
        </is>
      </c>
      <c r="K215" s="22" t="inlineStr">
        <is>
          <t>稳定stride训练后</t>
        </is>
      </c>
      <c r="L215" s="22" t="inlineStr">
        <is>
          <t>L0 训练项/请求是否消费；L1 PC/stride/confidence/queue；L2预取地址、issued/useful/late/useless；L3填充way、驱逐对象、需求合并；L4架构结果；L5结局与性能偏差；预取数量、带宽、污染率、IPC、最终输出</t>
        </is>
      </c>
      <c r="M215" s="22" t="inlineStr">
        <is>
          <t>预期仅性能/能耗/带宽变化，SDC应为0；作为方法学负对照</t>
        </is>
      </c>
      <c r="N215" s="22" t="inlineStr">
        <is>
          <t>若此行出现SDC，优先检查注入器是否污染fill数据/元数据</t>
        </is>
      </c>
      <c r="O215" s="22" t="inlineStr">
        <is>
          <t>负对照</t>
        </is>
      </c>
      <c r="P215" s="23" t="n"/>
      <c r="Q215" s="23" t="n"/>
      <c r="R215" s="23" t="n"/>
      <c r="S215" s="23" t="n"/>
      <c r="T215" s="23" t="n"/>
      <c r="U215" s="23" t="n"/>
      <c r="V215" s="23" t="n"/>
      <c r="W215" s="23" t="n"/>
      <c r="X215" s="35">
        <f>IF(OR(R215="",R215-AP215&lt;=0),"",AB215/(R215-AP215))</f>
        <v/>
      </c>
      <c r="Y215" s="35">
        <f>IF(OR(AR215="",AR215=0),"",R215/AR215)</f>
        <v/>
      </c>
      <c r="Z215" s="24" t="inlineStr">
        <is>
          <t>待执行</t>
        </is>
      </c>
      <c r="AA215" s="23" t="n"/>
      <c r="AB215" s="38" t="n"/>
      <c r="AC215" s="38" t="n"/>
      <c r="AD215" s="38" t="n"/>
      <c r="AE215" s="38" t="n"/>
      <c r="AF215" s="38" t="n"/>
      <c r="AG215" s="38" t="n"/>
      <c r="AH215" s="38" t="n"/>
      <c r="AI215" s="38" t="n"/>
      <c r="AJ215" s="38" t="n"/>
      <c r="AK215" s="39" t="n"/>
      <c r="AL215" s="40">
        <f>IF(OR(R215="",R215-AP215&lt;=0),"",AO215/(R215-AP215))</f>
        <v/>
      </c>
      <c r="AM215" s="41">
        <f>IF(R215="","",SUM(AC215:AF215)-(R215-AP215))</f>
        <v/>
      </c>
      <c r="AN215" s="41">
        <f>IF(R215="","",SUM(S215:W215)+AP215-R215)</f>
        <v/>
      </c>
      <c r="AO215" s="44" t="n"/>
      <c r="AP215" s="45" t="n"/>
      <c r="AQ215" s="47" t="inlineStr">
        <is>
          <t>P02-a confidence错误；P02-b degree错误；P02-c distance错误；P02-d throttle状态错误</t>
        </is>
      </c>
      <c r="AR215" s="23" t="n"/>
      <c r="AS215" s="35">
        <f>IF(OR(Q215="",Q215=0),"",AR215/Q215)</f>
        <v/>
      </c>
      <c r="AT215" s="62" t="n">
        <v>30</v>
      </c>
      <c r="AU215" s="62" t="n">
        <v>385</v>
      </c>
      <c r="AV215" s="62" t="inlineStr">
        <is>
          <t>常规</t>
        </is>
      </c>
      <c r="AW215" s="62" t="inlineStr">
        <is>
          <t>累计至少385，不机械扩展到2401</t>
        </is>
      </c>
    </row>
    <row r="216" ht="94.15000000000001" customHeight="1" s="58">
      <c r="A216" s="21" t="inlineStr">
        <is>
          <t>P02-F5-W8</t>
        </is>
      </c>
      <c r="B216" s="21" t="inlineStr">
        <is>
          <t>P02</t>
        </is>
      </c>
      <c r="C216" s="21" t="inlineStr">
        <is>
          <t>数据预取器</t>
        </is>
      </c>
      <c r="D216" s="22" t="inlineStr">
        <is>
          <t>预取器的 confidence、degree、distance 与 throttle 控制。confidence 决定模式是否可信，degree 是一次发出多少条预取，distance 是提前多远，throttle 限制带宽；这些字段通常只改变性能和污染。</t>
        </is>
      </c>
      <c r="E216" s="22" t="inlineStr">
        <is>
          <t>状态</t>
        </is>
      </c>
      <c r="F216"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6" s="22" t="inlineStr">
        <is>
          <t>F5</t>
        </is>
      </c>
      <c r="H216" s="22" t="inlineStr">
        <is>
          <t>warm-up 后第一个 eligible event 起持续到运行结束；每次运行仅选一个 bit/字段</t>
        </is>
      </c>
      <c r="I216" s="22" t="inlineStr">
        <is>
          <t>Prefetch-Stride 预取探针（正/负/交错 stride、pointer chase、跨页 stride、训练后变步长）</t>
        </is>
      </c>
      <c r="J216" s="22" t="inlineStr">
        <is>
          <t>Prefetch-Stride 预取探针（正/负/交错 stride、pointer chase、跨页 stride、训练后变步长）
执行定义与 oracle：正/负/交错 stride、随机 pointer chase、跨页 stride、训练后变步长、需求/预取竞争</t>
        </is>
      </c>
      <c r="K216" s="22" t="inlineStr">
        <is>
          <t>稳定stride训练后</t>
        </is>
      </c>
      <c r="L216" s="22" t="inlineStr">
        <is>
          <t>L0 训练项/请求是否消费；L1 PC/stride/confidence/queue；L2预取地址、issued/useful/late/useless；L3填充way、驱逐对象、需求合并；L4架构结果；L5结局与性能偏差；预取数量、带宽、污染率、IPC、最终输出</t>
        </is>
      </c>
      <c r="M216" s="22" t="inlineStr">
        <is>
          <t>预期仅性能/能耗/带宽变化，SDC应为0；作为方法学负对照</t>
        </is>
      </c>
      <c r="N216" s="22" t="inlineStr">
        <is>
          <t>若此行出现SDC，优先检查注入器是否污染fill数据/元数据</t>
        </is>
      </c>
      <c r="O216" s="22" t="inlineStr">
        <is>
          <t>负对照</t>
        </is>
      </c>
      <c r="P216" s="23" t="n"/>
      <c r="Q216" s="23" t="n"/>
      <c r="R216" s="23" t="n"/>
      <c r="S216" s="23" t="n"/>
      <c r="T216" s="23" t="n"/>
      <c r="U216" s="23" t="n"/>
      <c r="V216" s="23" t="n"/>
      <c r="W216" s="23" t="n"/>
      <c r="X216" s="35">
        <f>IF(OR(R216="",R216-AP216&lt;=0),"",AB216/(R216-AP216))</f>
        <v/>
      </c>
      <c r="Y216" s="35">
        <f>IF(OR(AR216="",AR216=0),"",R216/AR216)</f>
        <v/>
      </c>
      <c r="Z216" s="24" t="inlineStr">
        <is>
          <t>待执行</t>
        </is>
      </c>
      <c r="AA216" s="23" t="n"/>
      <c r="AB216" s="38" t="n"/>
      <c r="AC216" s="38" t="n"/>
      <c r="AD216" s="38" t="n"/>
      <c r="AE216" s="38" t="n"/>
      <c r="AF216" s="38" t="n"/>
      <c r="AG216" s="38" t="n"/>
      <c r="AH216" s="38" t="n"/>
      <c r="AI216" s="38" t="n"/>
      <c r="AJ216" s="38" t="n"/>
      <c r="AK216" s="39" t="n"/>
      <c r="AL216" s="40">
        <f>IF(OR(R216="",R216-AP216&lt;=0),"",AO216/(R216-AP216))</f>
        <v/>
      </c>
      <c r="AM216" s="41">
        <f>IF(R216="","",SUM(AC216:AF216)-(R216-AP216))</f>
        <v/>
      </c>
      <c r="AN216" s="41">
        <f>IF(R216="","",SUM(S216:W216)+AP216-R216)</f>
        <v/>
      </c>
      <c r="AO216" s="44" t="n"/>
      <c r="AP216" s="45" t="n"/>
      <c r="AQ216" s="47" t="inlineStr">
        <is>
          <t>P02-a confidence错误；P02-b degree错误；P02-c distance错误；P02-d throttle状态错误</t>
        </is>
      </c>
      <c r="AR216" s="23" t="n"/>
      <c r="AS216" s="35">
        <f>IF(OR(Q216="",Q216=0),"",AR216/Q216)</f>
        <v/>
      </c>
      <c r="AT216" s="62" t="n">
        <v>30</v>
      </c>
      <c r="AU216" s="62" t="n">
        <v>385</v>
      </c>
      <c r="AV216" s="62" t="inlineStr">
        <is>
          <t>常规</t>
        </is>
      </c>
      <c r="AW216" s="62" t="inlineStr">
        <is>
          <t>累计至少385，不机械扩展到2401</t>
        </is>
      </c>
    </row>
    <row r="217" ht="94.15000000000001" customHeight="1" s="58">
      <c r="A217" s="21" t="inlineStr">
        <is>
          <t>P02-F5-W10</t>
        </is>
      </c>
      <c r="B217" s="21" t="inlineStr">
        <is>
          <t>P02</t>
        </is>
      </c>
      <c r="C217" s="21" t="inlineStr">
        <is>
          <t>数据预取器</t>
        </is>
      </c>
      <c r="D217" s="22" t="inlineStr">
        <is>
          <t>预取器的 confidence、degree、distance 与 throttle 控制。confidence 决定模式是否可信，degree 是一次发出多少条预取，distance 是提前多远，throttle 限制带宽；这些字段通常只改变性能和污染。</t>
        </is>
      </c>
      <c r="E217" s="22" t="inlineStr">
        <is>
          <t>状态</t>
        </is>
      </c>
      <c r="F217"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7" s="22" t="inlineStr">
        <is>
          <t>F5</t>
        </is>
      </c>
      <c r="H217" s="22" t="inlineStr">
        <is>
          <t>warm-up 后第一个 eligible event 起持续到运行结束；每次运行仅选一个 bit/字段</t>
        </is>
      </c>
      <c r="I217" s="22" t="inlineStr">
        <is>
          <t>STREAM+PointerChase（Copy、Scale、Add、Triad 与随机指针链）</t>
        </is>
      </c>
      <c r="J217" s="22" t="inlineStr">
        <is>
          <t>STREAM+PointerChase（Copy、Scale、Add、Triad 与随机指针链）
执行定义与 oracle：STREAM Copy/Scale/Add/Triad 加随机 pointer chase；检查数组 hash 与遍历节点数</t>
        </is>
      </c>
      <c r="K217" s="22" t="inlineStr">
        <is>
          <t>稳定stride训练后</t>
        </is>
      </c>
      <c r="L217" s="22" t="inlineStr">
        <is>
          <t>L0 训练项/请求是否消费；L1 PC/stride/confidence/queue；L2预取地址、issued/useful/late/useless；L3填充way、驱逐对象、需求合并；L4架构结果；L5结局与性能偏差；预取数量、带宽、污染率、IPC、最终输出</t>
        </is>
      </c>
      <c r="M217" s="22" t="inlineStr">
        <is>
          <t>预期仅性能/能耗/带宽变化，SDC应为0；作为方法学负对照</t>
        </is>
      </c>
      <c r="N217" s="22" t="inlineStr">
        <is>
          <t>若此行出现SDC，优先检查注入器是否污染fill数据/元数据</t>
        </is>
      </c>
      <c r="O217" s="22" t="inlineStr">
        <is>
          <t>负对照</t>
        </is>
      </c>
      <c r="P217" s="23" t="n"/>
      <c r="Q217" s="23" t="n"/>
      <c r="R217" s="23" t="n"/>
      <c r="S217" s="23" t="n"/>
      <c r="T217" s="23" t="n"/>
      <c r="U217" s="23" t="n"/>
      <c r="V217" s="23" t="n"/>
      <c r="W217" s="23" t="n"/>
      <c r="X217" s="35">
        <f>IF(OR(R217="",R217-AP217&lt;=0),"",AB217/(R217-AP217))</f>
        <v/>
      </c>
      <c r="Y217" s="35">
        <f>IF(OR(AR217="",AR217=0),"",R217/AR217)</f>
        <v/>
      </c>
      <c r="Z217" s="24" t="inlineStr">
        <is>
          <t>待执行</t>
        </is>
      </c>
      <c r="AA217" s="23" t="n"/>
      <c r="AB217" s="38" t="n"/>
      <c r="AC217" s="38" t="n"/>
      <c r="AD217" s="38" t="n"/>
      <c r="AE217" s="38" t="n"/>
      <c r="AF217" s="38" t="n"/>
      <c r="AG217" s="38" t="n"/>
      <c r="AH217" s="38" t="n"/>
      <c r="AI217" s="38" t="n"/>
      <c r="AJ217" s="38" t="n"/>
      <c r="AK217" s="39" t="n"/>
      <c r="AL217" s="40">
        <f>IF(OR(R217="",R217-AP217&lt;=0),"",AO217/(R217-AP217))</f>
        <v/>
      </c>
      <c r="AM217" s="41">
        <f>IF(R217="","",SUM(AC217:AF217)-(R217-AP217))</f>
        <v/>
      </c>
      <c r="AN217" s="41">
        <f>IF(R217="","",SUM(S217:W217)+AP217-R217)</f>
        <v/>
      </c>
      <c r="AO217" s="44" t="n"/>
      <c r="AP217" s="45" t="n"/>
      <c r="AQ217" s="47" t="inlineStr">
        <is>
          <t>P02-a confidence错误；P02-b degree错误；P02-c distance错误；P02-d throttle状态错误</t>
        </is>
      </c>
      <c r="AR217" s="23" t="n"/>
      <c r="AS217" s="35">
        <f>IF(OR(Q217="",Q217=0),"",AR217/Q217)</f>
        <v/>
      </c>
      <c r="AT217" s="62" t="n">
        <v>30</v>
      </c>
      <c r="AU217" s="62" t="n">
        <v>385</v>
      </c>
      <c r="AV217" s="62" t="inlineStr">
        <is>
          <t>常规</t>
        </is>
      </c>
      <c r="AW217" s="62" t="inlineStr">
        <is>
          <t>累计至少385，不机械扩展到2401</t>
        </is>
      </c>
    </row>
    <row r="218" ht="94.15000000000001" customHeight="1" s="58">
      <c r="A218" s="21" t="inlineStr">
        <is>
          <t>P03-F0-W8</t>
        </is>
      </c>
      <c r="B218" s="21" t="inlineStr">
        <is>
          <t>P03</t>
        </is>
      </c>
      <c r="C218" s="21" t="inlineStr">
        <is>
          <t>数据预取器</t>
        </is>
      </c>
      <c r="D218" s="22" t="inlineStr">
        <is>
          <t>预取器计算出的 target address，即将提交给 cache 层的预取目标。它不是需求 load 的 EA；取错合法地址应只带来无用预取或错误驱逐，因此是检验“预取错误不改结果”的重要负对照。</t>
        </is>
      </c>
      <c r="E218" s="22" t="inlineStr">
        <is>
          <t>换值</t>
        </is>
      </c>
      <c r="F218"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18" s="22" t="inlineStr">
        <is>
          <t>F0</t>
        </is>
      </c>
      <c r="H218" s="22" t="inlineStr">
        <is>
          <t>每次运行只注入 1 次；在 warm-up 后的 eligible event 中均匀抽样</t>
        </is>
      </c>
      <c r="I218" s="22" t="inlineStr">
        <is>
          <t>Prefetch-Stride 预取探针（正/负/交错 stride、pointer chase、跨页 stride、训练后变步长）</t>
        </is>
      </c>
      <c r="J218" s="22" t="inlineStr">
        <is>
          <t>Prefetch-Stride 预取探针（正/负/交错 stride、pointer chase、跨页 stride、训练后变步长）
执行定义与 oracle：正/负/交错 stride、随机 pointer chase、跨页 stride、训练后变步长、需求/预取竞争</t>
        </is>
      </c>
      <c r="K218" s="22" t="inlineStr">
        <is>
          <t>产生预取请求</t>
        </is>
      </c>
      <c r="L218" s="22" t="inlineStr">
        <is>
          <t>L0 训练项/请求是否消费；L1 PC/stride/confidence/queue；L2预取地址、issued/useful/late/useless；L3填充way、驱逐对象、需求合并；L4架构结果；L5结局与性能偏差；请求地址、页边界、是否被用、受害驱逐line</t>
        </is>
      </c>
      <c r="M218" s="22" t="inlineStr">
        <is>
          <t>仅取错地址本应不改架构结果，但会改变驱逐；若最终SDC说明fill/一致性路径有缺陷</t>
        </is>
      </c>
      <c r="N218" s="22" t="inlineStr">
        <is>
          <t>把“预测错误”与“填充控制错误”明确分开</t>
        </is>
      </c>
      <c r="O218" s="22" t="inlineStr">
        <is>
          <t>TC'23排除理由的直接检验</t>
        </is>
      </c>
      <c r="P218" s="23" t="n"/>
      <c r="Q218" s="23" t="n"/>
      <c r="R218" s="23" t="n"/>
      <c r="S218" s="23" t="n"/>
      <c r="T218" s="23" t="n"/>
      <c r="U218" s="23" t="n"/>
      <c r="V218" s="23" t="n"/>
      <c r="W218" s="23" t="n"/>
      <c r="X218" s="35">
        <f>IF(OR(R218="",R218-AP218&lt;=0),"",AB218/(R218-AP218))</f>
        <v/>
      </c>
      <c r="Y218" s="35">
        <f>IF(OR(AR218="",AR218=0),"",R218/AR218)</f>
        <v/>
      </c>
      <c r="Z218" s="24" t="inlineStr">
        <is>
          <t>待执行</t>
        </is>
      </c>
      <c r="AA218" s="23" t="n"/>
      <c r="AB218" s="38" t="n"/>
      <c r="AC218" s="38" t="n"/>
      <c r="AD218" s="38" t="n"/>
      <c r="AE218" s="38" t="n"/>
      <c r="AF218" s="38" t="n"/>
      <c r="AG218" s="38" t="n"/>
      <c r="AH218" s="38" t="n"/>
      <c r="AI218" s="38" t="n"/>
      <c r="AJ218" s="38" t="n"/>
      <c r="AK218" s="39" t="n"/>
      <c r="AL218" s="40">
        <f>IF(OR(R218="",R218-AP218&lt;=0),"",AO218/(R218-AP218))</f>
        <v/>
      </c>
      <c r="AM218" s="41">
        <f>IF(R218="","",SUM(AC218:AF218)-(R218-AP218))</f>
        <v/>
      </c>
      <c r="AN218" s="41">
        <f>IF(R218="","",SUM(S218:W218)+AP218-R218)</f>
        <v/>
      </c>
      <c r="AO218" s="44" t="n"/>
      <c r="AP218" s="45" t="n"/>
      <c r="AQ218" s="47" t="inlineStr">
        <is>
          <t>P03-a 同页prefetch地址替换；P03-b 跨页prefetch地址替换</t>
        </is>
      </c>
      <c r="AR218" s="23" t="n"/>
      <c r="AS218" s="35">
        <f>IF(OR(Q218="",Q218=0),"",AR218/Q218)</f>
        <v/>
      </c>
      <c r="AT218" s="62" t="n">
        <v>30</v>
      </c>
      <c r="AU218" s="62" t="n">
        <v>2401</v>
      </c>
      <c r="AV218" s="62" t="inlineStr">
        <is>
          <t>重点（预登记21项）</t>
        </is>
      </c>
      <c r="AW218" s="62" t="inlineStr">
        <is>
          <t>累计到2401（含前385）</t>
        </is>
      </c>
    </row>
    <row r="219" ht="94.15000000000001" customHeight="1" s="58">
      <c r="A219" s="21" t="inlineStr">
        <is>
          <t>P03-F0-W9</t>
        </is>
      </c>
      <c r="B219" s="21" t="inlineStr">
        <is>
          <t>P03</t>
        </is>
      </c>
      <c r="C219" s="21" t="inlineStr">
        <is>
          <t>数据预取器</t>
        </is>
      </c>
      <c r="D219" s="22" t="inlineStr">
        <is>
          <t>预取器计算出的 target address，即将提交给 cache 层的预取目标。它不是需求 load 的 EA；取错合法地址应只带来无用预取或错误驱逐，因此是检验“预取错误不改结果”的重要负对照。</t>
        </is>
      </c>
      <c r="E219" s="22" t="inlineStr">
        <is>
          <t>换值</t>
        </is>
      </c>
      <c r="F219"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19" s="22" t="inlineStr">
        <is>
          <t>F0</t>
        </is>
      </c>
      <c r="H219" s="22" t="inlineStr">
        <is>
          <t>每次运行只注入 1 次；在 warm-up 后的 eligible event 中均匀抽样</t>
        </is>
      </c>
      <c r="I219" s="22" t="inlineStr">
        <is>
          <t>GAP/Graph500 子集（BFS、SSSP、PageRank，固定图与结果哈希）</t>
        </is>
      </c>
      <c r="J219" s="22" t="inlineStr">
        <is>
          <t>GAP/Graph500 子集（BFS、SSSP、PageRank，固定图与结果哈希）
执行定义与 oracle：BFS/SSSP/PR，使用固定图与结果哈希；强调不规则地址和大 working set</t>
        </is>
      </c>
      <c r="K219" s="22" t="inlineStr">
        <is>
          <t>产生预取请求</t>
        </is>
      </c>
      <c r="L219" s="22" t="inlineStr">
        <is>
          <t>L0 训练项/请求是否消费；L1 PC/stride/confidence/queue；L2预取地址、issued/useful/late/useless；L3填充way、驱逐对象、需求合并；L4架构结果；L5结局与性能偏差；请求地址、页边界、是否被用、受害驱逐line</t>
        </is>
      </c>
      <c r="M219" s="22" t="inlineStr">
        <is>
          <t>仅取错地址本应不改架构结果，但会改变驱逐；若最终SDC说明fill/一致性路径有缺陷</t>
        </is>
      </c>
      <c r="N219" s="22" t="inlineStr">
        <is>
          <t>把“预测错误”与“填充控制错误”明确分开</t>
        </is>
      </c>
      <c r="O219" s="22" t="inlineStr">
        <is>
          <t>TC'23排除理由的直接检验</t>
        </is>
      </c>
      <c r="P219" s="23" t="n"/>
      <c r="Q219" s="23" t="n"/>
      <c r="R219" s="23" t="n"/>
      <c r="S219" s="23" t="n"/>
      <c r="T219" s="23" t="n"/>
      <c r="U219" s="23" t="n"/>
      <c r="V219" s="23" t="n"/>
      <c r="W219" s="23" t="n"/>
      <c r="X219" s="35">
        <f>IF(OR(R219="",R219-AP219&lt;=0),"",AB219/(R219-AP219))</f>
        <v/>
      </c>
      <c r="Y219" s="35">
        <f>IF(OR(AR219="",AR219=0),"",R219/AR219)</f>
        <v/>
      </c>
      <c r="Z219" s="24" t="inlineStr">
        <is>
          <t>待执行</t>
        </is>
      </c>
      <c r="AA219" s="23" t="n"/>
      <c r="AB219" s="38" t="n"/>
      <c r="AC219" s="38" t="n"/>
      <c r="AD219" s="38" t="n"/>
      <c r="AE219" s="38" t="n"/>
      <c r="AF219" s="38" t="n"/>
      <c r="AG219" s="38" t="n"/>
      <c r="AH219" s="38" t="n"/>
      <c r="AI219" s="38" t="n"/>
      <c r="AJ219" s="38" t="n"/>
      <c r="AK219" s="39" t="n"/>
      <c r="AL219" s="40">
        <f>IF(OR(R219="",R219-AP219&lt;=0),"",AO219/(R219-AP219))</f>
        <v/>
      </c>
      <c r="AM219" s="41">
        <f>IF(R219="","",SUM(AC219:AF219)-(R219-AP219))</f>
        <v/>
      </c>
      <c r="AN219" s="41">
        <f>IF(R219="","",SUM(S219:W219)+AP219-R219)</f>
        <v/>
      </c>
      <c r="AO219" s="44" t="n"/>
      <c r="AP219" s="45" t="n"/>
      <c r="AQ219" s="47" t="inlineStr">
        <is>
          <t>P03-a 同页prefetch地址替换；P03-b 跨页prefetch地址替换</t>
        </is>
      </c>
      <c r="AR219" s="23" t="n"/>
      <c r="AS219" s="35">
        <f>IF(OR(Q219="",Q219=0),"",AR219/Q219)</f>
        <v/>
      </c>
      <c r="AT219" s="62" t="n">
        <v>30</v>
      </c>
      <c r="AU219" s="62" t="n">
        <v>385</v>
      </c>
      <c r="AV219" s="62" t="inlineStr">
        <is>
          <t>常规</t>
        </is>
      </c>
      <c r="AW219" s="62" t="inlineStr">
        <is>
          <t>累计至少385，不机械扩展到2401</t>
        </is>
      </c>
    </row>
    <row r="220" ht="94.15000000000001" customHeight="1" s="58">
      <c r="A220" s="21" t="inlineStr">
        <is>
          <t>P03-F2-W8</t>
        </is>
      </c>
      <c r="B220" s="21" t="inlineStr">
        <is>
          <t>P03</t>
        </is>
      </c>
      <c r="C220" s="21" t="inlineStr">
        <is>
          <t>数据预取器</t>
        </is>
      </c>
      <c r="D220" s="22" t="inlineStr">
        <is>
          <t>预取器计算出的 target address，即将提交给 cache 层的预取目标。它不是需求 load 的 EA；取错合法地址应只带来无用预取或错误驱逐，因此是检验“预取错误不改结果”的重要负对照。</t>
        </is>
      </c>
      <c r="E220" s="22" t="inlineStr">
        <is>
          <t>换值</t>
        </is>
      </c>
      <c r="F220"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0" s="22" t="inlineStr">
        <is>
          <t>F2</t>
        </is>
      </c>
      <c r="H220" s="22" t="inlineStr">
        <is>
          <t>平均每 100,000 个 eligible events 注入 1 次，间隔加入 ±50% 抖动</t>
        </is>
      </c>
      <c r="I220" s="22" t="inlineStr">
        <is>
          <t>Prefetch-Stride 预取探针（正/负/交错 stride、pointer chase、跨页 stride、训练后变步长）</t>
        </is>
      </c>
      <c r="J220" s="22" t="inlineStr">
        <is>
          <t>Prefetch-Stride 预取探针（正/负/交错 stride、pointer chase、跨页 stride、训练后变步长）
执行定义与 oracle：正/负/交错 stride、随机 pointer chase、跨页 stride、训练后变步长、需求/预取竞争</t>
        </is>
      </c>
      <c r="K220" s="22" t="inlineStr">
        <is>
          <t>产生预取请求</t>
        </is>
      </c>
      <c r="L220" s="22" t="inlineStr">
        <is>
          <t>L0 训练项/请求是否消费；L1 PC/stride/confidence/queue；L2预取地址、issued/useful/late/useless；L3填充way、驱逐对象、需求合并；L4架构结果；L5结局与性能偏差；请求地址、页边界、是否被用、受害驱逐line</t>
        </is>
      </c>
      <c r="M220" s="22" t="inlineStr">
        <is>
          <t>仅取错地址本应不改架构结果，但会改变驱逐；若最终SDC说明fill/一致性路径有缺陷</t>
        </is>
      </c>
      <c r="N220" s="22" t="inlineStr">
        <is>
          <t>把“预测错误”与“填充控制错误”明确分开</t>
        </is>
      </c>
      <c r="O220" s="22" t="inlineStr">
        <is>
          <t>TC'23排除理由的直接检验</t>
        </is>
      </c>
      <c r="P220" s="23" t="n"/>
      <c r="Q220" s="23" t="n"/>
      <c r="R220" s="23" t="n"/>
      <c r="S220" s="23" t="n"/>
      <c r="T220" s="23" t="n"/>
      <c r="U220" s="23" t="n"/>
      <c r="V220" s="23" t="n"/>
      <c r="W220" s="23" t="n"/>
      <c r="X220" s="35">
        <f>IF(OR(R220="",R220-AP220&lt;=0),"",AB220/(R220-AP220))</f>
        <v/>
      </c>
      <c r="Y220" s="35">
        <f>IF(OR(AR220="",AR220=0),"",R220/AR220)</f>
        <v/>
      </c>
      <c r="Z220" s="24" t="inlineStr">
        <is>
          <t>待执行</t>
        </is>
      </c>
      <c r="AA220" s="23" t="n"/>
      <c r="AB220" s="38" t="n"/>
      <c r="AC220" s="38" t="n"/>
      <c r="AD220" s="38" t="n"/>
      <c r="AE220" s="38" t="n"/>
      <c r="AF220" s="38" t="n"/>
      <c r="AG220" s="38" t="n"/>
      <c r="AH220" s="38" t="n"/>
      <c r="AI220" s="38" t="n"/>
      <c r="AJ220" s="38" t="n"/>
      <c r="AK220" s="39" t="n"/>
      <c r="AL220" s="40">
        <f>IF(OR(R220="",R220-AP220&lt;=0),"",AO220/(R220-AP220))</f>
        <v/>
      </c>
      <c r="AM220" s="41">
        <f>IF(R220="","",SUM(AC220:AF220)-(R220-AP220))</f>
        <v/>
      </c>
      <c r="AN220" s="41">
        <f>IF(R220="","",SUM(S220:W220)+AP220-R220)</f>
        <v/>
      </c>
      <c r="AO220" s="44" t="n"/>
      <c r="AP220" s="45" t="n"/>
      <c r="AQ220" s="47" t="inlineStr">
        <is>
          <t>P03-a 同页prefetch地址替换；P03-b 跨页prefetch地址替换</t>
        </is>
      </c>
      <c r="AR220" s="23" t="n"/>
      <c r="AS220" s="35">
        <f>IF(OR(Q220="",Q220=0),"",AR220/Q220)</f>
        <v/>
      </c>
      <c r="AT220" s="62" t="n">
        <v>30</v>
      </c>
      <c r="AU220" s="62" t="n">
        <v>385</v>
      </c>
      <c r="AV220" s="62" t="inlineStr">
        <is>
          <t>常规</t>
        </is>
      </c>
      <c r="AW220" s="62" t="inlineStr">
        <is>
          <t>累计至少385，不机械扩展到2401</t>
        </is>
      </c>
    </row>
    <row r="221" ht="94.15000000000001" customHeight="1" s="58">
      <c r="A221" s="21" t="inlineStr">
        <is>
          <t>P03-F2-W9</t>
        </is>
      </c>
      <c r="B221" s="21" t="inlineStr">
        <is>
          <t>P03</t>
        </is>
      </c>
      <c r="C221" s="21" t="inlineStr">
        <is>
          <t>数据预取器</t>
        </is>
      </c>
      <c r="D221" s="22" t="inlineStr">
        <is>
          <t>预取器计算出的 target address，即将提交给 cache 层的预取目标。它不是需求 load 的 EA；取错合法地址应只带来无用预取或错误驱逐，因此是检验“预取错误不改结果”的重要负对照。</t>
        </is>
      </c>
      <c r="E221" s="22" t="inlineStr">
        <is>
          <t>换值</t>
        </is>
      </c>
      <c r="F221"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1" s="22" t="inlineStr">
        <is>
          <t>F2</t>
        </is>
      </c>
      <c r="H221" s="22" t="inlineStr">
        <is>
          <t>平均每 100,000 个 eligible events 注入 1 次，间隔加入 ±50% 抖动</t>
        </is>
      </c>
      <c r="I221" s="22" t="inlineStr">
        <is>
          <t>GAP/Graph500 子集（BFS、SSSP、PageRank，固定图与结果哈希）</t>
        </is>
      </c>
      <c r="J221" s="22" t="inlineStr">
        <is>
          <t>GAP/Graph500 子集（BFS、SSSP、PageRank，固定图与结果哈希）
执行定义与 oracle：BFS/SSSP/PR，使用固定图与结果哈希；强调不规则地址和大 working set</t>
        </is>
      </c>
      <c r="K221" s="22" t="inlineStr">
        <is>
          <t>产生预取请求</t>
        </is>
      </c>
      <c r="L221" s="22" t="inlineStr">
        <is>
          <t>L0 训练项/请求是否消费；L1 PC/stride/confidence/queue；L2预取地址、issued/useful/late/useless；L3填充way、驱逐对象、需求合并；L4架构结果；L5结局与性能偏差；请求地址、页边界、是否被用、受害驱逐line</t>
        </is>
      </c>
      <c r="M221" s="22" t="inlineStr">
        <is>
          <t>仅取错地址本应不改架构结果，但会改变驱逐；若最终SDC说明fill/一致性路径有缺陷</t>
        </is>
      </c>
      <c r="N221" s="22" t="inlineStr">
        <is>
          <t>把“预测错误”与“填充控制错误”明确分开</t>
        </is>
      </c>
      <c r="O221" s="22" t="inlineStr">
        <is>
          <t>TC'23排除理由的直接检验</t>
        </is>
      </c>
      <c r="P221" s="23" t="n"/>
      <c r="Q221" s="23" t="n"/>
      <c r="R221" s="23" t="n"/>
      <c r="S221" s="23" t="n"/>
      <c r="T221" s="23" t="n"/>
      <c r="U221" s="23" t="n"/>
      <c r="V221" s="23" t="n"/>
      <c r="W221" s="23" t="n"/>
      <c r="X221" s="35">
        <f>IF(OR(R221="",R221-AP221&lt;=0),"",AB221/(R221-AP221))</f>
        <v/>
      </c>
      <c r="Y221" s="35">
        <f>IF(OR(AR221="",AR221=0),"",R221/AR221)</f>
        <v/>
      </c>
      <c r="Z221" s="24" t="inlineStr">
        <is>
          <t>待执行</t>
        </is>
      </c>
      <c r="AA221" s="23" t="n"/>
      <c r="AB221" s="38" t="n"/>
      <c r="AC221" s="38" t="n"/>
      <c r="AD221" s="38" t="n"/>
      <c r="AE221" s="38" t="n"/>
      <c r="AF221" s="38" t="n"/>
      <c r="AG221" s="38" t="n"/>
      <c r="AH221" s="38" t="n"/>
      <c r="AI221" s="38" t="n"/>
      <c r="AJ221" s="38" t="n"/>
      <c r="AK221" s="39" t="n"/>
      <c r="AL221" s="40">
        <f>IF(OR(R221="",R221-AP221&lt;=0),"",AO221/(R221-AP221))</f>
        <v/>
      </c>
      <c r="AM221" s="41">
        <f>IF(R221="","",SUM(AC221:AF221)-(R221-AP221))</f>
        <v/>
      </c>
      <c r="AN221" s="41">
        <f>IF(R221="","",SUM(S221:W221)+AP221-R221)</f>
        <v/>
      </c>
      <c r="AO221" s="44" t="n"/>
      <c r="AP221" s="45" t="n"/>
      <c r="AQ221" s="47" t="inlineStr">
        <is>
          <t>P03-a 同页prefetch地址替换；P03-b 跨页prefetch地址替换</t>
        </is>
      </c>
      <c r="AR221" s="23" t="n"/>
      <c r="AS221" s="35">
        <f>IF(OR(Q221="",Q221=0),"",AR221/Q221)</f>
        <v/>
      </c>
      <c r="AT221" s="62" t="n">
        <v>30</v>
      </c>
      <c r="AU221" s="62" t="n">
        <v>385</v>
      </c>
      <c r="AV221" s="62" t="inlineStr">
        <is>
          <t>常规</t>
        </is>
      </c>
      <c r="AW221" s="62" t="inlineStr">
        <is>
          <t>累计至少385，不机械扩展到2401</t>
        </is>
      </c>
    </row>
    <row r="222" ht="94.15000000000001" customHeight="1" s="58">
      <c r="A222" s="21" t="inlineStr">
        <is>
          <t>P03-F6-W8</t>
        </is>
      </c>
      <c r="B222" s="21" t="inlineStr">
        <is>
          <t>P03</t>
        </is>
      </c>
      <c r="C222" s="21" t="inlineStr">
        <is>
          <t>数据预取器</t>
        </is>
      </c>
      <c r="D222" s="22" t="inlineStr">
        <is>
          <t>预取器计算出的 target address，即将提交给 cache 层的预取目标。它不是需求 load 的 EA；取错合法地址应只带来无用预取或错误驱逐，因此是检验“预取错误不改结果”的重要负对照。</t>
        </is>
      </c>
      <c r="E222" s="22" t="inlineStr">
        <is>
          <t>换值</t>
        </is>
      </c>
      <c r="F222"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2" s="22" t="inlineStr">
        <is>
          <t>F6</t>
        </is>
      </c>
      <c r="H222" s="22" t="inlineStr">
        <is>
          <t>首次出现指定事件时注入一次，如 TLB hit、SQ forward、dirty eviction、CAS 成功</t>
        </is>
      </c>
      <c r="I222" s="22" t="inlineStr">
        <is>
          <t>Prefetch-Stride 预取探针（正/负/交错 stride、pointer chase、跨页 stride、训练后变步长）</t>
        </is>
      </c>
      <c r="J222" s="22" t="inlineStr">
        <is>
          <t>Prefetch-Stride 预取探针（正/负/交错 stride、pointer chase、跨页 stride、训练后变步长）
执行定义与 oracle：正/负/交错 stride、随机 pointer chase、跨页 stride、训练后变步长、需求/预取竞争</t>
        </is>
      </c>
      <c r="K222" s="22" t="inlineStr">
        <is>
          <t>产生预取请求</t>
        </is>
      </c>
      <c r="L222" s="22" t="inlineStr">
        <is>
          <t>L0 训练项/请求是否消费；L1 PC/stride/confidence/queue；L2预取地址、issued/useful/late/useless；L3填充way、驱逐对象、需求合并；L4架构结果；L5结局与性能偏差；请求地址、页边界、是否被用、受害驱逐line</t>
        </is>
      </c>
      <c r="M222" s="22" t="inlineStr">
        <is>
          <t>仅取错地址本应不改架构结果，但会改变驱逐；若最终SDC说明fill/一致性路径有缺陷</t>
        </is>
      </c>
      <c r="N222" s="22" t="inlineStr">
        <is>
          <t>把“预测错误”与“填充控制错误”明确分开</t>
        </is>
      </c>
      <c r="O222" s="22" t="inlineStr">
        <is>
          <t>TC'23排除理由的直接检验</t>
        </is>
      </c>
      <c r="P222" s="23" t="n"/>
      <c r="Q222" s="23" t="n"/>
      <c r="R222" s="23" t="n"/>
      <c r="S222" s="23" t="n"/>
      <c r="T222" s="23" t="n"/>
      <c r="U222" s="23" t="n"/>
      <c r="V222" s="23" t="n"/>
      <c r="W222" s="23" t="n"/>
      <c r="X222" s="35">
        <f>IF(OR(R222="",R222-AP222&lt;=0),"",AB222/(R222-AP222))</f>
        <v/>
      </c>
      <c r="Y222" s="35">
        <f>IF(OR(AR222="",AR222=0),"",R222/AR222)</f>
        <v/>
      </c>
      <c r="Z222" s="24" t="inlineStr">
        <is>
          <t>待执行</t>
        </is>
      </c>
      <c r="AA222" s="23" t="n"/>
      <c r="AB222" s="38" t="n"/>
      <c r="AC222" s="38" t="n"/>
      <c r="AD222" s="38" t="n"/>
      <c r="AE222" s="38" t="n"/>
      <c r="AF222" s="38" t="n"/>
      <c r="AG222" s="38" t="n"/>
      <c r="AH222" s="38" t="n"/>
      <c r="AI222" s="38" t="n"/>
      <c r="AJ222" s="38" t="n"/>
      <c r="AK222" s="39" t="n"/>
      <c r="AL222" s="40">
        <f>IF(OR(R222="",R222-AP222&lt;=0),"",AO222/(R222-AP222))</f>
        <v/>
      </c>
      <c r="AM222" s="41">
        <f>IF(R222="","",SUM(AC222:AF222)-(R222-AP222))</f>
        <v/>
      </c>
      <c r="AN222" s="41">
        <f>IF(R222="","",SUM(S222:W222)+AP222-R222)</f>
        <v/>
      </c>
      <c r="AO222" s="44" t="n"/>
      <c r="AP222" s="45" t="n"/>
      <c r="AQ222" s="47" t="inlineStr">
        <is>
          <t>P03-a 同页prefetch地址替换；P03-b 跨页prefetch地址替换</t>
        </is>
      </c>
      <c r="AR222" s="23" t="n"/>
      <c r="AS222" s="35">
        <f>IF(OR(Q222="",Q222=0),"",AR222/Q222)</f>
        <v/>
      </c>
      <c r="AT222" s="62" t="n">
        <v>30</v>
      </c>
      <c r="AU222" s="62" t="n">
        <v>385</v>
      </c>
      <c r="AV222" s="62" t="inlineStr">
        <is>
          <t>常规</t>
        </is>
      </c>
      <c r="AW222" s="62" t="inlineStr">
        <is>
          <t>累计至少385，不机械扩展到2401</t>
        </is>
      </c>
    </row>
    <row r="223" ht="94.15000000000001" customHeight="1" s="58">
      <c r="A223" s="21" t="inlineStr">
        <is>
          <t>P03-F6-W9</t>
        </is>
      </c>
      <c r="B223" s="21" t="inlineStr">
        <is>
          <t>P03</t>
        </is>
      </c>
      <c r="C223" s="21" t="inlineStr">
        <is>
          <t>数据预取器</t>
        </is>
      </c>
      <c r="D223" s="22" t="inlineStr">
        <is>
          <t>预取器计算出的 target address，即将提交给 cache 层的预取目标。它不是需求 load 的 EA；取错合法地址应只带来无用预取或错误驱逐，因此是检验“预取错误不改结果”的重要负对照。</t>
        </is>
      </c>
      <c r="E223" s="22" t="inlineStr">
        <is>
          <t>换值</t>
        </is>
      </c>
      <c r="F223"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3" s="22" t="inlineStr">
        <is>
          <t>F6</t>
        </is>
      </c>
      <c r="H223" s="22" t="inlineStr">
        <is>
          <t>首次出现指定事件时注入一次，如 TLB hit、SQ forward、dirty eviction、CAS 成功</t>
        </is>
      </c>
      <c r="I223" s="22" t="inlineStr">
        <is>
          <t>GAP/Graph500 子集（BFS、SSSP、PageRank，固定图与结果哈希）</t>
        </is>
      </c>
      <c r="J223" s="22" t="inlineStr">
        <is>
          <t>GAP/Graph500 子集（BFS、SSSP、PageRank，固定图与结果哈希）
执行定义与 oracle：BFS/SSSP/PR，使用固定图与结果哈希；强调不规则地址和大 working set</t>
        </is>
      </c>
      <c r="K223" s="22" t="inlineStr">
        <is>
          <t>产生预取请求</t>
        </is>
      </c>
      <c r="L223" s="22" t="inlineStr">
        <is>
          <t>L0 训练项/请求是否消费；L1 PC/stride/confidence/queue；L2预取地址、issued/useful/late/useless；L3填充way、驱逐对象、需求合并；L4架构结果；L5结局与性能偏差；请求地址、页边界、是否被用、受害驱逐line</t>
        </is>
      </c>
      <c r="M223" s="22" t="inlineStr">
        <is>
          <t>仅取错地址本应不改架构结果，但会改变驱逐；若最终SDC说明fill/一致性路径有缺陷</t>
        </is>
      </c>
      <c r="N223" s="22" t="inlineStr">
        <is>
          <t>把“预测错误”与“填充控制错误”明确分开</t>
        </is>
      </c>
      <c r="O223" s="22" t="inlineStr">
        <is>
          <t>TC'23排除理由的直接检验</t>
        </is>
      </c>
      <c r="P223" s="23" t="n"/>
      <c r="Q223" s="23" t="n"/>
      <c r="R223" s="23" t="n"/>
      <c r="S223" s="23" t="n"/>
      <c r="T223" s="23" t="n"/>
      <c r="U223" s="23" t="n"/>
      <c r="V223" s="23" t="n"/>
      <c r="W223" s="23" t="n"/>
      <c r="X223" s="35">
        <f>IF(OR(R223="",R223-AP223&lt;=0),"",AB223/(R223-AP223))</f>
        <v/>
      </c>
      <c r="Y223" s="35">
        <f>IF(OR(AR223="",AR223=0),"",R223/AR223)</f>
        <v/>
      </c>
      <c r="Z223" s="24" t="inlineStr">
        <is>
          <t>待执行</t>
        </is>
      </c>
      <c r="AA223" s="23" t="n"/>
      <c r="AB223" s="38" t="n"/>
      <c r="AC223" s="38" t="n"/>
      <c r="AD223" s="38" t="n"/>
      <c r="AE223" s="38" t="n"/>
      <c r="AF223" s="38" t="n"/>
      <c r="AG223" s="38" t="n"/>
      <c r="AH223" s="38" t="n"/>
      <c r="AI223" s="38" t="n"/>
      <c r="AJ223" s="38" t="n"/>
      <c r="AK223" s="39" t="n"/>
      <c r="AL223" s="40">
        <f>IF(OR(R223="",R223-AP223&lt;=0),"",AO223/(R223-AP223))</f>
        <v/>
      </c>
      <c r="AM223" s="41">
        <f>IF(R223="","",SUM(AC223:AF223)-(R223-AP223))</f>
        <v/>
      </c>
      <c r="AN223" s="41">
        <f>IF(R223="","",SUM(S223:W223)+AP223-R223)</f>
        <v/>
      </c>
      <c r="AO223" s="44" t="n"/>
      <c r="AP223" s="45" t="n"/>
      <c r="AQ223" s="47" t="inlineStr">
        <is>
          <t>P03-a 同页prefetch地址替换；P03-b 跨页prefetch地址替换</t>
        </is>
      </c>
      <c r="AR223" s="23" t="n"/>
      <c r="AS223" s="35">
        <f>IF(OR(Q223="",Q223=0),"",AR223/Q223)</f>
        <v/>
      </c>
      <c r="AT223" s="62" t="n">
        <v>30</v>
      </c>
      <c r="AU223" s="62" t="n">
        <v>385</v>
      </c>
      <c r="AV223" s="62" t="inlineStr">
        <is>
          <t>常规</t>
        </is>
      </c>
      <c r="AW223" s="62" t="inlineStr">
        <is>
          <t>累计至少385，不机械扩展到2401</t>
        </is>
      </c>
    </row>
    <row r="224" ht="94.15000000000001" customHeight="1" s="58">
      <c r="A224" s="21" t="inlineStr">
        <is>
          <t>P04-F0-W2</t>
        </is>
      </c>
      <c r="B224" s="21" t="inlineStr">
        <is>
          <t>P04</t>
        </is>
      </c>
      <c r="C224" s="21" t="inlineStr">
        <is>
          <t>数据预取器</t>
        </is>
      </c>
      <c r="D224" s="22" t="inlineStr">
        <is>
          <t>Prefetch request queue 的 entry、valid 与 head/tail 指针。队列保存尚未发出的预取地址和来源 PC；状态错可能重复、丢失或发出陈旧请求，并影响其 transaction ID。</t>
        </is>
      </c>
      <c r="E224" s="22" t="inlineStr">
        <is>
          <t>状态</t>
        </is>
      </c>
      <c r="F224"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4" s="22" t="inlineStr">
        <is>
          <t>F0</t>
        </is>
      </c>
      <c r="H224" s="22" t="inlineStr">
        <is>
          <t>每次运行只注入 1 次；在 warm-up 后的 eligible event 中均匀抽样</t>
        </is>
      </c>
      <c r="I224" s="22" t="inlineStr">
        <is>
          <t>BEEBS-DelayAVF 论文负载（md5、libbubblesort、libstrstr、matmult、libfibcall）</t>
        </is>
      </c>
      <c r="J224" s="22" t="inlineStr">
        <is>
          <t>BEEBS-DelayAVF 论文负载（md5、libbubblesort、libstrstr、matmult、libfibcall）
执行定义与 oracle：md5、libbubblesort、libstrstr、matmult、libfibcall</t>
        </is>
      </c>
      <c r="K224" s="22" t="inlineStr">
        <is>
          <t>queue非空</t>
        </is>
      </c>
      <c r="L224" s="22" t="inlineStr">
        <is>
          <t>L0 训练项/请求是否消费；L1 PC/stride/confidence/queue；L2预取地址、issued/useful/late/useless；L3填充way、驱逐对象、需求合并；L4架构结果；L5结局与性能偏差；队列守恒、request ID、重复/丢失、stale age</t>
        </is>
      </c>
      <c r="M224" s="22" t="inlineStr">
        <is>
          <t>通常丢预取或重复预取；错误项若带陈旧transaction可能污染fill配对</t>
        </is>
      </c>
      <c r="N224" s="22" t="inlineStr">
        <is>
          <t>MICRO'24指出prefetcher内部buffer对粒子/时延均脆弱</t>
        </is>
      </c>
      <c r="O224" s="22" t="inlineStr">
        <is>
          <t>MICRO'24直接研究Ibex prefetch buffer，但非gem5 OoO</t>
        </is>
      </c>
      <c r="P224" s="23" t="n"/>
      <c r="Q224" s="23" t="n"/>
      <c r="R224" s="23" t="n"/>
      <c r="S224" s="23" t="n"/>
      <c r="T224" s="23" t="n"/>
      <c r="U224" s="23" t="n"/>
      <c r="V224" s="23" t="n"/>
      <c r="W224" s="23" t="n"/>
      <c r="X224" s="35">
        <f>IF(OR(R224="",R224-AP224&lt;=0),"",AB224/(R224-AP224))</f>
        <v/>
      </c>
      <c r="Y224" s="35">
        <f>IF(OR(AR224="",AR224=0),"",R224/AR224)</f>
        <v/>
      </c>
      <c r="Z224" s="24" t="inlineStr">
        <is>
          <t>待执行</t>
        </is>
      </c>
      <c r="AA224" s="23" t="n"/>
      <c r="AB224" s="38" t="n"/>
      <c r="AC224" s="38" t="n"/>
      <c r="AD224" s="38" t="n"/>
      <c r="AE224" s="38" t="n"/>
      <c r="AF224" s="38" t="n"/>
      <c r="AG224" s="38" t="n"/>
      <c r="AH224" s="38" t="n"/>
      <c r="AI224" s="38" t="n"/>
      <c r="AJ224" s="38" t="n"/>
      <c r="AK224" s="39" t="n"/>
      <c r="AL224" s="40">
        <f>IF(OR(R224="",R224-AP224&lt;=0),"",AO224/(R224-AP224))</f>
        <v/>
      </c>
      <c r="AM224" s="41">
        <f>IF(R224="","",SUM(AC224:AF224)-(R224-AP224))</f>
        <v/>
      </c>
      <c r="AN224" s="41">
        <f>IF(R224="","",SUM(S224:W224)+AP224-R224)</f>
        <v/>
      </c>
      <c r="AO224" s="44" t="n"/>
      <c r="AP224" s="45" t="n"/>
      <c r="AQ224" s="47" t="inlineStr">
        <is>
          <t>P04-a queue valid异常；P04-b pointer错误；P04-c 选择错误queue entry</t>
        </is>
      </c>
      <c r="AR224" s="23" t="n"/>
      <c r="AS224" s="35">
        <f>IF(OR(Q224="",Q224=0),"",AR224/Q224)</f>
        <v/>
      </c>
      <c r="AT224" s="62" t="n">
        <v>30</v>
      </c>
      <c r="AU224" s="62" t="n">
        <v>385</v>
      </c>
      <c r="AV224" s="62" t="inlineStr">
        <is>
          <t>常规</t>
        </is>
      </c>
      <c r="AW224" s="62" t="inlineStr">
        <is>
          <t>累计至少385，不机械扩展到2401</t>
        </is>
      </c>
    </row>
    <row r="225" ht="94.15000000000001" customHeight="1" s="58">
      <c r="A225" s="21" t="inlineStr">
        <is>
          <t>P04-F0-W8</t>
        </is>
      </c>
      <c r="B225" s="21" t="inlineStr">
        <is>
          <t>P04</t>
        </is>
      </c>
      <c r="C225" s="21" t="inlineStr">
        <is>
          <t>数据预取器</t>
        </is>
      </c>
      <c r="D225" s="22" t="inlineStr">
        <is>
          <t>Prefetch request queue 的 entry、valid 与 head/tail 指针。队列保存尚未发出的预取地址和来源 PC；状态错可能重复、丢失或发出陈旧请求，并影响其 transaction ID。</t>
        </is>
      </c>
      <c r="E225" s="22" t="inlineStr">
        <is>
          <t>状态</t>
        </is>
      </c>
      <c r="F225"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5" s="22" t="inlineStr">
        <is>
          <t>F0</t>
        </is>
      </c>
      <c r="H225" s="22" t="inlineStr">
        <is>
          <t>每次运行只注入 1 次；在 warm-up 后的 eligible event 中均匀抽样</t>
        </is>
      </c>
      <c r="I225" s="22" t="inlineStr">
        <is>
          <t>Prefetch-Stride 预取探针（正/负/交错 stride、pointer chase、跨页 stride、训练后变步长）</t>
        </is>
      </c>
      <c r="J225" s="22" t="inlineStr">
        <is>
          <t>Prefetch-Stride 预取探针（正/负/交错 stride、pointer chase、跨页 stride、训练后变步长）
执行定义与 oracle：正/负/交错 stride、随机 pointer chase、跨页 stride、训练后变步长、需求/预取竞争</t>
        </is>
      </c>
      <c r="K225" s="22" t="inlineStr">
        <is>
          <t>queue非空</t>
        </is>
      </c>
      <c r="L225" s="22" t="inlineStr">
        <is>
          <t>L0 训练项/请求是否消费；L1 PC/stride/confidence/queue；L2预取地址、issued/useful/late/useless；L3填充way、驱逐对象、需求合并；L4架构结果；L5结局与性能偏差；队列守恒、request ID、重复/丢失、stale age</t>
        </is>
      </c>
      <c r="M225" s="22" t="inlineStr">
        <is>
          <t>通常丢预取或重复预取；错误项若带陈旧transaction可能污染fill配对</t>
        </is>
      </c>
      <c r="N225" s="22" t="inlineStr">
        <is>
          <t>MICRO'24指出prefetcher内部buffer对粒子/时延均脆弱</t>
        </is>
      </c>
      <c r="O225" s="22" t="inlineStr">
        <is>
          <t>MICRO'24直接研究Ibex prefetch buffer，但非gem5 OoO</t>
        </is>
      </c>
      <c r="P225" s="23" t="n"/>
      <c r="Q225" s="23" t="n"/>
      <c r="R225" s="23" t="n"/>
      <c r="S225" s="23" t="n"/>
      <c r="T225" s="23" t="n"/>
      <c r="U225" s="23" t="n"/>
      <c r="V225" s="23" t="n"/>
      <c r="W225" s="23" t="n"/>
      <c r="X225" s="35">
        <f>IF(OR(R225="",R225-AP225&lt;=0),"",AB225/(R225-AP225))</f>
        <v/>
      </c>
      <c r="Y225" s="35">
        <f>IF(OR(AR225="",AR225=0),"",R225/AR225)</f>
        <v/>
      </c>
      <c r="Z225" s="24" t="inlineStr">
        <is>
          <t>待执行</t>
        </is>
      </c>
      <c r="AA225" s="23" t="n"/>
      <c r="AB225" s="38" t="n"/>
      <c r="AC225" s="38" t="n"/>
      <c r="AD225" s="38" t="n"/>
      <c r="AE225" s="38" t="n"/>
      <c r="AF225" s="38" t="n"/>
      <c r="AG225" s="38" t="n"/>
      <c r="AH225" s="38" t="n"/>
      <c r="AI225" s="38" t="n"/>
      <c r="AJ225" s="38" t="n"/>
      <c r="AK225" s="39" t="n"/>
      <c r="AL225" s="40">
        <f>IF(OR(R225="",R225-AP225&lt;=0),"",AO225/(R225-AP225))</f>
        <v/>
      </c>
      <c r="AM225" s="41">
        <f>IF(R225="","",SUM(AC225:AF225)-(R225-AP225))</f>
        <v/>
      </c>
      <c r="AN225" s="41">
        <f>IF(R225="","",SUM(S225:W225)+AP225-R225)</f>
        <v/>
      </c>
      <c r="AO225" s="44" t="n"/>
      <c r="AP225" s="45" t="n"/>
      <c r="AQ225" s="47" t="inlineStr">
        <is>
          <t>P04-a queue valid异常；P04-b pointer错误；P04-c 选择错误queue entry</t>
        </is>
      </c>
      <c r="AR225" s="23" t="n"/>
      <c r="AS225" s="35">
        <f>IF(OR(Q225="",Q225=0),"",AR225/Q225)</f>
        <v/>
      </c>
      <c r="AT225" s="62" t="n">
        <v>30</v>
      </c>
      <c r="AU225" s="62" t="n">
        <v>385</v>
      </c>
      <c r="AV225" s="62" t="inlineStr">
        <is>
          <t>常规</t>
        </is>
      </c>
      <c r="AW225" s="62" t="inlineStr">
        <is>
          <t>累计至少385，不机械扩展到2401</t>
        </is>
      </c>
    </row>
    <row r="226" ht="94.15000000000001" customHeight="1" s="58">
      <c r="A226" s="21" t="inlineStr">
        <is>
          <t>P04-F4-W2</t>
        </is>
      </c>
      <c r="B226" s="21" t="inlineStr">
        <is>
          <t>P04</t>
        </is>
      </c>
      <c r="C226" s="21" t="inlineStr">
        <is>
          <t>数据预取器</t>
        </is>
      </c>
      <c r="D226" s="22" t="inlineStr">
        <is>
          <t>Prefetch request queue 的 entry、valid 与 head/tail 指针。队列保存尚未发出的预取地址和来源 PC；状态错可能重复、丢失或发出陈旧请求，并影响其 transaction ID。</t>
        </is>
      </c>
      <c r="E226" s="22" t="inlineStr">
        <is>
          <t>状态</t>
        </is>
      </c>
      <c r="F226"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6" s="22" t="inlineStr">
        <is>
          <t>F4</t>
        </is>
      </c>
      <c r="H226" s="22" t="inlineStr">
        <is>
          <t>每 100,000 个 eligible events 触发一次，连续污染 2-4 个 eligible events</t>
        </is>
      </c>
      <c r="I226" s="22" t="inlineStr">
        <is>
          <t>BEEBS-DelayAVF 论文负载（md5、libbubblesort、libstrstr、matmult、libfibcall）</t>
        </is>
      </c>
      <c r="J226" s="22" t="inlineStr">
        <is>
          <t>BEEBS-DelayAVF 论文负载（md5、libbubblesort、libstrstr、matmult、libfibcall）
执行定义与 oracle：md5、libbubblesort、libstrstr、matmult、libfibcall</t>
        </is>
      </c>
      <c r="K226" s="22" t="inlineStr">
        <is>
          <t>queue非空</t>
        </is>
      </c>
      <c r="L226" s="22" t="inlineStr">
        <is>
          <t>L0 训练项/请求是否消费；L1 PC/stride/confidence/queue；L2预取地址、issued/useful/late/useless；L3填充way、驱逐对象、需求合并；L4架构结果；L5结局与性能偏差；队列守恒、request ID、重复/丢失、stale age</t>
        </is>
      </c>
      <c r="M226" s="22" t="inlineStr">
        <is>
          <t>通常丢预取或重复预取；错误项若带陈旧transaction可能污染fill配对</t>
        </is>
      </c>
      <c r="N226" s="22" t="inlineStr">
        <is>
          <t>MICRO'24指出prefetcher内部buffer对粒子/时延均脆弱</t>
        </is>
      </c>
      <c r="O226" s="22" t="inlineStr">
        <is>
          <t>MICRO'24直接研究Ibex prefetch buffer，但非gem5 OoO</t>
        </is>
      </c>
      <c r="P226" s="23" t="n"/>
      <c r="Q226" s="23" t="n"/>
      <c r="R226" s="23" t="n"/>
      <c r="S226" s="23" t="n"/>
      <c r="T226" s="23" t="n"/>
      <c r="U226" s="23" t="n"/>
      <c r="V226" s="23" t="n"/>
      <c r="W226" s="23" t="n"/>
      <c r="X226" s="35">
        <f>IF(OR(R226="",R226-AP226&lt;=0),"",AB226/(R226-AP226))</f>
        <v/>
      </c>
      <c r="Y226" s="35">
        <f>IF(OR(AR226="",AR226=0),"",R226/AR226)</f>
        <v/>
      </c>
      <c r="Z226" s="24" t="inlineStr">
        <is>
          <t>待执行</t>
        </is>
      </c>
      <c r="AA226" s="23" t="n"/>
      <c r="AB226" s="38" t="n"/>
      <c r="AC226" s="38" t="n"/>
      <c r="AD226" s="38" t="n"/>
      <c r="AE226" s="38" t="n"/>
      <c r="AF226" s="38" t="n"/>
      <c r="AG226" s="38" t="n"/>
      <c r="AH226" s="38" t="n"/>
      <c r="AI226" s="38" t="n"/>
      <c r="AJ226" s="38" t="n"/>
      <c r="AK226" s="39" t="n"/>
      <c r="AL226" s="40">
        <f>IF(OR(R226="",R226-AP226&lt;=0),"",AO226/(R226-AP226))</f>
        <v/>
      </c>
      <c r="AM226" s="41">
        <f>IF(R226="","",SUM(AC226:AF226)-(R226-AP226))</f>
        <v/>
      </c>
      <c r="AN226" s="41">
        <f>IF(R226="","",SUM(S226:W226)+AP226-R226)</f>
        <v/>
      </c>
      <c r="AO226" s="44" t="n"/>
      <c r="AP226" s="45" t="n"/>
      <c r="AQ226" s="47" t="inlineStr">
        <is>
          <t>P04-a queue valid异常；P04-b pointer错误；P04-c 选择错误queue entry</t>
        </is>
      </c>
      <c r="AR226" s="23" t="n"/>
      <c r="AS226" s="35">
        <f>IF(OR(Q226="",Q226=0),"",AR226/Q226)</f>
        <v/>
      </c>
      <c r="AT226" s="62" t="n">
        <v>30</v>
      </c>
      <c r="AU226" s="62" t="n">
        <v>385</v>
      </c>
      <c r="AV226" s="62" t="inlineStr">
        <is>
          <t>常规</t>
        </is>
      </c>
      <c r="AW226" s="62" t="inlineStr">
        <is>
          <t>累计至少385，不机械扩展到2401</t>
        </is>
      </c>
    </row>
    <row r="227" ht="94.15000000000001" customHeight="1" s="58">
      <c r="A227" s="21" t="inlineStr">
        <is>
          <t>P04-F4-W8</t>
        </is>
      </c>
      <c r="B227" s="21" t="inlineStr">
        <is>
          <t>P04</t>
        </is>
      </c>
      <c r="C227" s="21" t="inlineStr">
        <is>
          <t>数据预取器</t>
        </is>
      </c>
      <c r="D227" s="22" t="inlineStr">
        <is>
          <t>Prefetch request queue 的 entry、valid 与 head/tail 指针。队列保存尚未发出的预取地址和来源 PC；状态错可能重复、丢失或发出陈旧请求，并影响其 transaction ID。</t>
        </is>
      </c>
      <c r="E227" s="22" t="inlineStr">
        <is>
          <t>状态</t>
        </is>
      </c>
      <c r="F227"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7" s="22" t="inlineStr">
        <is>
          <t>F4</t>
        </is>
      </c>
      <c r="H227" s="22" t="inlineStr">
        <is>
          <t>每 100,000 个 eligible events 触发一次，连续污染 2-4 个 eligible events</t>
        </is>
      </c>
      <c r="I227" s="22" t="inlineStr">
        <is>
          <t>Prefetch-Stride 预取探针（正/负/交错 stride、pointer chase、跨页 stride、训练后变步长）</t>
        </is>
      </c>
      <c r="J227" s="22" t="inlineStr">
        <is>
          <t>Prefetch-Stride 预取探针（正/负/交错 stride、pointer chase、跨页 stride、训练后变步长）
执行定义与 oracle：正/负/交错 stride、随机 pointer chase、跨页 stride、训练后变步长、需求/预取竞争</t>
        </is>
      </c>
      <c r="K227" s="22" t="inlineStr">
        <is>
          <t>queue非空</t>
        </is>
      </c>
      <c r="L227" s="22" t="inlineStr">
        <is>
          <t>L0 训练项/请求是否消费；L1 PC/stride/confidence/queue；L2预取地址、issued/useful/late/useless；L3填充way、驱逐对象、需求合并；L4架构结果；L5结局与性能偏差；队列守恒、request ID、重复/丢失、stale age</t>
        </is>
      </c>
      <c r="M227" s="22" t="inlineStr">
        <is>
          <t>通常丢预取或重复预取；错误项若带陈旧transaction可能污染fill配对</t>
        </is>
      </c>
      <c r="N227" s="22" t="inlineStr">
        <is>
          <t>MICRO'24指出prefetcher内部buffer对粒子/时延均脆弱</t>
        </is>
      </c>
      <c r="O227" s="22" t="inlineStr">
        <is>
          <t>MICRO'24直接研究Ibex prefetch buffer，但非gem5 OoO</t>
        </is>
      </c>
      <c r="P227" s="23" t="n"/>
      <c r="Q227" s="23" t="n"/>
      <c r="R227" s="23" t="n"/>
      <c r="S227" s="23" t="n"/>
      <c r="T227" s="23" t="n"/>
      <c r="U227" s="23" t="n"/>
      <c r="V227" s="23" t="n"/>
      <c r="W227" s="23" t="n"/>
      <c r="X227" s="35">
        <f>IF(OR(R227="",R227-AP227&lt;=0),"",AB227/(R227-AP227))</f>
        <v/>
      </c>
      <c r="Y227" s="35">
        <f>IF(OR(AR227="",AR227=0),"",R227/AR227)</f>
        <v/>
      </c>
      <c r="Z227" s="24" t="inlineStr">
        <is>
          <t>待执行</t>
        </is>
      </c>
      <c r="AA227" s="23" t="n"/>
      <c r="AB227" s="38" t="n"/>
      <c r="AC227" s="38" t="n"/>
      <c r="AD227" s="38" t="n"/>
      <c r="AE227" s="38" t="n"/>
      <c r="AF227" s="38" t="n"/>
      <c r="AG227" s="38" t="n"/>
      <c r="AH227" s="38" t="n"/>
      <c r="AI227" s="38" t="n"/>
      <c r="AJ227" s="38" t="n"/>
      <c r="AK227" s="39" t="n"/>
      <c r="AL227" s="40">
        <f>IF(OR(R227="",R227-AP227&lt;=0),"",AO227/(R227-AP227))</f>
        <v/>
      </c>
      <c r="AM227" s="41">
        <f>IF(R227="","",SUM(AC227:AF227)-(R227-AP227))</f>
        <v/>
      </c>
      <c r="AN227" s="41">
        <f>IF(R227="","",SUM(S227:W227)+AP227-R227)</f>
        <v/>
      </c>
      <c r="AO227" s="44" t="n"/>
      <c r="AP227" s="45" t="n"/>
      <c r="AQ227" s="47" t="inlineStr">
        <is>
          <t>P04-a queue valid异常；P04-b pointer错误；P04-c 选择错误queue entry</t>
        </is>
      </c>
      <c r="AR227" s="23" t="n"/>
      <c r="AS227" s="35">
        <f>IF(OR(Q227="",Q227=0),"",AR227/Q227)</f>
        <v/>
      </c>
      <c r="AT227" s="62" t="n">
        <v>30</v>
      </c>
      <c r="AU227" s="62" t="n">
        <v>385</v>
      </c>
      <c r="AV227" s="62" t="inlineStr">
        <is>
          <t>常规</t>
        </is>
      </c>
      <c r="AW227" s="62" t="inlineStr">
        <is>
          <t>累计至少385，不机械扩展到2401</t>
        </is>
      </c>
    </row>
    <row r="228" ht="94.15000000000001" customHeight="1" s="58">
      <c r="A228" s="21" t="inlineStr">
        <is>
          <t>P04-F5-W2</t>
        </is>
      </c>
      <c r="B228" s="21" t="inlineStr">
        <is>
          <t>P04</t>
        </is>
      </c>
      <c r="C228" s="21" t="inlineStr">
        <is>
          <t>数据预取器</t>
        </is>
      </c>
      <c r="D228" s="22" t="inlineStr">
        <is>
          <t>Prefetch request queue 的 entry、valid 与 head/tail 指针。队列保存尚未发出的预取地址和来源 PC；状态错可能重复、丢失或发出陈旧请求，并影响其 transaction ID。</t>
        </is>
      </c>
      <c r="E228" s="22" t="inlineStr">
        <is>
          <t>状态</t>
        </is>
      </c>
      <c r="F228"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8" s="22" t="inlineStr">
        <is>
          <t>F5</t>
        </is>
      </c>
      <c r="H228" s="22" t="inlineStr">
        <is>
          <t>warm-up 后第一个 eligible event 起持续到运行结束；每次运行仅选一个 bit/字段</t>
        </is>
      </c>
      <c r="I228" s="22" t="inlineStr">
        <is>
          <t>BEEBS-DelayAVF 论文负载（md5、libbubblesort、libstrstr、matmult、libfibcall）</t>
        </is>
      </c>
      <c r="J228" s="22" t="inlineStr">
        <is>
          <t>BEEBS-DelayAVF 论文负载（md5、libbubblesort、libstrstr、matmult、libfibcall）
执行定义与 oracle：md5、libbubblesort、libstrstr、matmult、libfibcall</t>
        </is>
      </c>
      <c r="K228" s="22" t="inlineStr">
        <is>
          <t>queue非空</t>
        </is>
      </c>
      <c r="L228" s="22" t="inlineStr">
        <is>
          <t>L0 训练项/请求是否消费；L1 PC/stride/confidence/queue；L2预取地址、issued/useful/late/useless；L3填充way、驱逐对象、需求合并；L4架构结果；L5结局与性能偏差；队列守恒、request ID、重复/丢失、stale age</t>
        </is>
      </c>
      <c r="M228" s="22" t="inlineStr">
        <is>
          <t>通常丢预取或重复预取；错误项若带陈旧transaction可能污染fill配对</t>
        </is>
      </c>
      <c r="N228" s="22" t="inlineStr">
        <is>
          <t>MICRO'24指出prefetcher内部buffer对粒子/时延均脆弱</t>
        </is>
      </c>
      <c r="O228" s="22" t="inlineStr">
        <is>
          <t>MICRO'24直接研究Ibex prefetch buffer，但非gem5 OoO</t>
        </is>
      </c>
      <c r="P228" s="23" t="n"/>
      <c r="Q228" s="23" t="n"/>
      <c r="R228" s="23" t="n"/>
      <c r="S228" s="23" t="n"/>
      <c r="T228" s="23" t="n"/>
      <c r="U228" s="23" t="n"/>
      <c r="V228" s="23" t="n"/>
      <c r="W228" s="23" t="n"/>
      <c r="X228" s="35">
        <f>IF(OR(R228="",R228-AP228&lt;=0),"",AB228/(R228-AP228))</f>
        <v/>
      </c>
      <c r="Y228" s="35">
        <f>IF(OR(AR228="",AR228=0),"",R228/AR228)</f>
        <v/>
      </c>
      <c r="Z228" s="24" t="inlineStr">
        <is>
          <t>待执行</t>
        </is>
      </c>
      <c r="AA228" s="23" t="n"/>
      <c r="AB228" s="38" t="n"/>
      <c r="AC228" s="38" t="n"/>
      <c r="AD228" s="38" t="n"/>
      <c r="AE228" s="38" t="n"/>
      <c r="AF228" s="38" t="n"/>
      <c r="AG228" s="38" t="n"/>
      <c r="AH228" s="38" t="n"/>
      <c r="AI228" s="38" t="n"/>
      <c r="AJ228" s="38" t="n"/>
      <c r="AK228" s="39" t="n"/>
      <c r="AL228" s="40">
        <f>IF(OR(R228="",R228-AP228&lt;=0),"",AO228/(R228-AP228))</f>
        <v/>
      </c>
      <c r="AM228" s="41">
        <f>IF(R228="","",SUM(AC228:AF228)-(R228-AP228))</f>
        <v/>
      </c>
      <c r="AN228" s="41">
        <f>IF(R228="","",SUM(S228:W228)+AP228-R228)</f>
        <v/>
      </c>
      <c r="AO228" s="44" t="n"/>
      <c r="AP228" s="45" t="n"/>
      <c r="AQ228" s="47" t="inlineStr">
        <is>
          <t>P04-a queue valid异常；P04-b pointer错误；P04-c 选择错误queue entry</t>
        </is>
      </c>
      <c r="AR228" s="23" t="n"/>
      <c r="AS228" s="35">
        <f>IF(OR(Q228="",Q228=0),"",AR228/Q228)</f>
        <v/>
      </c>
      <c r="AT228" s="62" t="n">
        <v>30</v>
      </c>
      <c r="AU228" s="62" t="n">
        <v>385</v>
      </c>
      <c r="AV228" s="62" t="inlineStr">
        <is>
          <t>常规</t>
        </is>
      </c>
      <c r="AW228" s="62" t="inlineStr">
        <is>
          <t>累计至少385，不机械扩展到2401</t>
        </is>
      </c>
    </row>
    <row r="229" ht="94.15000000000001" customHeight="1" s="58">
      <c r="A229" s="21" t="inlineStr">
        <is>
          <t>P04-F5-W8</t>
        </is>
      </c>
      <c r="B229" s="21" t="inlineStr">
        <is>
          <t>P04</t>
        </is>
      </c>
      <c r="C229" s="21" t="inlineStr">
        <is>
          <t>数据预取器</t>
        </is>
      </c>
      <c r="D229" s="22" t="inlineStr">
        <is>
          <t>Prefetch request queue 的 entry、valid 与 head/tail 指针。队列保存尚未发出的预取地址和来源 PC；状态错可能重复、丢失或发出陈旧请求，并影响其 transaction ID。</t>
        </is>
      </c>
      <c r="E229" s="22" t="inlineStr">
        <is>
          <t>状态</t>
        </is>
      </c>
      <c r="F229"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9" s="22" t="inlineStr">
        <is>
          <t>F5</t>
        </is>
      </c>
      <c r="H229" s="22" t="inlineStr">
        <is>
          <t>warm-up 后第一个 eligible event 起持续到运行结束；每次运行仅选一个 bit/字段</t>
        </is>
      </c>
      <c r="I229" s="22" t="inlineStr">
        <is>
          <t>Prefetch-Stride 预取探针（正/负/交错 stride、pointer chase、跨页 stride、训练后变步长）</t>
        </is>
      </c>
      <c r="J229" s="22" t="inlineStr">
        <is>
          <t>Prefetch-Stride 预取探针（正/负/交错 stride、pointer chase、跨页 stride、训练后变步长）
执行定义与 oracle：正/负/交错 stride、随机 pointer chase、跨页 stride、训练后变步长、需求/预取竞争</t>
        </is>
      </c>
      <c r="K229" s="22" t="inlineStr">
        <is>
          <t>queue非空</t>
        </is>
      </c>
      <c r="L229" s="22" t="inlineStr">
        <is>
          <t>L0 训练项/请求是否消费；L1 PC/stride/confidence/queue；L2预取地址、issued/useful/late/useless；L3填充way、驱逐对象、需求合并；L4架构结果；L5结局与性能偏差；队列守恒、request ID、重复/丢失、stale age</t>
        </is>
      </c>
      <c r="M229" s="22" t="inlineStr">
        <is>
          <t>通常丢预取或重复预取；错误项若带陈旧transaction可能污染fill配对</t>
        </is>
      </c>
      <c r="N229" s="22" t="inlineStr">
        <is>
          <t>MICRO'24指出prefetcher内部buffer对粒子/时延均脆弱</t>
        </is>
      </c>
      <c r="O229" s="22" t="inlineStr">
        <is>
          <t>MICRO'24直接研究Ibex prefetch buffer，但非gem5 OoO</t>
        </is>
      </c>
      <c r="P229" s="23" t="n"/>
      <c r="Q229" s="23" t="n"/>
      <c r="R229" s="23" t="n"/>
      <c r="S229" s="23" t="n"/>
      <c r="T229" s="23" t="n"/>
      <c r="U229" s="23" t="n"/>
      <c r="V229" s="23" t="n"/>
      <c r="W229" s="23" t="n"/>
      <c r="X229" s="35">
        <f>IF(OR(R229="",R229-AP229&lt;=0),"",AB229/(R229-AP229))</f>
        <v/>
      </c>
      <c r="Y229" s="35">
        <f>IF(OR(AR229="",AR229=0),"",R229/AR229)</f>
        <v/>
      </c>
      <c r="Z229" s="24" t="inlineStr">
        <is>
          <t>待执行</t>
        </is>
      </c>
      <c r="AA229" s="23" t="n"/>
      <c r="AB229" s="38" t="n"/>
      <c r="AC229" s="38" t="n"/>
      <c r="AD229" s="38" t="n"/>
      <c r="AE229" s="38" t="n"/>
      <c r="AF229" s="38" t="n"/>
      <c r="AG229" s="38" t="n"/>
      <c r="AH229" s="38" t="n"/>
      <c r="AI229" s="38" t="n"/>
      <c r="AJ229" s="38" t="n"/>
      <c r="AK229" s="39" t="n"/>
      <c r="AL229" s="40">
        <f>IF(OR(R229="",R229-AP229&lt;=0),"",AO229/(R229-AP229))</f>
        <v/>
      </c>
      <c r="AM229" s="41">
        <f>IF(R229="","",SUM(AC229:AF229)-(R229-AP229))</f>
        <v/>
      </c>
      <c r="AN229" s="41">
        <f>IF(R229="","",SUM(S229:W229)+AP229-R229)</f>
        <v/>
      </c>
      <c r="AO229" s="44" t="n"/>
      <c r="AP229" s="45" t="n"/>
      <c r="AQ229" s="47" t="inlineStr">
        <is>
          <t>P04-a queue valid异常；P04-b pointer错误；P04-c 选择错误queue entry</t>
        </is>
      </c>
      <c r="AR229" s="23" t="n"/>
      <c r="AS229" s="35">
        <f>IF(OR(Q229="",Q229=0),"",AR229/Q229)</f>
        <v/>
      </c>
      <c r="AT229" s="62" t="n">
        <v>30</v>
      </c>
      <c r="AU229" s="62" t="n">
        <v>385</v>
      </c>
      <c r="AV229" s="62" t="inlineStr">
        <is>
          <t>常规</t>
        </is>
      </c>
      <c r="AW229" s="62" t="inlineStr">
        <is>
          <t>累计至少385，不机械扩展到2401</t>
        </is>
      </c>
    </row>
    <row r="230" ht="94.15000000000001" customHeight="1" s="58">
      <c r="A230" s="21" t="inlineStr">
        <is>
          <t>P05-F0-W8</t>
        </is>
      </c>
      <c r="B230" s="21" t="inlineStr">
        <is>
          <t>P05</t>
        </is>
      </c>
      <c r="C230" s="21" t="inlineStr">
        <is>
          <t>数据预取器</t>
        </is>
      </c>
      <c r="D230" s="22" t="inlineStr">
        <is>
          <t>预取请求的 issue/cancel/complete 事件以及与需求 miss 合并的握手。需求访问到来时，已有预取可能被提升、合并或取消；事件错配可能让需求消费者等待错误事务。</t>
        </is>
      </c>
      <c r="E230" s="22" t="inlineStr">
        <is>
          <t>时序</t>
        </is>
      </c>
      <c r="F230"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0" s="22" t="inlineStr">
        <is>
          <t>F0</t>
        </is>
      </c>
      <c r="H230" s="22" t="inlineStr">
        <is>
          <t>每次运行只注入 1 次；在 warm-up 后的 eligible event 中均匀抽样</t>
        </is>
      </c>
      <c r="I230" s="22" t="inlineStr">
        <is>
          <t>Prefetch-Stride 预取探针（正/负/交错 stride、pointer chase、跨页 stride、训练后变步长）</t>
        </is>
      </c>
      <c r="J230" s="22" t="inlineStr">
        <is>
          <t>Prefetch-Stride 预取探针（正/负/交错 stride、pointer chase、跨页 stride、训练后变步长）
执行定义与 oracle：正/负/交错 stride、随机 pointer chase、跨页 stride、训练后变步长、需求/预取竞争</t>
        </is>
      </c>
      <c r="K230" s="22" t="inlineStr">
        <is>
          <t>预取与需求竞争</t>
        </is>
      </c>
      <c r="L230" s="22" t="inlineStr">
        <is>
          <t>L0 训练项/请求是否消费；L1 PC/stride/confidence/queue；L2预取地址、issued/useful/late/useless；L3填充way、驱逐对象、需求合并；L4架构结果；L5结局与性能偏差；demand/prefetch MSHR merge、transaction ID、返回消费者</t>
        </is>
      </c>
      <c r="M230" s="22" t="inlineStr">
        <is>
          <t>通常性能；错取消/错合并可能造成需求拿到错误事务的数据，是重点异常路径</t>
        </is>
      </c>
      <c r="N230" s="22" t="inlineStr">
        <is>
          <t>覆盖需求-预取竞争的事件配对</t>
        </is>
      </c>
      <c r="O230" s="22" t="inlineStr">
        <is>
          <t>本方案结构化模型</t>
        </is>
      </c>
      <c r="P230" s="23" t="n"/>
      <c r="Q230" s="23" t="n"/>
      <c r="R230" s="23" t="n"/>
      <c r="S230" s="23" t="n"/>
      <c r="T230" s="23" t="n"/>
      <c r="U230" s="23" t="n"/>
      <c r="V230" s="23" t="n"/>
      <c r="W230" s="23" t="n"/>
      <c r="X230" s="35">
        <f>IF(OR(R230="",R230-AP230&lt;=0),"",AB230/(R230-AP230))</f>
        <v/>
      </c>
      <c r="Y230" s="35">
        <f>IF(OR(AR230="",AR230=0),"",R230/AR230)</f>
        <v/>
      </c>
      <c r="Z230" s="24" t="inlineStr">
        <is>
          <t>待执行</t>
        </is>
      </c>
      <c r="AA230" s="23" t="n"/>
      <c r="AB230" s="38" t="n"/>
      <c r="AC230" s="38" t="n"/>
      <c r="AD230" s="38" t="n"/>
      <c r="AE230" s="38" t="n"/>
      <c r="AF230" s="38" t="n"/>
      <c r="AG230" s="38" t="n"/>
      <c r="AH230" s="38" t="n"/>
      <c r="AI230" s="38" t="n"/>
      <c r="AJ230" s="38" t="n"/>
      <c r="AK230" s="39" t="n"/>
      <c r="AL230" s="40">
        <f>IF(OR(R230="",R230-AP230&lt;=0),"",AO230/(R230-AP230))</f>
        <v/>
      </c>
      <c r="AM230" s="41">
        <f>IF(R230="","",SUM(AC230:AF230)-(R230-AP230))</f>
        <v/>
      </c>
      <c r="AN230" s="41">
        <f>IF(R230="","",SUM(S230:W230)+AP230-R230)</f>
        <v/>
      </c>
      <c r="AO230" s="44" t="n"/>
      <c r="AP230" s="45" t="n"/>
      <c r="AQ230" s="47" t="inlineStr">
        <is>
          <t>P05-a prefetch丢失；P05-b 重复；P05-c 延迟；P05-d cancel丢失</t>
        </is>
      </c>
      <c r="AR230" s="23" t="n"/>
      <c r="AS230" s="35">
        <f>IF(OR(Q230="",Q230=0),"",AR230/Q230)</f>
        <v/>
      </c>
      <c r="AT230" s="62" t="n">
        <v>30</v>
      </c>
      <c r="AU230" s="62" t="n">
        <v>385</v>
      </c>
      <c r="AV230" s="62" t="inlineStr">
        <is>
          <t>常规</t>
        </is>
      </c>
      <c r="AW230" s="62" t="inlineStr">
        <is>
          <t>累计至少385，不机械扩展到2401</t>
        </is>
      </c>
    </row>
    <row r="231" ht="94.15000000000001" customHeight="1" s="58">
      <c r="A231" s="21" t="inlineStr">
        <is>
          <t>P05-F0-W10</t>
        </is>
      </c>
      <c r="B231" s="21" t="inlineStr">
        <is>
          <t>P05</t>
        </is>
      </c>
      <c r="C231" s="21" t="inlineStr">
        <is>
          <t>数据预取器</t>
        </is>
      </c>
      <c r="D231" s="22" t="inlineStr">
        <is>
          <t>预取请求的 issue/cancel/complete 事件以及与需求 miss 合并的握手。需求访问到来时，已有预取可能被提升、合并或取消；事件错配可能让需求消费者等待错误事务。</t>
        </is>
      </c>
      <c r="E231" s="22" t="inlineStr">
        <is>
          <t>时序</t>
        </is>
      </c>
      <c r="F231"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1" s="22" t="inlineStr">
        <is>
          <t>F0</t>
        </is>
      </c>
      <c r="H231" s="22" t="inlineStr">
        <is>
          <t>每次运行只注入 1 次；在 warm-up 后的 eligible event 中均匀抽样</t>
        </is>
      </c>
      <c r="I231" s="22" t="inlineStr">
        <is>
          <t>STREAM+PointerChase（Copy、Scale、Add、Triad 与随机指针链）</t>
        </is>
      </c>
      <c r="J231" s="22" t="inlineStr">
        <is>
          <t>STREAM+PointerChase（Copy、Scale、Add、Triad 与随机指针链）
执行定义与 oracle：STREAM Copy/Scale/Add/Triad 加随机 pointer chase；检查数组 hash 与遍历节点数</t>
        </is>
      </c>
      <c r="K231" s="22" t="inlineStr">
        <is>
          <t>预取与需求竞争</t>
        </is>
      </c>
      <c r="L231" s="22" t="inlineStr">
        <is>
          <t>L0 训练项/请求是否消费；L1 PC/stride/confidence/queue；L2预取地址、issued/useful/late/useless；L3填充way、驱逐对象、需求合并；L4架构结果；L5结局与性能偏差；demand/prefetch MSHR merge、transaction ID、返回消费者</t>
        </is>
      </c>
      <c r="M231" s="22" t="inlineStr">
        <is>
          <t>通常性能；错取消/错合并可能造成需求拿到错误事务的数据，是重点异常路径</t>
        </is>
      </c>
      <c r="N231" s="22" t="inlineStr">
        <is>
          <t>覆盖需求-预取竞争的事件配对</t>
        </is>
      </c>
      <c r="O231" s="22" t="inlineStr">
        <is>
          <t>本方案结构化模型</t>
        </is>
      </c>
      <c r="P231" s="23" t="n"/>
      <c r="Q231" s="23" t="n"/>
      <c r="R231" s="23" t="n"/>
      <c r="S231" s="23" t="n"/>
      <c r="T231" s="23" t="n"/>
      <c r="U231" s="23" t="n"/>
      <c r="V231" s="23" t="n"/>
      <c r="W231" s="23" t="n"/>
      <c r="X231" s="35">
        <f>IF(OR(R231="",R231-AP231&lt;=0),"",AB231/(R231-AP231))</f>
        <v/>
      </c>
      <c r="Y231" s="35">
        <f>IF(OR(AR231="",AR231=0),"",R231/AR231)</f>
        <v/>
      </c>
      <c r="Z231" s="24" t="inlineStr">
        <is>
          <t>待执行</t>
        </is>
      </c>
      <c r="AA231" s="23" t="n"/>
      <c r="AB231" s="38" t="n"/>
      <c r="AC231" s="38" t="n"/>
      <c r="AD231" s="38" t="n"/>
      <c r="AE231" s="38" t="n"/>
      <c r="AF231" s="38" t="n"/>
      <c r="AG231" s="38" t="n"/>
      <c r="AH231" s="38" t="n"/>
      <c r="AI231" s="38" t="n"/>
      <c r="AJ231" s="38" t="n"/>
      <c r="AK231" s="39" t="n"/>
      <c r="AL231" s="40">
        <f>IF(OR(R231="",R231-AP231&lt;=0),"",AO231/(R231-AP231))</f>
        <v/>
      </c>
      <c r="AM231" s="41">
        <f>IF(R231="","",SUM(AC231:AF231)-(R231-AP231))</f>
        <v/>
      </c>
      <c r="AN231" s="41">
        <f>IF(R231="","",SUM(S231:W231)+AP231-R231)</f>
        <v/>
      </c>
      <c r="AO231" s="44" t="n"/>
      <c r="AP231" s="45" t="n"/>
      <c r="AQ231" s="47" t="inlineStr">
        <is>
          <t>P05-a prefetch丢失；P05-b 重复；P05-c 延迟；P05-d cancel丢失</t>
        </is>
      </c>
      <c r="AR231" s="23" t="n"/>
      <c r="AS231" s="35">
        <f>IF(OR(Q231="",Q231=0),"",AR231/Q231)</f>
        <v/>
      </c>
      <c r="AT231" s="62" t="n">
        <v>30</v>
      </c>
      <c r="AU231" s="62" t="n">
        <v>385</v>
      </c>
      <c r="AV231" s="62" t="inlineStr">
        <is>
          <t>常规</t>
        </is>
      </c>
      <c r="AW231" s="62" t="inlineStr">
        <is>
          <t>累计至少385，不机械扩展到2401</t>
        </is>
      </c>
    </row>
    <row r="232" ht="94.15000000000001" customHeight="1" s="58">
      <c r="A232" s="21" t="inlineStr">
        <is>
          <t>P05-F4-W8</t>
        </is>
      </c>
      <c r="B232" s="21" t="inlineStr">
        <is>
          <t>P05</t>
        </is>
      </c>
      <c r="C232" s="21" t="inlineStr">
        <is>
          <t>数据预取器</t>
        </is>
      </c>
      <c r="D232" s="22" t="inlineStr">
        <is>
          <t>预取请求的 issue/cancel/complete 事件以及与需求 miss 合并的握手。需求访问到来时，已有预取可能被提升、合并或取消；事件错配可能让需求消费者等待错误事务。</t>
        </is>
      </c>
      <c r="E232" s="22" t="inlineStr">
        <is>
          <t>时序</t>
        </is>
      </c>
      <c r="F232"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2" s="22" t="inlineStr">
        <is>
          <t>F4</t>
        </is>
      </c>
      <c r="H232" s="22" t="inlineStr">
        <is>
          <t>每 100,000 个 eligible events 触发一次，连续污染 2-4 个 eligible events</t>
        </is>
      </c>
      <c r="I232" s="22" t="inlineStr">
        <is>
          <t>Prefetch-Stride 预取探针（正/负/交错 stride、pointer chase、跨页 stride、训练后变步长）</t>
        </is>
      </c>
      <c r="J232" s="22" t="inlineStr">
        <is>
          <t>Prefetch-Stride 预取探针（正/负/交错 stride、pointer chase、跨页 stride、训练后变步长）
执行定义与 oracle：正/负/交错 stride、随机 pointer chase、跨页 stride、训练后变步长、需求/预取竞争</t>
        </is>
      </c>
      <c r="K232" s="22" t="inlineStr">
        <is>
          <t>预取与需求竞争</t>
        </is>
      </c>
      <c r="L232" s="22" t="inlineStr">
        <is>
          <t>L0 训练项/请求是否消费；L1 PC/stride/confidence/queue；L2预取地址、issued/useful/late/useless；L3填充way、驱逐对象、需求合并；L4架构结果；L5结局与性能偏差；demand/prefetch MSHR merge、transaction ID、返回消费者</t>
        </is>
      </c>
      <c r="M232" s="22" t="inlineStr">
        <is>
          <t>通常性能；错取消/错合并可能造成需求拿到错误事务的数据，是重点异常路径</t>
        </is>
      </c>
      <c r="N232" s="22" t="inlineStr">
        <is>
          <t>覆盖需求-预取竞争的事件配对</t>
        </is>
      </c>
      <c r="O232" s="22" t="inlineStr">
        <is>
          <t>本方案结构化模型</t>
        </is>
      </c>
      <c r="P232" s="23" t="n"/>
      <c r="Q232" s="23" t="n"/>
      <c r="R232" s="23" t="n"/>
      <c r="S232" s="23" t="n"/>
      <c r="T232" s="23" t="n"/>
      <c r="U232" s="23" t="n"/>
      <c r="V232" s="23" t="n"/>
      <c r="W232" s="23" t="n"/>
      <c r="X232" s="35">
        <f>IF(OR(R232="",R232-AP232&lt;=0),"",AB232/(R232-AP232))</f>
        <v/>
      </c>
      <c r="Y232" s="35">
        <f>IF(OR(AR232="",AR232=0),"",R232/AR232)</f>
        <v/>
      </c>
      <c r="Z232" s="24" t="inlineStr">
        <is>
          <t>待执行</t>
        </is>
      </c>
      <c r="AA232" s="23" t="n"/>
      <c r="AB232" s="38" t="n"/>
      <c r="AC232" s="38" t="n"/>
      <c r="AD232" s="38" t="n"/>
      <c r="AE232" s="38" t="n"/>
      <c r="AF232" s="38" t="n"/>
      <c r="AG232" s="38" t="n"/>
      <c r="AH232" s="38" t="n"/>
      <c r="AI232" s="38" t="n"/>
      <c r="AJ232" s="38" t="n"/>
      <c r="AK232" s="39" t="n"/>
      <c r="AL232" s="40">
        <f>IF(OR(R232="",R232-AP232&lt;=0),"",AO232/(R232-AP232))</f>
        <v/>
      </c>
      <c r="AM232" s="41">
        <f>IF(R232="","",SUM(AC232:AF232)-(R232-AP232))</f>
        <v/>
      </c>
      <c r="AN232" s="41">
        <f>IF(R232="","",SUM(S232:W232)+AP232-R232)</f>
        <v/>
      </c>
      <c r="AO232" s="44" t="n"/>
      <c r="AP232" s="45" t="n"/>
      <c r="AQ232" s="47" t="inlineStr">
        <is>
          <t>P05-a prefetch丢失；P05-b 重复；P05-c 延迟；P05-d cancel丢失</t>
        </is>
      </c>
      <c r="AR232" s="23" t="n"/>
      <c r="AS232" s="35">
        <f>IF(OR(Q232="",Q232=0),"",AR232/Q232)</f>
        <v/>
      </c>
      <c r="AT232" s="62" t="n">
        <v>30</v>
      </c>
      <c r="AU232" s="62" t="n">
        <v>385</v>
      </c>
      <c r="AV232" s="62" t="inlineStr">
        <is>
          <t>常规</t>
        </is>
      </c>
      <c r="AW232" s="62" t="inlineStr">
        <is>
          <t>累计至少385，不机械扩展到2401</t>
        </is>
      </c>
    </row>
    <row r="233" ht="94.15000000000001" customHeight="1" s="58">
      <c r="A233" s="21" t="inlineStr">
        <is>
          <t>P05-F4-W10</t>
        </is>
      </c>
      <c r="B233" s="21" t="inlineStr">
        <is>
          <t>P05</t>
        </is>
      </c>
      <c r="C233" s="21" t="inlineStr">
        <is>
          <t>数据预取器</t>
        </is>
      </c>
      <c r="D233" s="22" t="inlineStr">
        <is>
          <t>预取请求的 issue/cancel/complete 事件以及与需求 miss 合并的握手。需求访问到来时，已有预取可能被提升、合并或取消；事件错配可能让需求消费者等待错误事务。</t>
        </is>
      </c>
      <c r="E233" s="22" t="inlineStr">
        <is>
          <t>时序</t>
        </is>
      </c>
      <c r="F233"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3" s="22" t="inlineStr">
        <is>
          <t>F4</t>
        </is>
      </c>
      <c r="H233" s="22" t="inlineStr">
        <is>
          <t>每 100,000 个 eligible events 触发一次，连续污染 2-4 个 eligible events</t>
        </is>
      </c>
      <c r="I233" s="22" t="inlineStr">
        <is>
          <t>STREAM+PointerChase（Copy、Scale、Add、Triad 与随机指针链）</t>
        </is>
      </c>
      <c r="J233" s="22" t="inlineStr">
        <is>
          <t>STREAM+PointerChase（Copy、Scale、Add、Triad 与随机指针链）
执行定义与 oracle：STREAM Copy/Scale/Add/Triad 加随机 pointer chase；检查数组 hash 与遍历节点数</t>
        </is>
      </c>
      <c r="K233" s="22" t="inlineStr">
        <is>
          <t>预取与需求竞争</t>
        </is>
      </c>
      <c r="L233" s="22" t="inlineStr">
        <is>
          <t>L0 训练项/请求是否消费；L1 PC/stride/confidence/queue；L2预取地址、issued/useful/late/useless；L3填充way、驱逐对象、需求合并；L4架构结果；L5结局与性能偏差；demand/prefetch MSHR merge、transaction ID、返回消费者</t>
        </is>
      </c>
      <c r="M233" s="22" t="inlineStr">
        <is>
          <t>通常性能；错取消/错合并可能造成需求拿到错误事务的数据，是重点异常路径</t>
        </is>
      </c>
      <c r="N233" s="22" t="inlineStr">
        <is>
          <t>覆盖需求-预取竞争的事件配对</t>
        </is>
      </c>
      <c r="O233" s="22" t="inlineStr">
        <is>
          <t>本方案结构化模型</t>
        </is>
      </c>
      <c r="P233" s="23" t="n"/>
      <c r="Q233" s="23" t="n"/>
      <c r="R233" s="23" t="n"/>
      <c r="S233" s="23" t="n"/>
      <c r="T233" s="23" t="n"/>
      <c r="U233" s="23" t="n"/>
      <c r="V233" s="23" t="n"/>
      <c r="W233" s="23" t="n"/>
      <c r="X233" s="35">
        <f>IF(OR(R233="",R233-AP233&lt;=0),"",AB233/(R233-AP233))</f>
        <v/>
      </c>
      <c r="Y233" s="35">
        <f>IF(OR(AR233="",AR233=0),"",R233/AR233)</f>
        <v/>
      </c>
      <c r="Z233" s="24" t="inlineStr">
        <is>
          <t>待执行</t>
        </is>
      </c>
      <c r="AA233" s="23" t="n"/>
      <c r="AB233" s="38" t="n"/>
      <c r="AC233" s="38" t="n"/>
      <c r="AD233" s="38" t="n"/>
      <c r="AE233" s="38" t="n"/>
      <c r="AF233" s="38" t="n"/>
      <c r="AG233" s="38" t="n"/>
      <c r="AH233" s="38" t="n"/>
      <c r="AI233" s="38" t="n"/>
      <c r="AJ233" s="38" t="n"/>
      <c r="AK233" s="39" t="n"/>
      <c r="AL233" s="40">
        <f>IF(OR(R233="",R233-AP233&lt;=0),"",AO233/(R233-AP233))</f>
        <v/>
      </c>
      <c r="AM233" s="41">
        <f>IF(R233="","",SUM(AC233:AF233)-(R233-AP233))</f>
        <v/>
      </c>
      <c r="AN233" s="41">
        <f>IF(R233="","",SUM(S233:W233)+AP233-R233)</f>
        <v/>
      </c>
      <c r="AO233" s="44" t="n"/>
      <c r="AP233" s="45" t="n"/>
      <c r="AQ233" s="47" t="inlineStr">
        <is>
          <t>P05-a prefetch丢失；P05-b 重复；P05-c 延迟；P05-d cancel丢失</t>
        </is>
      </c>
      <c r="AR233" s="23" t="n"/>
      <c r="AS233" s="35">
        <f>IF(OR(Q233="",Q233=0),"",AR233/Q233)</f>
        <v/>
      </c>
      <c r="AT233" s="62" t="n">
        <v>30</v>
      </c>
      <c r="AU233" s="62" t="n">
        <v>385</v>
      </c>
      <c r="AV233" s="62" t="inlineStr">
        <is>
          <t>常规</t>
        </is>
      </c>
      <c r="AW233" s="62" t="inlineStr">
        <is>
          <t>累计至少385，不机械扩展到2401</t>
        </is>
      </c>
    </row>
    <row r="234" ht="94.15000000000001" customHeight="1" s="58">
      <c r="A234" s="21" t="inlineStr">
        <is>
          <t>P05-F6-W8</t>
        </is>
      </c>
      <c r="B234" s="21" t="inlineStr">
        <is>
          <t>P05</t>
        </is>
      </c>
      <c r="C234" s="21" t="inlineStr">
        <is>
          <t>数据预取器</t>
        </is>
      </c>
      <c r="D234" s="22" t="inlineStr">
        <is>
          <t>预取请求的 issue/cancel/complete 事件以及与需求 miss 合并的握手。需求访问到来时，已有预取可能被提升、合并或取消；事件错配可能让需求消费者等待错误事务。</t>
        </is>
      </c>
      <c r="E234" s="22" t="inlineStr">
        <is>
          <t>时序</t>
        </is>
      </c>
      <c r="F234"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4" s="22" t="inlineStr">
        <is>
          <t>F6</t>
        </is>
      </c>
      <c r="H234" s="22" t="inlineStr">
        <is>
          <t>首次出现指定事件时注入一次，如 TLB hit、SQ forward、dirty eviction、CAS 成功</t>
        </is>
      </c>
      <c r="I234" s="22" t="inlineStr">
        <is>
          <t>Prefetch-Stride 预取探针（正/负/交错 stride、pointer chase、跨页 stride、训练后变步长）</t>
        </is>
      </c>
      <c r="J234" s="22" t="inlineStr">
        <is>
          <t>Prefetch-Stride 预取探针（正/负/交错 stride、pointer chase、跨页 stride、训练后变步长）
执行定义与 oracle：正/负/交错 stride、随机 pointer chase、跨页 stride、训练后变步长、需求/预取竞争</t>
        </is>
      </c>
      <c r="K234" s="22" t="inlineStr">
        <is>
          <t>预取与需求竞争</t>
        </is>
      </c>
      <c r="L234" s="22" t="inlineStr">
        <is>
          <t>L0 训练项/请求是否消费；L1 PC/stride/confidence/queue；L2预取地址、issued/useful/late/useless；L3填充way、驱逐对象、需求合并；L4架构结果；L5结局与性能偏差；demand/prefetch MSHR merge、transaction ID、返回消费者</t>
        </is>
      </c>
      <c r="M234" s="22" t="inlineStr">
        <is>
          <t>通常性能；错取消/错合并可能造成需求拿到错误事务的数据，是重点异常路径</t>
        </is>
      </c>
      <c r="N234" s="22" t="inlineStr">
        <is>
          <t>覆盖需求-预取竞争的事件配对</t>
        </is>
      </c>
      <c r="O234" s="22" t="inlineStr">
        <is>
          <t>本方案结构化模型</t>
        </is>
      </c>
      <c r="P234" s="23" t="n"/>
      <c r="Q234" s="23" t="n"/>
      <c r="R234" s="23" t="n"/>
      <c r="S234" s="23" t="n"/>
      <c r="T234" s="23" t="n"/>
      <c r="U234" s="23" t="n"/>
      <c r="V234" s="23" t="n"/>
      <c r="W234" s="23" t="n"/>
      <c r="X234" s="35">
        <f>IF(OR(R234="",R234-AP234&lt;=0),"",AB234/(R234-AP234))</f>
        <v/>
      </c>
      <c r="Y234" s="35">
        <f>IF(OR(AR234="",AR234=0),"",R234/AR234)</f>
        <v/>
      </c>
      <c r="Z234" s="24" t="inlineStr">
        <is>
          <t>待执行</t>
        </is>
      </c>
      <c r="AA234" s="23" t="n"/>
      <c r="AB234" s="38" t="n"/>
      <c r="AC234" s="38" t="n"/>
      <c r="AD234" s="38" t="n"/>
      <c r="AE234" s="38" t="n"/>
      <c r="AF234" s="38" t="n"/>
      <c r="AG234" s="38" t="n"/>
      <c r="AH234" s="38" t="n"/>
      <c r="AI234" s="38" t="n"/>
      <c r="AJ234" s="38" t="n"/>
      <c r="AK234" s="39" t="n"/>
      <c r="AL234" s="40">
        <f>IF(OR(R234="",R234-AP234&lt;=0),"",AO234/(R234-AP234))</f>
        <v/>
      </c>
      <c r="AM234" s="41">
        <f>IF(R234="","",SUM(AC234:AF234)-(R234-AP234))</f>
        <v/>
      </c>
      <c r="AN234" s="41">
        <f>IF(R234="","",SUM(S234:W234)+AP234-R234)</f>
        <v/>
      </c>
      <c r="AO234" s="44" t="n"/>
      <c r="AP234" s="45" t="n"/>
      <c r="AQ234" s="47" t="inlineStr">
        <is>
          <t>P05-a prefetch丢失；P05-b 重复；P05-c 延迟；P05-d cancel丢失</t>
        </is>
      </c>
      <c r="AR234" s="23" t="n"/>
      <c r="AS234" s="35">
        <f>IF(OR(Q234="",Q234=0),"",AR234/Q234)</f>
        <v/>
      </c>
      <c r="AT234" s="62" t="n">
        <v>30</v>
      </c>
      <c r="AU234" s="62" t="n">
        <v>385</v>
      </c>
      <c r="AV234" s="62" t="inlineStr">
        <is>
          <t>常规</t>
        </is>
      </c>
      <c r="AW234" s="62" t="inlineStr">
        <is>
          <t>累计至少385，不机械扩展到2401</t>
        </is>
      </c>
    </row>
    <row r="235" ht="94.15000000000001" customHeight="1" s="58">
      <c r="A235" s="21" t="inlineStr">
        <is>
          <t>P05-F6-W10</t>
        </is>
      </c>
      <c r="B235" s="21" t="inlineStr">
        <is>
          <t>P05</t>
        </is>
      </c>
      <c r="C235" s="21" t="inlineStr">
        <is>
          <t>数据预取器</t>
        </is>
      </c>
      <c r="D235" s="22" t="inlineStr">
        <is>
          <t>预取请求的 issue/cancel/complete 事件以及与需求 miss 合并的握手。需求访问到来时，已有预取可能被提升、合并或取消；事件错配可能让需求消费者等待错误事务。</t>
        </is>
      </c>
      <c r="E235" s="22" t="inlineStr">
        <is>
          <t>时序</t>
        </is>
      </c>
      <c r="F235"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5" s="22" t="inlineStr">
        <is>
          <t>F6</t>
        </is>
      </c>
      <c r="H235" s="22" t="inlineStr">
        <is>
          <t>首次出现指定事件时注入一次，如 TLB hit、SQ forward、dirty eviction、CAS 成功</t>
        </is>
      </c>
      <c r="I235" s="22" t="inlineStr">
        <is>
          <t>STREAM+PointerChase（Copy、Scale、Add、Triad 与随机指针链）</t>
        </is>
      </c>
      <c r="J235" s="22" t="inlineStr">
        <is>
          <t>STREAM+PointerChase（Copy、Scale、Add、Triad 与随机指针链）
执行定义与 oracle：STREAM Copy/Scale/Add/Triad 加随机 pointer chase；检查数组 hash 与遍历节点数</t>
        </is>
      </c>
      <c r="K235" s="22" t="inlineStr">
        <is>
          <t>预取与需求竞争</t>
        </is>
      </c>
      <c r="L235" s="22" t="inlineStr">
        <is>
          <t>L0 训练项/请求是否消费；L1 PC/stride/confidence/queue；L2预取地址、issued/useful/late/useless；L3填充way、驱逐对象、需求合并；L4架构结果；L5结局与性能偏差；demand/prefetch MSHR merge、transaction ID、返回消费者</t>
        </is>
      </c>
      <c r="M235" s="22" t="inlineStr">
        <is>
          <t>通常性能；错取消/错合并可能造成需求拿到错误事务的数据，是重点异常路径</t>
        </is>
      </c>
      <c r="N235" s="22" t="inlineStr">
        <is>
          <t>覆盖需求-预取竞争的事件配对</t>
        </is>
      </c>
      <c r="O235" s="22" t="inlineStr">
        <is>
          <t>本方案结构化模型</t>
        </is>
      </c>
      <c r="P235" s="23" t="n"/>
      <c r="Q235" s="23" t="n"/>
      <c r="R235" s="23" t="n"/>
      <c r="S235" s="23" t="n"/>
      <c r="T235" s="23" t="n"/>
      <c r="U235" s="23" t="n"/>
      <c r="V235" s="23" t="n"/>
      <c r="W235" s="23" t="n"/>
      <c r="X235" s="35">
        <f>IF(OR(R235="",R235-AP235&lt;=0),"",AB235/(R235-AP235))</f>
        <v/>
      </c>
      <c r="Y235" s="35">
        <f>IF(OR(AR235="",AR235=0),"",R235/AR235)</f>
        <v/>
      </c>
      <c r="Z235" s="24" t="inlineStr">
        <is>
          <t>待执行</t>
        </is>
      </c>
      <c r="AA235" s="23" t="n"/>
      <c r="AB235" s="38" t="n"/>
      <c r="AC235" s="38" t="n"/>
      <c r="AD235" s="38" t="n"/>
      <c r="AE235" s="38" t="n"/>
      <c r="AF235" s="38" t="n"/>
      <c r="AG235" s="38" t="n"/>
      <c r="AH235" s="38" t="n"/>
      <c r="AI235" s="38" t="n"/>
      <c r="AJ235" s="38" t="n"/>
      <c r="AK235" s="39" t="n"/>
      <c r="AL235" s="40">
        <f>IF(OR(R235="",R235-AP235&lt;=0),"",AO235/(R235-AP235))</f>
        <v/>
      </c>
      <c r="AM235" s="41">
        <f>IF(R235="","",SUM(AC235:AF235)-(R235-AP235))</f>
        <v/>
      </c>
      <c r="AN235" s="41">
        <f>IF(R235="","",SUM(S235:W235)+AP235-R235)</f>
        <v/>
      </c>
      <c r="AO235" s="44" t="n"/>
      <c r="AP235" s="45" t="n"/>
      <c r="AQ235" s="47" t="inlineStr">
        <is>
          <t>P05-a prefetch丢失；P05-b 重复；P05-c 延迟；P05-d cancel丢失</t>
        </is>
      </c>
      <c r="AR235" s="23" t="n"/>
      <c r="AS235" s="35">
        <f>IF(OR(Q235="",Q235=0),"",AR235/Q235)</f>
        <v/>
      </c>
      <c r="AT235" s="62" t="n">
        <v>30</v>
      </c>
      <c r="AU235" s="62" t="n">
        <v>385</v>
      </c>
      <c r="AV235" s="62" t="inlineStr">
        <is>
          <t>常规</t>
        </is>
      </c>
      <c r="AW235" s="62" t="inlineStr">
        <is>
          <t>累计至少385，不机械扩展到2401</t>
        </is>
      </c>
    </row>
    <row r="236" ht="94.15000000000001" customHeight="1" s="58">
      <c r="A236" s="21" t="inlineStr">
        <is>
          <t>P06-F0-W6</t>
        </is>
      </c>
      <c r="B236" s="21" t="inlineStr">
        <is>
          <t>P06</t>
        </is>
      </c>
      <c r="C236" s="21" t="inlineStr">
        <is>
          <t>数据预取器</t>
        </is>
      </c>
      <c r="D236" s="22" t="inlineStr">
        <is>
          <t>Cache 请求中的 demand/prefetch 分类位和 fill 权限属性。分类影响优先级、替换与统计，ownership/dirty/allocate 决定填充后 line 的一致性权限；后者错误才可能从性能问题升级为正确性问题。</t>
        </is>
      </c>
      <c r="E236" s="22" t="inlineStr">
        <is>
          <t>换值</t>
        </is>
      </c>
      <c r="F236"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6" s="22" t="inlineStr">
        <is>
          <t>F0</t>
        </is>
      </c>
      <c r="H236" s="22" t="inlineStr">
        <is>
          <t>每次运行只注入 1 次；在 warm-up 后的 eligible event 中均匀抽样</t>
        </is>
      </c>
      <c r="I236" s="22" t="inlineStr">
        <is>
          <t>Cache-DirtyEvict 缓存探针（0.5×/1×/2×L1D working set、conflict set、dirty eviction、writeback）</t>
        </is>
      </c>
      <c r="J236" s="22" t="inlineStr">
        <is>
          <t>Cache-DirtyEvict 缓存探针（0.5×/1×/2×L1D working set、conflict set、dirty eviction、writeback）
执行定义与 oracle：working set=0.5×/1×/2×L1D；读改写、dirty eviction、writeback、conflict set、共享行 false sharing</t>
        </is>
      </c>
      <c r="K236" s="22" t="inlineStr">
        <is>
          <t>prefetch fill</t>
        </is>
      </c>
      <c r="L236" s="22" t="inlineStr">
        <is>
          <t>L0 训练项/请求是否消费；L1 PC/stride/confidence/queue；L2预取地址、issued/useful/late/useless；L3填充way、驱逐对象、需求合并；L4架构结果；L5结局与性能偏差；请求属性、coherence权限、dirty来源、writeback</t>
        </is>
      </c>
      <c r="M236" s="22" t="inlineStr">
        <is>
          <t>分类错可能改变替换优先级；若伪造dirty/ownership则可能错误写回或一致性SDC</t>
        </is>
      </c>
      <c r="N236" s="22" t="inlineStr">
        <is>
          <t>这是预取器区别于分支预测器的架构风险路径</t>
        </is>
      </c>
      <c r="O236" s="22" t="inlineStr">
        <is>
          <t>本方案检验现有研究空白</t>
        </is>
      </c>
      <c r="P236" s="23" t="n"/>
      <c r="Q236" s="23" t="n"/>
      <c r="R236" s="23" t="n"/>
      <c r="S236" s="23" t="n"/>
      <c r="T236" s="23" t="n"/>
      <c r="U236" s="23" t="n"/>
      <c r="V236" s="23" t="n"/>
      <c r="W236" s="23" t="n"/>
      <c r="X236" s="35">
        <f>IF(OR(R236="",R236-AP236&lt;=0),"",AB236/(R236-AP236))</f>
        <v/>
      </c>
      <c r="Y236" s="35">
        <f>IF(OR(AR236="",AR236=0),"",R236/AR236)</f>
        <v/>
      </c>
      <c r="Z236" s="24" t="inlineStr">
        <is>
          <t>待执行</t>
        </is>
      </c>
      <c r="AA236" s="23" t="n"/>
      <c r="AB236" s="38" t="n"/>
      <c r="AC236" s="38" t="n"/>
      <c r="AD236" s="38" t="n"/>
      <c r="AE236" s="38" t="n"/>
      <c r="AF236" s="38" t="n"/>
      <c r="AG236" s="38" t="n"/>
      <c r="AH236" s="38" t="n"/>
      <c r="AI236" s="38" t="n"/>
      <c r="AJ236" s="38" t="n"/>
      <c r="AK236" s="39" t="n"/>
      <c r="AL236" s="40">
        <f>IF(OR(R236="",R236-AP236&lt;=0),"",AO236/(R236-AP236))</f>
        <v/>
      </c>
      <c r="AM236" s="41">
        <f>IF(R236="","",SUM(AC236:AF236)-(R236-AP236))</f>
        <v/>
      </c>
      <c r="AN236" s="41">
        <f>IF(R236="","",SUM(S236:W236)+AP236-R236)</f>
        <v/>
      </c>
      <c r="AO236" s="44" t="n"/>
      <c r="AP236" s="45" t="n"/>
      <c r="AQ236" s="47" t="inlineStr">
        <is>
          <t>P06-a prefetch/demand误标；P06-b dirty属性错误；P06-c ownership错误；P06-d allocate属性错误</t>
        </is>
      </c>
      <c r="AR236" s="23" t="n"/>
      <c r="AS236" s="35">
        <f>IF(OR(Q236="",Q236=0),"",AR236/Q236)</f>
        <v/>
      </c>
      <c r="AT236" s="62" t="n">
        <v>30</v>
      </c>
      <c r="AU236" s="62" t="n">
        <v>385</v>
      </c>
      <c r="AV236" s="62" t="inlineStr">
        <is>
          <t>常规</t>
        </is>
      </c>
      <c r="AW236" s="62" t="inlineStr">
        <is>
          <t>累计至少385，不机械扩展到2401</t>
        </is>
      </c>
    </row>
    <row r="237" ht="94.15000000000001" customHeight="1" s="58">
      <c r="A237" s="21" t="inlineStr">
        <is>
          <t>P06-F0-W8</t>
        </is>
      </c>
      <c r="B237" s="21" t="inlineStr">
        <is>
          <t>P06</t>
        </is>
      </c>
      <c r="C237" s="21" t="inlineStr">
        <is>
          <t>数据预取器</t>
        </is>
      </c>
      <c r="D237" s="22" t="inlineStr">
        <is>
          <t>Cache 请求中的 demand/prefetch 分类位和 fill 权限属性。分类影响优先级、替换与统计，ownership/dirty/allocate 决定填充后 line 的一致性权限；后者错误才可能从性能问题升级为正确性问题。</t>
        </is>
      </c>
      <c r="E237" s="22" t="inlineStr">
        <is>
          <t>换值</t>
        </is>
      </c>
      <c r="F237"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7" s="22" t="inlineStr">
        <is>
          <t>F0</t>
        </is>
      </c>
      <c r="H237" s="22" t="inlineStr">
        <is>
          <t>每次运行只注入 1 次；在 warm-up 后的 eligible event 中均匀抽样</t>
        </is>
      </c>
      <c r="I237" s="22" t="inlineStr">
        <is>
          <t>Prefetch-Stride 预取探针（正/负/交错 stride、pointer chase、跨页 stride、训练后变步长）</t>
        </is>
      </c>
      <c r="J237" s="22" t="inlineStr">
        <is>
          <t>Prefetch-Stride 预取探针（正/负/交错 stride、pointer chase、跨页 stride、训练后变步长）
执行定义与 oracle：正/负/交错 stride、随机 pointer chase、跨页 stride、训练后变步长、需求/预取竞争</t>
        </is>
      </c>
      <c r="K237" s="22" t="inlineStr">
        <is>
          <t>prefetch fill</t>
        </is>
      </c>
      <c r="L237" s="22" t="inlineStr">
        <is>
          <t>L0 训练项/请求是否消费；L1 PC/stride/confidence/queue；L2预取地址、issued/useful/late/useless；L3填充way、驱逐对象、需求合并；L4架构结果；L5结局与性能偏差；请求属性、coherence权限、dirty来源、writeback</t>
        </is>
      </c>
      <c r="M237" s="22" t="inlineStr">
        <is>
          <t>分类错可能改变替换优先级；若伪造dirty/ownership则可能错误写回或一致性SDC</t>
        </is>
      </c>
      <c r="N237" s="22" t="inlineStr">
        <is>
          <t>这是预取器区别于分支预测器的架构风险路径</t>
        </is>
      </c>
      <c r="O237" s="22" t="inlineStr">
        <is>
          <t>本方案检验现有研究空白</t>
        </is>
      </c>
      <c r="P237" s="23" t="n"/>
      <c r="Q237" s="23" t="n"/>
      <c r="R237" s="23" t="n"/>
      <c r="S237" s="23" t="n"/>
      <c r="T237" s="23" t="n"/>
      <c r="U237" s="23" t="n"/>
      <c r="V237" s="23" t="n"/>
      <c r="W237" s="23" t="n"/>
      <c r="X237" s="35">
        <f>IF(OR(R237="",R237-AP237&lt;=0),"",AB237/(R237-AP237))</f>
        <v/>
      </c>
      <c r="Y237" s="35">
        <f>IF(OR(AR237="",AR237=0),"",R237/AR237)</f>
        <v/>
      </c>
      <c r="Z237" s="24" t="inlineStr">
        <is>
          <t>待执行</t>
        </is>
      </c>
      <c r="AA237" s="23" t="n"/>
      <c r="AB237" s="38" t="n"/>
      <c r="AC237" s="38" t="n"/>
      <c r="AD237" s="38" t="n"/>
      <c r="AE237" s="38" t="n"/>
      <c r="AF237" s="38" t="n"/>
      <c r="AG237" s="38" t="n"/>
      <c r="AH237" s="38" t="n"/>
      <c r="AI237" s="38" t="n"/>
      <c r="AJ237" s="38" t="n"/>
      <c r="AK237" s="39" t="n"/>
      <c r="AL237" s="40">
        <f>IF(OR(R237="",R237-AP237&lt;=0),"",AO237/(R237-AP237))</f>
        <v/>
      </c>
      <c r="AM237" s="41">
        <f>IF(R237="","",SUM(AC237:AF237)-(R237-AP237))</f>
        <v/>
      </c>
      <c r="AN237" s="41">
        <f>IF(R237="","",SUM(S237:W237)+AP237-R237)</f>
        <v/>
      </c>
      <c r="AO237" s="44" t="n"/>
      <c r="AP237" s="45" t="n"/>
      <c r="AQ237" s="47" t="inlineStr">
        <is>
          <t>P06-a prefetch/demand误标；P06-b dirty属性错误；P06-c ownership错误；P06-d allocate属性错误</t>
        </is>
      </c>
      <c r="AR237" s="23" t="n"/>
      <c r="AS237" s="35">
        <f>IF(OR(Q237="",Q237=0),"",AR237/Q237)</f>
        <v/>
      </c>
      <c r="AT237" s="62" t="n">
        <v>30</v>
      </c>
      <c r="AU237" s="62" t="n">
        <v>385</v>
      </c>
      <c r="AV237" s="62" t="inlineStr">
        <is>
          <t>常规</t>
        </is>
      </c>
      <c r="AW237" s="62" t="inlineStr">
        <is>
          <t>累计至少385，不机械扩展到2401</t>
        </is>
      </c>
    </row>
    <row r="238" ht="94.15000000000001" customHeight="1" s="58">
      <c r="A238" s="21" t="inlineStr">
        <is>
          <t>P06-F2-W6</t>
        </is>
      </c>
      <c r="B238" s="21" t="inlineStr">
        <is>
          <t>P06</t>
        </is>
      </c>
      <c r="C238" s="21" t="inlineStr">
        <is>
          <t>数据预取器</t>
        </is>
      </c>
      <c r="D238" s="22" t="inlineStr">
        <is>
          <t>Cache 请求中的 demand/prefetch 分类位和 fill 权限属性。分类影响优先级、替换与统计，ownership/dirty/allocate 决定填充后 line 的一致性权限；后者错误才可能从性能问题升级为正确性问题。</t>
        </is>
      </c>
      <c r="E238" s="22" t="inlineStr">
        <is>
          <t>换值</t>
        </is>
      </c>
      <c r="F238"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8" s="22" t="inlineStr">
        <is>
          <t>F2</t>
        </is>
      </c>
      <c r="H238" s="22" t="inlineStr">
        <is>
          <t>平均每 100,000 个 eligible events 注入 1 次，间隔加入 ±50% 抖动</t>
        </is>
      </c>
      <c r="I238" s="22" t="inlineStr">
        <is>
          <t>Cache-DirtyEvict 缓存探针（0.5×/1×/2×L1D working set、conflict set、dirty eviction、writeback）</t>
        </is>
      </c>
      <c r="J238" s="22" t="inlineStr">
        <is>
          <t>Cache-DirtyEvict 缓存探针（0.5×/1×/2×L1D working set、conflict set、dirty eviction、writeback）
执行定义与 oracle：working set=0.5×/1×/2×L1D；读改写、dirty eviction、writeback、conflict set、共享行 false sharing</t>
        </is>
      </c>
      <c r="K238" s="22" t="inlineStr">
        <is>
          <t>prefetch fill</t>
        </is>
      </c>
      <c r="L238" s="22" t="inlineStr">
        <is>
          <t>L0 训练项/请求是否消费；L1 PC/stride/confidence/queue；L2预取地址、issued/useful/late/useless；L3填充way、驱逐对象、需求合并；L4架构结果；L5结局与性能偏差；请求属性、coherence权限、dirty来源、writeback</t>
        </is>
      </c>
      <c r="M238" s="22" t="inlineStr">
        <is>
          <t>分类错可能改变替换优先级；若伪造dirty/ownership则可能错误写回或一致性SDC</t>
        </is>
      </c>
      <c r="N238" s="22" t="inlineStr">
        <is>
          <t>这是预取器区别于分支预测器的架构风险路径</t>
        </is>
      </c>
      <c r="O238" s="22" t="inlineStr">
        <is>
          <t>本方案检验现有研究空白</t>
        </is>
      </c>
      <c r="P238" s="23" t="n"/>
      <c r="Q238" s="23" t="n"/>
      <c r="R238" s="23" t="n"/>
      <c r="S238" s="23" t="n"/>
      <c r="T238" s="23" t="n"/>
      <c r="U238" s="23" t="n"/>
      <c r="V238" s="23" t="n"/>
      <c r="W238" s="23" t="n"/>
      <c r="X238" s="35">
        <f>IF(OR(R238="",R238-AP238&lt;=0),"",AB238/(R238-AP238))</f>
        <v/>
      </c>
      <c r="Y238" s="35">
        <f>IF(OR(AR238="",AR238=0),"",R238/AR238)</f>
        <v/>
      </c>
      <c r="Z238" s="24" t="inlineStr">
        <is>
          <t>待执行</t>
        </is>
      </c>
      <c r="AA238" s="23" t="n"/>
      <c r="AB238" s="38" t="n"/>
      <c r="AC238" s="38" t="n"/>
      <c r="AD238" s="38" t="n"/>
      <c r="AE238" s="38" t="n"/>
      <c r="AF238" s="38" t="n"/>
      <c r="AG238" s="38" t="n"/>
      <c r="AH238" s="38" t="n"/>
      <c r="AI238" s="38" t="n"/>
      <c r="AJ238" s="38" t="n"/>
      <c r="AK238" s="39" t="n"/>
      <c r="AL238" s="40">
        <f>IF(OR(R238="",R238-AP238&lt;=0),"",AO238/(R238-AP238))</f>
        <v/>
      </c>
      <c r="AM238" s="41">
        <f>IF(R238="","",SUM(AC238:AF238)-(R238-AP238))</f>
        <v/>
      </c>
      <c r="AN238" s="41">
        <f>IF(R238="","",SUM(S238:W238)+AP238-R238)</f>
        <v/>
      </c>
      <c r="AO238" s="44" t="n"/>
      <c r="AP238" s="45" t="n"/>
      <c r="AQ238" s="47" t="inlineStr">
        <is>
          <t>P06-a prefetch/demand误标；P06-b dirty属性错误；P06-c ownership错误；P06-d allocate属性错误</t>
        </is>
      </c>
      <c r="AR238" s="23" t="n"/>
      <c r="AS238" s="35">
        <f>IF(OR(Q238="",Q238=0),"",AR238/Q238)</f>
        <v/>
      </c>
      <c r="AT238" s="62" t="n">
        <v>30</v>
      </c>
      <c r="AU238" s="62" t="n">
        <v>385</v>
      </c>
      <c r="AV238" s="62" t="inlineStr">
        <is>
          <t>常规</t>
        </is>
      </c>
      <c r="AW238" s="62" t="inlineStr">
        <is>
          <t>累计至少385，不机械扩展到2401</t>
        </is>
      </c>
    </row>
    <row r="239" ht="94.15000000000001" customHeight="1" s="58">
      <c r="A239" s="21" t="inlineStr">
        <is>
          <t>P06-F2-W8</t>
        </is>
      </c>
      <c r="B239" s="21" t="inlineStr">
        <is>
          <t>P06</t>
        </is>
      </c>
      <c r="C239" s="21" t="inlineStr">
        <is>
          <t>数据预取器</t>
        </is>
      </c>
      <c r="D239" s="22" t="inlineStr">
        <is>
          <t>Cache 请求中的 demand/prefetch 分类位和 fill 权限属性。分类影响优先级、替换与统计，ownership/dirty/allocate 决定填充后 line 的一致性权限；后者错误才可能从性能问题升级为正确性问题。</t>
        </is>
      </c>
      <c r="E239" s="22" t="inlineStr">
        <is>
          <t>换值</t>
        </is>
      </c>
      <c r="F239"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9" s="22" t="inlineStr">
        <is>
          <t>F2</t>
        </is>
      </c>
      <c r="H239" s="22" t="inlineStr">
        <is>
          <t>平均每 100,000 个 eligible events 注入 1 次，间隔加入 ±50% 抖动</t>
        </is>
      </c>
      <c r="I239" s="22" t="inlineStr">
        <is>
          <t>Prefetch-Stride 预取探针（正/负/交错 stride、pointer chase、跨页 stride、训练后变步长）</t>
        </is>
      </c>
      <c r="J239" s="22" t="inlineStr">
        <is>
          <t>Prefetch-Stride 预取探针（正/负/交错 stride、pointer chase、跨页 stride、训练后变步长）
执行定义与 oracle：正/负/交错 stride、随机 pointer chase、跨页 stride、训练后变步长、需求/预取竞争</t>
        </is>
      </c>
      <c r="K239" s="22" t="inlineStr">
        <is>
          <t>prefetch fill</t>
        </is>
      </c>
      <c r="L239" s="22" t="inlineStr">
        <is>
          <t>L0 训练项/请求是否消费；L1 PC/stride/confidence/queue；L2预取地址、issued/useful/late/useless；L3填充way、驱逐对象、需求合并；L4架构结果；L5结局与性能偏差；请求属性、coherence权限、dirty来源、writeback</t>
        </is>
      </c>
      <c r="M239" s="22" t="inlineStr">
        <is>
          <t>分类错可能改变替换优先级；若伪造dirty/ownership则可能错误写回或一致性SDC</t>
        </is>
      </c>
      <c r="N239" s="22" t="inlineStr">
        <is>
          <t>这是预取器区别于分支预测器的架构风险路径</t>
        </is>
      </c>
      <c r="O239" s="22" t="inlineStr">
        <is>
          <t>本方案检验现有研究空白</t>
        </is>
      </c>
      <c r="P239" s="23" t="n"/>
      <c r="Q239" s="23" t="n"/>
      <c r="R239" s="23" t="n"/>
      <c r="S239" s="23" t="n"/>
      <c r="T239" s="23" t="n"/>
      <c r="U239" s="23" t="n"/>
      <c r="V239" s="23" t="n"/>
      <c r="W239" s="23" t="n"/>
      <c r="X239" s="35">
        <f>IF(OR(R239="",R239-AP239&lt;=0),"",AB239/(R239-AP239))</f>
        <v/>
      </c>
      <c r="Y239" s="35">
        <f>IF(OR(AR239="",AR239=0),"",R239/AR239)</f>
        <v/>
      </c>
      <c r="Z239" s="24" t="inlineStr">
        <is>
          <t>待执行</t>
        </is>
      </c>
      <c r="AA239" s="23" t="n"/>
      <c r="AB239" s="38" t="n"/>
      <c r="AC239" s="38" t="n"/>
      <c r="AD239" s="38" t="n"/>
      <c r="AE239" s="38" t="n"/>
      <c r="AF239" s="38" t="n"/>
      <c r="AG239" s="38" t="n"/>
      <c r="AH239" s="38" t="n"/>
      <c r="AI239" s="38" t="n"/>
      <c r="AJ239" s="38" t="n"/>
      <c r="AK239" s="39" t="n"/>
      <c r="AL239" s="40">
        <f>IF(OR(R239="",R239-AP239&lt;=0),"",AO239/(R239-AP239))</f>
        <v/>
      </c>
      <c r="AM239" s="41">
        <f>IF(R239="","",SUM(AC239:AF239)-(R239-AP239))</f>
        <v/>
      </c>
      <c r="AN239" s="41">
        <f>IF(R239="","",SUM(S239:W239)+AP239-R239)</f>
        <v/>
      </c>
      <c r="AO239" s="44" t="n"/>
      <c r="AP239" s="45" t="n"/>
      <c r="AQ239" s="47" t="inlineStr">
        <is>
          <t>P06-a prefetch/demand误标；P06-b dirty属性错误；P06-c ownership错误；P06-d allocate属性错误</t>
        </is>
      </c>
      <c r="AR239" s="23" t="n"/>
      <c r="AS239" s="35">
        <f>IF(OR(Q239="",Q239=0),"",AR239/Q239)</f>
        <v/>
      </c>
      <c r="AT239" s="62" t="n">
        <v>30</v>
      </c>
      <c r="AU239" s="62" t="n">
        <v>385</v>
      </c>
      <c r="AV239" s="62" t="inlineStr">
        <is>
          <t>常规</t>
        </is>
      </c>
      <c r="AW239" s="62" t="inlineStr">
        <is>
          <t>累计至少385，不机械扩展到2401</t>
        </is>
      </c>
    </row>
    <row r="240" ht="94.15000000000001" customHeight="1" s="58">
      <c r="A240" s="21" t="inlineStr">
        <is>
          <t>P06-F6-W6</t>
        </is>
      </c>
      <c r="B240" s="21" t="inlineStr">
        <is>
          <t>P06</t>
        </is>
      </c>
      <c r="C240" s="21" t="inlineStr">
        <is>
          <t>数据预取器</t>
        </is>
      </c>
      <c r="D240" s="22" t="inlineStr">
        <is>
          <t>Cache 请求中的 demand/prefetch 分类位和 fill 权限属性。分类影响优先级、替换与统计，ownership/dirty/allocate 决定填充后 line 的一致性权限；后者错误才可能从性能问题升级为正确性问题。</t>
        </is>
      </c>
      <c r="E240" s="22" t="inlineStr">
        <is>
          <t>换值</t>
        </is>
      </c>
      <c r="F240"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40" s="22" t="inlineStr">
        <is>
          <t>F6</t>
        </is>
      </c>
      <c r="H240" s="22" t="inlineStr">
        <is>
          <t>首次出现指定事件时注入一次，如 TLB hit、SQ forward、dirty eviction、CAS 成功</t>
        </is>
      </c>
      <c r="I240" s="22" t="inlineStr">
        <is>
          <t>Cache-DirtyEvict 缓存探针（0.5×/1×/2×L1D working set、conflict set、dirty eviction、writeback）</t>
        </is>
      </c>
      <c r="J240" s="22" t="inlineStr">
        <is>
          <t>Cache-DirtyEvict 缓存探针（0.5×/1×/2×L1D working set、conflict set、dirty eviction、writeback）
执行定义与 oracle：working set=0.5×/1×/2×L1D；读改写、dirty eviction、writeback、conflict set、共享行 false sharing</t>
        </is>
      </c>
      <c r="K240" s="22" t="inlineStr">
        <is>
          <t>prefetch fill</t>
        </is>
      </c>
      <c r="L240" s="22" t="inlineStr">
        <is>
          <t>L0 训练项/请求是否消费；L1 PC/stride/confidence/queue；L2预取地址、issued/useful/late/useless；L3填充way、驱逐对象、需求合并；L4架构结果；L5结局与性能偏差；请求属性、coherence权限、dirty来源、writeback</t>
        </is>
      </c>
      <c r="M240" s="22" t="inlineStr">
        <is>
          <t>分类错可能改变替换优先级；若伪造dirty/ownership则可能错误写回或一致性SDC</t>
        </is>
      </c>
      <c r="N240" s="22" t="inlineStr">
        <is>
          <t>这是预取器区别于分支预测器的架构风险路径</t>
        </is>
      </c>
      <c r="O240" s="22" t="inlineStr">
        <is>
          <t>本方案检验现有研究空白</t>
        </is>
      </c>
      <c r="P240" s="23" t="n"/>
      <c r="Q240" s="23" t="n"/>
      <c r="R240" s="23" t="n"/>
      <c r="S240" s="23" t="n"/>
      <c r="T240" s="23" t="n"/>
      <c r="U240" s="23" t="n"/>
      <c r="V240" s="23" t="n"/>
      <c r="W240" s="23" t="n"/>
      <c r="X240" s="35">
        <f>IF(OR(R240="",R240-AP240&lt;=0),"",AB240/(R240-AP240))</f>
        <v/>
      </c>
      <c r="Y240" s="35">
        <f>IF(OR(AR240="",AR240=0),"",R240/AR240)</f>
        <v/>
      </c>
      <c r="Z240" s="24" t="inlineStr">
        <is>
          <t>待执行</t>
        </is>
      </c>
      <c r="AA240" s="23" t="n"/>
      <c r="AB240" s="38" t="n"/>
      <c r="AC240" s="38" t="n"/>
      <c r="AD240" s="38" t="n"/>
      <c r="AE240" s="38" t="n"/>
      <c r="AF240" s="38" t="n"/>
      <c r="AG240" s="38" t="n"/>
      <c r="AH240" s="38" t="n"/>
      <c r="AI240" s="38" t="n"/>
      <c r="AJ240" s="38" t="n"/>
      <c r="AK240" s="39" t="n"/>
      <c r="AL240" s="40">
        <f>IF(OR(R240="",R240-AP240&lt;=0),"",AO240/(R240-AP240))</f>
        <v/>
      </c>
      <c r="AM240" s="41">
        <f>IF(R240="","",SUM(AC240:AF240)-(R240-AP240))</f>
        <v/>
      </c>
      <c r="AN240" s="41">
        <f>IF(R240="","",SUM(S240:W240)+AP240-R240)</f>
        <v/>
      </c>
      <c r="AO240" s="44" t="n"/>
      <c r="AP240" s="45" t="n"/>
      <c r="AQ240" s="47" t="inlineStr">
        <is>
          <t>P06-a prefetch/demand误标；P06-b dirty属性错误；P06-c ownership错误；P06-d allocate属性错误</t>
        </is>
      </c>
      <c r="AR240" s="23" t="n"/>
      <c r="AS240" s="35">
        <f>IF(OR(Q240="",Q240=0),"",AR240/Q240)</f>
        <v/>
      </c>
      <c r="AT240" s="62" t="n">
        <v>30</v>
      </c>
      <c r="AU240" s="62" t="n">
        <v>385</v>
      </c>
      <c r="AV240" s="62" t="inlineStr">
        <is>
          <t>常规</t>
        </is>
      </c>
      <c r="AW240" s="62" t="inlineStr">
        <is>
          <t>累计至少385，不机械扩展到2401</t>
        </is>
      </c>
    </row>
    <row r="241" ht="94.15000000000001" customHeight="1" s="58">
      <c r="A241" s="21" t="inlineStr">
        <is>
          <t>P06-F6-W8</t>
        </is>
      </c>
      <c r="B241" s="21" t="inlineStr">
        <is>
          <t>P06</t>
        </is>
      </c>
      <c r="C241" s="21" t="inlineStr">
        <is>
          <t>数据预取器</t>
        </is>
      </c>
      <c r="D241" s="22" t="inlineStr">
        <is>
          <t>Cache 请求中的 demand/prefetch 分类位和 fill 权限属性。分类影响优先级、替换与统计，ownership/dirty/allocate 决定填充后 line 的一致性权限；后者错误才可能从性能问题升级为正确性问题。</t>
        </is>
      </c>
      <c r="E241" s="22" t="inlineStr">
        <is>
          <t>换值</t>
        </is>
      </c>
      <c r="F241"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41" s="22" t="inlineStr">
        <is>
          <t>F6</t>
        </is>
      </c>
      <c r="H241" s="22" t="inlineStr">
        <is>
          <t>首次出现指定事件时注入一次，如 TLB hit、SQ forward、dirty eviction、CAS 成功</t>
        </is>
      </c>
      <c r="I241" s="22" t="inlineStr">
        <is>
          <t>Prefetch-Stride 预取探针（正/负/交错 stride、pointer chase、跨页 stride、训练后变步长）</t>
        </is>
      </c>
      <c r="J241" s="22" t="inlineStr">
        <is>
          <t>Prefetch-Stride 预取探针（正/负/交错 stride、pointer chase、跨页 stride、训练后变步长）
执行定义与 oracle：正/负/交错 stride、随机 pointer chase、跨页 stride、训练后变步长、需求/预取竞争</t>
        </is>
      </c>
      <c r="K241" s="22" t="inlineStr">
        <is>
          <t>prefetch fill</t>
        </is>
      </c>
      <c r="L241" s="22" t="inlineStr">
        <is>
          <t>L0 训练项/请求是否消费；L1 PC/stride/confidence/queue；L2预取地址、issued/useful/late/useless；L3填充way、驱逐对象、需求合并；L4架构结果；L5结局与性能偏差；请求属性、coherence权限、dirty来源、writeback</t>
        </is>
      </c>
      <c r="M241" s="22" t="inlineStr">
        <is>
          <t>分类错可能改变替换优先级；若伪造dirty/ownership则可能错误写回或一致性SDC</t>
        </is>
      </c>
      <c r="N241" s="22" t="inlineStr">
        <is>
          <t>这是预取器区别于分支预测器的架构风险路径</t>
        </is>
      </c>
      <c r="O241" s="22" t="inlineStr">
        <is>
          <t>本方案检验现有研究空白</t>
        </is>
      </c>
      <c r="P241" s="23" t="n"/>
      <c r="Q241" s="23" t="n"/>
      <c r="R241" s="23" t="n"/>
      <c r="S241" s="23" t="n"/>
      <c r="T241" s="23" t="n"/>
      <c r="U241" s="23" t="n"/>
      <c r="V241" s="23" t="n"/>
      <c r="W241" s="23" t="n"/>
      <c r="X241" s="35">
        <f>IF(OR(R241="",R241-AP241&lt;=0),"",AB241/(R241-AP241))</f>
        <v/>
      </c>
      <c r="Y241" s="35">
        <f>IF(OR(AR241="",AR241=0),"",R241/AR241)</f>
        <v/>
      </c>
      <c r="Z241" s="24" t="inlineStr">
        <is>
          <t>待执行</t>
        </is>
      </c>
      <c r="AA241" s="23" t="n"/>
      <c r="AB241" s="38" t="n"/>
      <c r="AC241" s="38" t="n"/>
      <c r="AD241" s="38" t="n"/>
      <c r="AE241" s="38" t="n"/>
      <c r="AF241" s="38" t="n"/>
      <c r="AG241" s="38" t="n"/>
      <c r="AH241" s="38" t="n"/>
      <c r="AI241" s="38" t="n"/>
      <c r="AJ241" s="38" t="n"/>
      <c r="AK241" s="39" t="n"/>
      <c r="AL241" s="40">
        <f>IF(OR(R241="",R241-AP241&lt;=0),"",AO241/(R241-AP241))</f>
        <v/>
      </c>
      <c r="AM241" s="41">
        <f>IF(R241="","",SUM(AC241:AF241)-(R241-AP241))</f>
        <v/>
      </c>
      <c r="AN241" s="41">
        <f>IF(R241="","",SUM(S241:W241)+AP241-R241)</f>
        <v/>
      </c>
      <c r="AO241" s="44" t="n"/>
      <c r="AP241" s="45" t="n"/>
      <c r="AQ241" s="47" t="inlineStr">
        <is>
          <t>P06-a prefetch/demand误标；P06-b dirty属性错误；P06-c ownership错误；P06-d allocate属性错误</t>
        </is>
      </c>
      <c r="AR241" s="23" t="n"/>
      <c r="AS241" s="35">
        <f>IF(OR(Q241="",Q241=0),"",AR241/Q241)</f>
        <v/>
      </c>
      <c r="AT241" s="62" t="n">
        <v>30</v>
      </c>
      <c r="AU241" s="62" t="n">
        <v>385</v>
      </c>
      <c r="AV241" s="62" t="inlineStr">
        <is>
          <t>常规</t>
        </is>
      </c>
      <c r="AW241" s="62" t="inlineStr">
        <is>
          <t>累计至少385，不机械扩展到2401</t>
        </is>
      </c>
    </row>
    <row r="242" ht="94.15000000000001" customHeight="1" s="58">
      <c r="A242" s="21" t="inlineStr">
        <is>
          <t>P07-F0-W6</t>
        </is>
      </c>
      <c r="B242" s="21" t="inlineStr">
        <is>
          <t>P07</t>
        </is>
      </c>
      <c r="C242" s="21" t="inlineStr">
        <is>
          <t>数据预取器</t>
        </is>
      </c>
      <c r="D242" s="22" t="inlineStr">
        <is>
          <t>预取响应进入 cache 时的 fill tag、目标 way、valid 与 data 写入配对。正确实现必须把同一 transaction 的 tag/data 写入同一 way；错位会形成 tag-data 不一致并被后续需求访问命中。</t>
        </is>
      </c>
      <c r="E242" s="22" t="inlineStr">
        <is>
          <t>错位拼接</t>
        </is>
      </c>
      <c r="F242"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2" s="22" t="inlineStr">
        <is>
          <t>F0</t>
        </is>
      </c>
      <c r="H242" s="22" t="inlineStr">
        <is>
          <t>每次运行只注入 1 次；在 warm-up 后的 eligible event 中均匀抽样</t>
        </is>
      </c>
      <c r="I242" s="22" t="inlineStr">
        <is>
          <t>Cache-DirtyEvict 缓存探针（0.5×/1×/2×L1D working set、conflict set、dirty eviction、writeback）</t>
        </is>
      </c>
      <c r="J242" s="22" t="inlineStr">
        <is>
          <t>Cache-DirtyEvict 缓存探针（0.5×/1×/2×L1D working set、conflict set、dirty eviction、writeback）
执行定义与 oracle：working set=0.5×/1×/2×L1D；读改写、dirty eviction、writeback、conflict set、共享行 false sharing</t>
        </is>
      </c>
      <c r="K242" s="22" t="inlineStr">
        <is>
          <t>prefetch response fill</t>
        </is>
      </c>
      <c r="L242" s="22" t="inlineStr">
        <is>
          <t>L0 训练项/请求是否消费；L1 PC/stride/confidence/queue；L2预取地址、issued/useful/late/useless；L3填充way、驱逐对象、需求合并；L4架构结果；L5结局与性能偏差；tag/data写入way、fill ID、后续false hit、受害line</t>
        </is>
      </c>
      <c r="M242" s="22" t="inlineStr">
        <is>
          <t>直接造成tag-data错配，预期可高SDC；这不是普通“取错地址”</t>
        </is>
      </c>
      <c r="N242" s="22" t="inlineStr">
        <is>
          <t>验证预取填充控制是否形成独立正确性风险</t>
        </is>
      </c>
      <c r="O242" s="22" t="inlineStr">
        <is>
          <t>无直接文献</t>
        </is>
      </c>
      <c r="P242" s="23" t="n"/>
      <c r="Q242" s="23" t="n"/>
      <c r="R242" s="23" t="n"/>
      <c r="S242" s="23" t="n"/>
      <c r="T242" s="23" t="n"/>
      <c r="U242" s="23" t="n"/>
      <c r="V242" s="23" t="n"/>
      <c r="W242" s="23" t="n"/>
      <c r="X242" s="35">
        <f>IF(OR(R242="",R242-AP242&lt;=0),"",AB242/(R242-AP242))</f>
        <v/>
      </c>
      <c r="Y242" s="35">
        <f>IF(OR(AR242="",AR242=0),"",R242/AR242)</f>
        <v/>
      </c>
      <c r="Z242" s="24" t="inlineStr">
        <is>
          <t>待执行</t>
        </is>
      </c>
      <c r="AA242" s="23" t="n"/>
      <c r="AB242" s="38" t="n"/>
      <c r="AC242" s="38" t="n"/>
      <c r="AD242" s="38" t="n"/>
      <c r="AE242" s="38" t="n"/>
      <c r="AF242" s="38" t="n"/>
      <c r="AG242" s="38" t="n"/>
      <c r="AH242" s="38" t="n"/>
      <c r="AI242" s="38" t="n"/>
      <c r="AJ242" s="38" t="n"/>
      <c r="AK242" s="39" t="n"/>
      <c r="AL242" s="40">
        <f>IF(OR(R242="",R242-AP242&lt;=0),"",AO242/(R242-AP242))</f>
        <v/>
      </c>
      <c r="AM242" s="41">
        <f>IF(R242="","",SUM(AC242:AF242)-(R242-AP242))</f>
        <v/>
      </c>
      <c r="AN242" s="41">
        <f>IF(R242="","",SUM(S242:W242)+AP242-R242)</f>
        <v/>
      </c>
      <c r="AO242" s="44" t="n"/>
      <c r="AP242" s="45" t="n"/>
      <c r="AQ242" s="47" t="inlineStr">
        <is>
          <t>P07-a data写入错误way；P07-b tag写入错误way；P07-c 旧tag/valid组合</t>
        </is>
      </c>
      <c r="AR242" s="23" t="n"/>
      <c r="AS242" s="35">
        <f>IF(OR(Q242="",Q242=0),"",AR242/Q242)</f>
        <v/>
      </c>
      <c r="AT242" s="62" t="n">
        <v>30</v>
      </c>
      <c r="AU242" s="62" t="n">
        <v>385</v>
      </c>
      <c r="AV242" s="62" t="inlineStr">
        <is>
          <t>常规</t>
        </is>
      </c>
      <c r="AW242" s="62" t="inlineStr">
        <is>
          <t>累计至少385，不机械扩展到2401</t>
        </is>
      </c>
    </row>
    <row r="243" ht="94.15000000000001" customHeight="1" s="58">
      <c r="A243" s="21" t="inlineStr">
        <is>
          <t>P07-F0-W8</t>
        </is>
      </c>
      <c r="B243" s="21" t="inlineStr">
        <is>
          <t>P07</t>
        </is>
      </c>
      <c r="C243" s="21" t="inlineStr">
        <is>
          <t>数据预取器</t>
        </is>
      </c>
      <c r="D243" s="22" t="inlineStr">
        <is>
          <t>预取响应进入 cache 时的 fill tag、目标 way、valid 与 data 写入配对。正确实现必须把同一 transaction 的 tag/data 写入同一 way；错位会形成 tag-data 不一致并被后续需求访问命中。</t>
        </is>
      </c>
      <c r="E243" s="22" t="inlineStr">
        <is>
          <t>错位拼接</t>
        </is>
      </c>
      <c r="F243"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3" s="22" t="inlineStr">
        <is>
          <t>F0</t>
        </is>
      </c>
      <c r="H243" s="22" t="inlineStr">
        <is>
          <t>每次运行只注入 1 次；在 warm-up 后的 eligible event 中均匀抽样</t>
        </is>
      </c>
      <c r="I243" s="22" t="inlineStr">
        <is>
          <t>Prefetch-Stride 预取探针（正/负/交错 stride、pointer chase、跨页 stride、训练后变步长）</t>
        </is>
      </c>
      <c r="J243" s="22" t="inlineStr">
        <is>
          <t>Prefetch-Stride 预取探针（正/负/交错 stride、pointer chase、跨页 stride、训练后变步长）
执行定义与 oracle：正/负/交错 stride、随机 pointer chase、跨页 stride、训练后变步长、需求/预取竞争</t>
        </is>
      </c>
      <c r="K243" s="22" t="inlineStr">
        <is>
          <t>prefetch response fill</t>
        </is>
      </c>
      <c r="L243" s="22" t="inlineStr">
        <is>
          <t>L0 训练项/请求是否消费；L1 PC/stride/confidence/queue；L2预取地址、issued/useful/late/useless；L3填充way、驱逐对象、需求合并；L4架构结果；L5结局与性能偏差；tag/data写入way、fill ID、后续false hit、受害line</t>
        </is>
      </c>
      <c r="M243" s="22" t="inlineStr">
        <is>
          <t>直接造成tag-data错配，预期可高SDC；这不是普通“取错地址”</t>
        </is>
      </c>
      <c r="N243" s="22" t="inlineStr">
        <is>
          <t>验证预取填充控制是否形成独立正确性风险</t>
        </is>
      </c>
      <c r="O243" s="22" t="inlineStr">
        <is>
          <t>无直接文献</t>
        </is>
      </c>
      <c r="P243" s="23" t="n"/>
      <c r="Q243" s="23" t="n"/>
      <c r="R243" s="23" t="n"/>
      <c r="S243" s="23" t="n"/>
      <c r="T243" s="23" t="n"/>
      <c r="U243" s="23" t="n"/>
      <c r="V243" s="23" t="n"/>
      <c r="W243" s="23" t="n"/>
      <c r="X243" s="35">
        <f>IF(OR(R243="",R243-AP243&lt;=0),"",AB243/(R243-AP243))</f>
        <v/>
      </c>
      <c r="Y243" s="35">
        <f>IF(OR(AR243="",AR243=0),"",R243/AR243)</f>
        <v/>
      </c>
      <c r="Z243" s="24" t="inlineStr">
        <is>
          <t>待执行</t>
        </is>
      </c>
      <c r="AA243" s="23" t="n"/>
      <c r="AB243" s="38" t="n"/>
      <c r="AC243" s="38" t="n"/>
      <c r="AD243" s="38" t="n"/>
      <c r="AE243" s="38" t="n"/>
      <c r="AF243" s="38" t="n"/>
      <c r="AG243" s="38" t="n"/>
      <c r="AH243" s="38" t="n"/>
      <c r="AI243" s="38" t="n"/>
      <c r="AJ243" s="38" t="n"/>
      <c r="AK243" s="39" t="n"/>
      <c r="AL243" s="40">
        <f>IF(OR(R243="",R243-AP243&lt;=0),"",AO243/(R243-AP243))</f>
        <v/>
      </c>
      <c r="AM243" s="41">
        <f>IF(R243="","",SUM(AC243:AF243)-(R243-AP243))</f>
        <v/>
      </c>
      <c r="AN243" s="41">
        <f>IF(R243="","",SUM(S243:W243)+AP243-R243)</f>
        <v/>
      </c>
      <c r="AO243" s="44" t="n"/>
      <c r="AP243" s="45" t="n"/>
      <c r="AQ243" s="47" t="inlineStr">
        <is>
          <t>P07-a data写入错误way；P07-b tag写入错误way；P07-c 旧tag/valid组合</t>
        </is>
      </c>
      <c r="AR243" s="23" t="n"/>
      <c r="AS243" s="35">
        <f>IF(OR(Q243="",Q243=0),"",AR243/Q243)</f>
        <v/>
      </c>
      <c r="AT243" s="62" t="n">
        <v>30</v>
      </c>
      <c r="AU243" s="62" t="n">
        <v>2401</v>
      </c>
      <c r="AV243" s="62" t="inlineStr">
        <is>
          <t>重点（预登记21项）</t>
        </is>
      </c>
      <c r="AW243" s="62" t="inlineStr">
        <is>
          <t>累计到2401（含前385）</t>
        </is>
      </c>
    </row>
    <row r="244" ht="94.15000000000001" customHeight="1" s="58">
      <c r="A244" s="21" t="inlineStr">
        <is>
          <t>P07-F2-W6</t>
        </is>
      </c>
      <c r="B244" s="21" t="inlineStr">
        <is>
          <t>P07</t>
        </is>
      </c>
      <c r="C244" s="21" t="inlineStr">
        <is>
          <t>数据预取器</t>
        </is>
      </c>
      <c r="D244" s="22" t="inlineStr">
        <is>
          <t>预取响应进入 cache 时的 fill tag、目标 way、valid 与 data 写入配对。正确实现必须把同一 transaction 的 tag/data 写入同一 way；错位会形成 tag-data 不一致并被后续需求访问命中。</t>
        </is>
      </c>
      <c r="E244" s="22" t="inlineStr">
        <is>
          <t>错位拼接</t>
        </is>
      </c>
      <c r="F244"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4" s="22" t="inlineStr">
        <is>
          <t>F2</t>
        </is>
      </c>
      <c r="H244" s="22" t="inlineStr">
        <is>
          <t>平均每 100,000 个 eligible events 注入 1 次，间隔加入 ±50% 抖动</t>
        </is>
      </c>
      <c r="I244" s="22" t="inlineStr">
        <is>
          <t>Cache-DirtyEvict 缓存探针（0.5×/1×/2×L1D working set、conflict set、dirty eviction、writeback）</t>
        </is>
      </c>
      <c r="J244" s="22" t="inlineStr">
        <is>
          <t>Cache-DirtyEvict 缓存探针（0.5×/1×/2×L1D working set、conflict set、dirty eviction、writeback）
执行定义与 oracle：working set=0.5×/1×/2×L1D；读改写、dirty eviction、writeback、conflict set、共享行 false sharing</t>
        </is>
      </c>
      <c r="K244" s="22" t="inlineStr">
        <is>
          <t>prefetch response fill</t>
        </is>
      </c>
      <c r="L244" s="22" t="inlineStr">
        <is>
          <t>L0 训练项/请求是否消费；L1 PC/stride/confidence/queue；L2预取地址、issued/useful/late/useless；L3填充way、驱逐对象、需求合并；L4架构结果；L5结局与性能偏差；tag/data写入way、fill ID、后续false hit、受害line</t>
        </is>
      </c>
      <c r="M244" s="22" t="inlineStr">
        <is>
          <t>直接造成tag-data错配，预期可高SDC；这不是普通“取错地址”</t>
        </is>
      </c>
      <c r="N244" s="22" t="inlineStr">
        <is>
          <t>验证预取填充控制是否形成独立正确性风险</t>
        </is>
      </c>
      <c r="O244" s="22" t="inlineStr">
        <is>
          <t>无直接文献</t>
        </is>
      </c>
      <c r="P244" s="23" t="n"/>
      <c r="Q244" s="23" t="n"/>
      <c r="R244" s="23" t="n"/>
      <c r="S244" s="23" t="n"/>
      <c r="T244" s="23" t="n"/>
      <c r="U244" s="23" t="n"/>
      <c r="V244" s="23" t="n"/>
      <c r="W244" s="23" t="n"/>
      <c r="X244" s="35">
        <f>IF(OR(R244="",R244-AP244&lt;=0),"",AB244/(R244-AP244))</f>
        <v/>
      </c>
      <c r="Y244" s="35">
        <f>IF(OR(AR244="",AR244=0),"",R244/AR244)</f>
        <v/>
      </c>
      <c r="Z244" s="24" t="inlineStr">
        <is>
          <t>待执行</t>
        </is>
      </c>
      <c r="AA244" s="23" t="n"/>
      <c r="AB244" s="38" t="n"/>
      <c r="AC244" s="38" t="n"/>
      <c r="AD244" s="38" t="n"/>
      <c r="AE244" s="38" t="n"/>
      <c r="AF244" s="38" t="n"/>
      <c r="AG244" s="38" t="n"/>
      <c r="AH244" s="38" t="n"/>
      <c r="AI244" s="38" t="n"/>
      <c r="AJ244" s="38" t="n"/>
      <c r="AK244" s="39" t="n"/>
      <c r="AL244" s="40">
        <f>IF(OR(R244="",R244-AP244&lt;=0),"",AO244/(R244-AP244))</f>
        <v/>
      </c>
      <c r="AM244" s="41">
        <f>IF(R244="","",SUM(AC244:AF244)-(R244-AP244))</f>
        <v/>
      </c>
      <c r="AN244" s="41">
        <f>IF(R244="","",SUM(S244:W244)+AP244-R244)</f>
        <v/>
      </c>
      <c r="AO244" s="44" t="n"/>
      <c r="AP244" s="45" t="n"/>
      <c r="AQ244" s="47" t="inlineStr">
        <is>
          <t>P07-a data写入错误way；P07-b tag写入错误way；P07-c 旧tag/valid组合</t>
        </is>
      </c>
      <c r="AR244" s="23" t="n"/>
      <c r="AS244" s="35">
        <f>IF(OR(Q244="",Q244=0),"",AR244/Q244)</f>
        <v/>
      </c>
      <c r="AT244" s="62" t="n">
        <v>30</v>
      </c>
      <c r="AU244" s="62" t="n">
        <v>385</v>
      </c>
      <c r="AV244" s="62" t="inlineStr">
        <is>
          <t>常规</t>
        </is>
      </c>
      <c r="AW244" s="62" t="inlineStr">
        <is>
          <t>累计至少385，不机械扩展到2401</t>
        </is>
      </c>
    </row>
    <row r="245" ht="94.15000000000001" customHeight="1" s="58">
      <c r="A245" s="21" t="inlineStr">
        <is>
          <t>P07-F2-W8</t>
        </is>
      </c>
      <c r="B245" s="21" t="inlineStr">
        <is>
          <t>P07</t>
        </is>
      </c>
      <c r="C245" s="21" t="inlineStr">
        <is>
          <t>数据预取器</t>
        </is>
      </c>
      <c r="D245" s="22" t="inlineStr">
        <is>
          <t>预取响应进入 cache 时的 fill tag、目标 way、valid 与 data 写入配对。正确实现必须把同一 transaction 的 tag/data 写入同一 way；错位会形成 tag-data 不一致并被后续需求访问命中。</t>
        </is>
      </c>
      <c r="E245" s="22" t="inlineStr">
        <is>
          <t>错位拼接</t>
        </is>
      </c>
      <c r="F245"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5" s="22" t="inlineStr">
        <is>
          <t>F2</t>
        </is>
      </c>
      <c r="H245" s="22" t="inlineStr">
        <is>
          <t>平均每 100,000 个 eligible events 注入 1 次，间隔加入 ±50% 抖动</t>
        </is>
      </c>
      <c r="I245" s="22" t="inlineStr">
        <is>
          <t>Prefetch-Stride 预取探针（正/负/交错 stride、pointer chase、跨页 stride、训练后变步长）</t>
        </is>
      </c>
      <c r="J245" s="22" t="inlineStr">
        <is>
          <t>Prefetch-Stride 预取探针（正/负/交错 stride、pointer chase、跨页 stride、训练后变步长）
执行定义与 oracle：正/负/交错 stride、随机 pointer chase、跨页 stride、训练后变步长、需求/预取竞争</t>
        </is>
      </c>
      <c r="K245" s="22" t="inlineStr">
        <is>
          <t>prefetch response fill</t>
        </is>
      </c>
      <c r="L245" s="22" t="inlineStr">
        <is>
          <t>L0 训练项/请求是否消费；L1 PC/stride/confidence/queue；L2预取地址、issued/useful/late/useless；L3填充way、驱逐对象、需求合并；L4架构结果；L5结局与性能偏差；tag/data写入way、fill ID、后续false hit、受害line</t>
        </is>
      </c>
      <c r="M245" s="22" t="inlineStr">
        <is>
          <t>直接造成tag-data错配，预期可高SDC；这不是普通“取错地址”</t>
        </is>
      </c>
      <c r="N245" s="22" t="inlineStr">
        <is>
          <t>验证预取填充控制是否形成独立正确性风险</t>
        </is>
      </c>
      <c r="O245" s="22" t="inlineStr">
        <is>
          <t>无直接文献</t>
        </is>
      </c>
      <c r="P245" s="23" t="n"/>
      <c r="Q245" s="23" t="n"/>
      <c r="R245" s="23" t="n"/>
      <c r="S245" s="23" t="n"/>
      <c r="T245" s="23" t="n"/>
      <c r="U245" s="23" t="n"/>
      <c r="V245" s="23" t="n"/>
      <c r="W245" s="23" t="n"/>
      <c r="X245" s="35">
        <f>IF(OR(R245="",R245-AP245&lt;=0),"",AB245/(R245-AP245))</f>
        <v/>
      </c>
      <c r="Y245" s="35">
        <f>IF(OR(AR245="",AR245=0),"",R245/AR245)</f>
        <v/>
      </c>
      <c r="Z245" s="24" t="inlineStr">
        <is>
          <t>待执行</t>
        </is>
      </c>
      <c r="AA245" s="23" t="n"/>
      <c r="AB245" s="38" t="n"/>
      <c r="AC245" s="38" t="n"/>
      <c r="AD245" s="38" t="n"/>
      <c r="AE245" s="38" t="n"/>
      <c r="AF245" s="38" t="n"/>
      <c r="AG245" s="38" t="n"/>
      <c r="AH245" s="38" t="n"/>
      <c r="AI245" s="38" t="n"/>
      <c r="AJ245" s="38" t="n"/>
      <c r="AK245" s="39" t="n"/>
      <c r="AL245" s="40">
        <f>IF(OR(R245="",R245-AP245&lt;=0),"",AO245/(R245-AP245))</f>
        <v/>
      </c>
      <c r="AM245" s="41">
        <f>IF(R245="","",SUM(AC245:AF245)-(R245-AP245))</f>
        <v/>
      </c>
      <c r="AN245" s="41">
        <f>IF(R245="","",SUM(S245:W245)+AP245-R245)</f>
        <v/>
      </c>
      <c r="AO245" s="44" t="n"/>
      <c r="AP245" s="45" t="n"/>
      <c r="AQ245" s="47" t="inlineStr">
        <is>
          <t>P07-a data写入错误way；P07-b tag写入错误way；P07-c 旧tag/valid组合</t>
        </is>
      </c>
      <c r="AR245" s="23" t="n"/>
      <c r="AS245" s="35">
        <f>IF(OR(Q245="",Q245=0),"",AR245/Q245)</f>
        <v/>
      </c>
      <c r="AT245" s="62" t="n">
        <v>30</v>
      </c>
      <c r="AU245" s="62" t="n">
        <v>385</v>
      </c>
      <c r="AV245" s="62" t="inlineStr">
        <is>
          <t>常规</t>
        </is>
      </c>
      <c r="AW245" s="62" t="inlineStr">
        <is>
          <t>累计至少385，不机械扩展到2401</t>
        </is>
      </c>
    </row>
    <row r="246" ht="94.15000000000001" customHeight="1" s="58">
      <c r="A246" s="21" t="inlineStr">
        <is>
          <t>P07-F6-W6</t>
        </is>
      </c>
      <c r="B246" s="21" t="inlineStr">
        <is>
          <t>P07</t>
        </is>
      </c>
      <c r="C246" s="21" t="inlineStr">
        <is>
          <t>数据预取器</t>
        </is>
      </c>
      <c r="D246" s="22" t="inlineStr">
        <is>
          <t>预取响应进入 cache 时的 fill tag、目标 way、valid 与 data 写入配对。正确实现必须把同一 transaction 的 tag/data 写入同一 way；错位会形成 tag-data 不一致并被后续需求访问命中。</t>
        </is>
      </c>
      <c r="E246" s="22" t="inlineStr">
        <is>
          <t>错位拼接</t>
        </is>
      </c>
      <c r="F246"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6" s="22" t="inlineStr">
        <is>
          <t>F6</t>
        </is>
      </c>
      <c r="H246" s="22" t="inlineStr">
        <is>
          <t>首次出现指定事件时注入一次，如 TLB hit、SQ forward、dirty eviction、CAS 成功</t>
        </is>
      </c>
      <c r="I246" s="22" t="inlineStr">
        <is>
          <t>Cache-DirtyEvict 缓存探针（0.5×/1×/2×L1D working set、conflict set、dirty eviction、writeback）</t>
        </is>
      </c>
      <c r="J246" s="22" t="inlineStr">
        <is>
          <t>Cache-DirtyEvict 缓存探针（0.5×/1×/2×L1D working set、conflict set、dirty eviction、writeback）
执行定义与 oracle：working set=0.5×/1×/2×L1D；读改写、dirty eviction、writeback、conflict set、共享行 false sharing</t>
        </is>
      </c>
      <c r="K246" s="22" t="inlineStr">
        <is>
          <t>prefetch response fill</t>
        </is>
      </c>
      <c r="L246" s="22" t="inlineStr">
        <is>
          <t>L0 训练项/请求是否消费；L1 PC/stride/confidence/queue；L2预取地址、issued/useful/late/useless；L3填充way、驱逐对象、需求合并；L4架构结果；L5结局与性能偏差；tag/data写入way、fill ID、后续false hit、受害line</t>
        </is>
      </c>
      <c r="M246" s="22" t="inlineStr">
        <is>
          <t>直接造成tag-data错配，预期可高SDC；这不是普通“取错地址”</t>
        </is>
      </c>
      <c r="N246" s="22" t="inlineStr">
        <is>
          <t>验证预取填充控制是否形成独立正确性风险</t>
        </is>
      </c>
      <c r="O246" s="22" t="inlineStr">
        <is>
          <t>无直接文献</t>
        </is>
      </c>
      <c r="P246" s="23" t="n"/>
      <c r="Q246" s="23" t="n"/>
      <c r="R246" s="23" t="n"/>
      <c r="S246" s="23" t="n"/>
      <c r="T246" s="23" t="n"/>
      <c r="U246" s="23" t="n"/>
      <c r="V246" s="23" t="n"/>
      <c r="W246" s="23" t="n"/>
      <c r="X246" s="35">
        <f>IF(OR(R246="",R246-AP246&lt;=0),"",AB246/(R246-AP246))</f>
        <v/>
      </c>
      <c r="Y246" s="35">
        <f>IF(OR(AR246="",AR246=0),"",R246/AR246)</f>
        <v/>
      </c>
      <c r="Z246" s="24" t="inlineStr">
        <is>
          <t>待执行</t>
        </is>
      </c>
      <c r="AA246" s="23" t="n"/>
      <c r="AB246" s="38" t="n"/>
      <c r="AC246" s="38" t="n"/>
      <c r="AD246" s="38" t="n"/>
      <c r="AE246" s="38" t="n"/>
      <c r="AF246" s="38" t="n"/>
      <c r="AG246" s="38" t="n"/>
      <c r="AH246" s="38" t="n"/>
      <c r="AI246" s="38" t="n"/>
      <c r="AJ246" s="38" t="n"/>
      <c r="AK246" s="39" t="n"/>
      <c r="AL246" s="40">
        <f>IF(OR(R246="",R246-AP246&lt;=0),"",AO246/(R246-AP246))</f>
        <v/>
      </c>
      <c r="AM246" s="41">
        <f>IF(R246="","",SUM(AC246:AF246)-(R246-AP246))</f>
        <v/>
      </c>
      <c r="AN246" s="41">
        <f>IF(R246="","",SUM(S246:W246)+AP246-R246)</f>
        <v/>
      </c>
      <c r="AO246" s="44" t="n"/>
      <c r="AP246" s="45" t="n"/>
      <c r="AQ246" s="47" t="inlineStr">
        <is>
          <t>P07-a data写入错误way；P07-b tag写入错误way；P07-c 旧tag/valid组合</t>
        </is>
      </c>
      <c r="AR246" s="23" t="n"/>
      <c r="AS246" s="35">
        <f>IF(OR(Q246="",Q246=0),"",AR246/Q246)</f>
        <v/>
      </c>
      <c r="AT246" s="62" t="n">
        <v>30</v>
      </c>
      <c r="AU246" s="62" t="n">
        <v>385</v>
      </c>
      <c r="AV246" s="62" t="inlineStr">
        <is>
          <t>常规</t>
        </is>
      </c>
      <c r="AW246" s="62" t="inlineStr">
        <is>
          <t>累计至少385，不机械扩展到2401</t>
        </is>
      </c>
    </row>
    <row r="247" ht="94.15000000000001" customHeight="1" s="58">
      <c r="A247" s="21" t="inlineStr">
        <is>
          <t>P07-F6-W8</t>
        </is>
      </c>
      <c r="B247" s="21" t="inlineStr">
        <is>
          <t>P07</t>
        </is>
      </c>
      <c r="C247" s="21" t="inlineStr">
        <is>
          <t>数据预取器</t>
        </is>
      </c>
      <c r="D247" s="22" t="inlineStr">
        <is>
          <t>预取响应进入 cache 时的 fill tag、目标 way、valid 与 data 写入配对。正确实现必须把同一 transaction 的 tag/data 写入同一 way；错位会形成 tag-data 不一致并被后续需求访问命中。</t>
        </is>
      </c>
      <c r="E247" s="22" t="inlineStr">
        <is>
          <t>错位拼接</t>
        </is>
      </c>
      <c r="F247"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7" s="22" t="inlineStr">
        <is>
          <t>F6</t>
        </is>
      </c>
      <c r="H247" s="22" t="inlineStr">
        <is>
          <t>首次出现指定事件时注入一次，如 TLB hit、SQ forward、dirty eviction、CAS 成功</t>
        </is>
      </c>
      <c r="I247" s="22" t="inlineStr">
        <is>
          <t>Prefetch-Stride 预取探针（正/负/交错 stride、pointer chase、跨页 stride、训练后变步长）</t>
        </is>
      </c>
      <c r="J247" s="22" t="inlineStr">
        <is>
          <t>Prefetch-Stride 预取探针（正/负/交错 stride、pointer chase、跨页 stride、训练后变步长）
执行定义与 oracle：正/负/交错 stride、随机 pointer chase、跨页 stride、训练后变步长、需求/预取竞争</t>
        </is>
      </c>
      <c r="K247" s="22" t="inlineStr">
        <is>
          <t>prefetch response fill</t>
        </is>
      </c>
      <c r="L247" s="22" t="inlineStr">
        <is>
          <t>L0 训练项/请求是否消费；L1 PC/stride/confidence/queue；L2预取地址、issued/useful/late/useless；L3填充way、驱逐对象、需求合并；L4架构结果；L5结局与性能偏差；tag/data写入way、fill ID、后续false hit、受害line</t>
        </is>
      </c>
      <c r="M247" s="22" t="inlineStr">
        <is>
          <t>直接造成tag-data错配，预期可高SDC；这不是普通“取错地址”</t>
        </is>
      </c>
      <c r="N247" s="22" t="inlineStr">
        <is>
          <t>验证预取填充控制是否形成独立正确性风险</t>
        </is>
      </c>
      <c r="O247" s="22" t="inlineStr">
        <is>
          <t>无直接文献</t>
        </is>
      </c>
      <c r="P247" s="23" t="n"/>
      <c r="Q247" s="23" t="n"/>
      <c r="R247" s="23" t="n"/>
      <c r="S247" s="23" t="n"/>
      <c r="T247" s="23" t="n"/>
      <c r="U247" s="23" t="n"/>
      <c r="V247" s="23" t="n"/>
      <c r="W247" s="23" t="n"/>
      <c r="X247" s="35">
        <f>IF(OR(R247="",R247-AP247&lt;=0),"",AB247/(R247-AP247))</f>
        <v/>
      </c>
      <c r="Y247" s="35">
        <f>IF(OR(AR247="",AR247=0),"",R247/AR247)</f>
        <v/>
      </c>
      <c r="Z247" s="24" t="inlineStr">
        <is>
          <t>待执行</t>
        </is>
      </c>
      <c r="AA247" s="23" t="n"/>
      <c r="AB247" s="38" t="n"/>
      <c r="AC247" s="38" t="n"/>
      <c r="AD247" s="38" t="n"/>
      <c r="AE247" s="38" t="n"/>
      <c r="AF247" s="38" t="n"/>
      <c r="AG247" s="38" t="n"/>
      <c r="AH247" s="38" t="n"/>
      <c r="AI247" s="38" t="n"/>
      <c r="AJ247" s="38" t="n"/>
      <c r="AK247" s="39" t="n"/>
      <c r="AL247" s="40">
        <f>IF(OR(R247="",R247-AP247&lt;=0),"",AO247/(R247-AP247))</f>
        <v/>
      </c>
      <c r="AM247" s="41">
        <f>IF(R247="","",SUM(AC247:AF247)-(R247-AP247))</f>
        <v/>
      </c>
      <c r="AN247" s="41">
        <f>IF(R247="","",SUM(S247:W247)+AP247-R247)</f>
        <v/>
      </c>
      <c r="AO247" s="44" t="n"/>
      <c r="AP247" s="45" t="n"/>
      <c r="AQ247" s="47" t="inlineStr">
        <is>
          <t>P07-a data写入错误way；P07-b tag写入错误way；P07-c 旧tag/valid组合</t>
        </is>
      </c>
      <c r="AR247" s="23" t="n"/>
      <c r="AS247" s="35">
        <f>IF(OR(Q247="",Q247=0),"",AR247/Q247)</f>
        <v/>
      </c>
      <c r="AT247" s="62" t="n">
        <v>30</v>
      </c>
      <c r="AU247" s="62" t="n">
        <v>385</v>
      </c>
      <c r="AV247" s="62" t="inlineStr">
        <is>
          <t>常规</t>
        </is>
      </c>
      <c r="AW247" s="62" t="inlineStr">
        <is>
          <t>累计至少385，不机械扩展到2401</t>
        </is>
      </c>
    </row>
    <row r="248" ht="94.15000000000001" customHeight="1" s="58">
      <c r="A248" s="21" t="inlineStr">
        <is>
          <t>P08-F5-W8</t>
        </is>
      </c>
      <c r="B248" s="21" t="inlineStr">
        <is>
          <t>P08</t>
        </is>
      </c>
      <c r="C248" s="21" t="inlineStr">
        <is>
          <t>数据预取器</t>
        </is>
      </c>
      <c r="D248" s="22" t="inlineStr">
        <is>
          <t>预取训练表的 stride 状态和失效/老化状态。表项长期不失效或 stride bit 卡死会反复生成同类错误预取。</t>
        </is>
      </c>
      <c r="E248" s="22" t="inlineStr">
        <is>
          <t>卡死</t>
        </is>
      </c>
      <c r="F248" s="22"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G248" s="22" t="inlineStr">
        <is>
          <t>F5</t>
        </is>
      </c>
      <c r="H248" s="22" t="inlineStr">
        <is>
          <t>warm-up 后第一个 eligible event 起持续到运行结束；每次运行仅选一个 bit/字段</t>
        </is>
      </c>
      <c r="I248" s="22" t="inlineStr">
        <is>
          <t>Prefetch-Stride 预取探针（正/负/交错 stride、pointer chase、跨页 stride、训练后变步长）</t>
        </is>
      </c>
      <c r="J248" s="22" t="inlineStr">
        <is>
          <t>Prefetch-Stride 预取探针（正/负/交错 stride、pointer chase、跨页 stride、训练后变步长）
执行定义与 oracle：正/负/交错 stride、随机 pointer chase、跨页 stride、训练后变步长、需求/预取竞争</t>
        </is>
      </c>
      <c r="K248" s="22" t="inlineStr">
        <is>
          <t>首个训练项后持续</t>
        </is>
      </c>
      <c r="L248" s="22" t="inlineStr">
        <is>
          <t>L0 训练项/请求是否消费；L1 PC/stride/confidence/queue；L2预取地址、issued/useful/late/useless；L3填充way、驱逐对象、需求合并；L4架构结果；L5结局与性能偏差；表项寿命、错误请求率、fill元数据完整性、输出</t>
        </is>
      </c>
      <c r="M248" s="22" t="inlineStr">
        <is>
          <t>纯训练状态卡死预期主要影响性能；若出现SDC，应检查错误是否传播到共享fill元数据</t>
        </is>
      </c>
      <c r="N248" s="22" t="inlineStr">
        <is>
          <t>永久预测错误用于验证预取状态故障通常只影响性能</t>
        </is>
      </c>
      <c r="O248" s="22" t="inlineStr">
        <is>
          <t>MICRO'24说明prefetch结构可脆弱，但未给SDC/Crash分类</t>
        </is>
      </c>
      <c r="P248" s="23" t="n"/>
      <c r="Q248" s="23" t="n"/>
      <c r="R248" s="23" t="n"/>
      <c r="S248" s="23" t="n"/>
      <c r="T248" s="23" t="n"/>
      <c r="U248" s="23" t="n"/>
      <c r="V248" s="23" t="n"/>
      <c r="W248" s="23" t="n"/>
      <c r="X248" s="35">
        <f>IF(OR(R248="",R248-AP248&lt;=0),"",AB248/(R248-AP248))</f>
        <v/>
      </c>
      <c r="Y248" s="35">
        <f>IF(OR(AR248="",AR248=0),"",R248/AR248)</f>
        <v/>
      </c>
      <c r="Z248" s="24" t="inlineStr">
        <is>
          <t>待执行</t>
        </is>
      </c>
      <c r="AA248" s="23" t="n"/>
      <c r="AB248" s="38" t="n"/>
      <c r="AC248" s="38" t="n"/>
      <c r="AD248" s="38" t="n"/>
      <c r="AE248" s="38" t="n"/>
      <c r="AF248" s="38" t="n"/>
      <c r="AG248" s="38" t="n"/>
      <c r="AH248" s="38" t="n"/>
      <c r="AI248" s="38" t="n"/>
      <c r="AJ248" s="38" t="n"/>
      <c r="AK248" s="39" t="n"/>
      <c r="AL248" s="40">
        <f>IF(OR(R248="",R248-AP248&lt;=0),"",AO248/(R248-AP248))</f>
        <v/>
      </c>
      <c r="AM248" s="41">
        <f>IF(R248="","",SUM(AC248:AF248)-(R248-AP248))</f>
        <v/>
      </c>
      <c r="AN248" s="41">
        <f>IF(R248="","",SUM(S248:W248)+AP248-R248)</f>
        <v/>
      </c>
      <c r="AO248" s="44" t="n"/>
      <c r="AP248" s="45" t="n"/>
      <c r="AQ248" s="47" t="inlineStr">
        <is>
          <t>P08-a stride位stuck-at-0/1；P08-b 状态长期不失效</t>
        </is>
      </c>
      <c r="AR248" s="23" t="n"/>
      <c r="AS248" s="35">
        <f>IF(OR(Q248="",Q248=0),"",AR248/Q248)</f>
        <v/>
      </c>
      <c r="AT248" s="62" t="n">
        <v>30</v>
      </c>
      <c r="AU248" s="62" t="n">
        <v>385</v>
      </c>
      <c r="AV248" s="62" t="inlineStr">
        <is>
          <t>常规</t>
        </is>
      </c>
      <c r="AW248" s="62" t="inlineStr">
        <is>
          <t>累计至少385，不机械扩展到2401</t>
        </is>
      </c>
    </row>
    <row r="249" ht="94.15000000000001" customHeight="1" s="58">
      <c r="A249" s="21" t="inlineStr">
        <is>
          <t>P08-F5-W10</t>
        </is>
      </c>
      <c r="B249" s="21" t="inlineStr">
        <is>
          <t>P08</t>
        </is>
      </c>
      <c r="C249" s="21" t="inlineStr">
        <is>
          <t>数据预取器</t>
        </is>
      </c>
      <c r="D249" s="22" t="inlineStr">
        <is>
          <t>预取训练表的 stride 状态和失效/老化状态。表项长期不失效或 stride bit 卡死会反复生成同类错误预取。</t>
        </is>
      </c>
      <c r="E249" s="22" t="inlineStr">
        <is>
          <t>卡死</t>
        </is>
      </c>
      <c r="F249" s="22"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G249" s="22" t="inlineStr">
        <is>
          <t>F5</t>
        </is>
      </c>
      <c r="H249" s="22" t="inlineStr">
        <is>
          <t>warm-up 后第一个 eligible event 起持续到运行结束；每次运行仅选一个 bit/字段</t>
        </is>
      </c>
      <c r="I249" s="22" t="inlineStr">
        <is>
          <t>STREAM+PointerChase（Copy、Scale、Add、Triad 与随机指针链）</t>
        </is>
      </c>
      <c r="J249" s="22" t="inlineStr">
        <is>
          <t>STREAM+PointerChase（Copy、Scale、Add、Triad 与随机指针链）
执行定义与 oracle：STREAM Copy/Scale/Add/Triad 加随机 pointer chase；检查数组 hash 与遍历节点数</t>
        </is>
      </c>
      <c r="K249" s="22" t="inlineStr">
        <is>
          <t>首个训练项后持续</t>
        </is>
      </c>
      <c r="L249" s="22" t="inlineStr">
        <is>
          <t>L0 训练项/请求是否消费；L1 PC/stride/confidence/queue；L2预取地址、issued/useful/late/useless；L3填充way、驱逐对象、需求合并；L4架构结果；L5结局与性能偏差；表项寿命、错误请求率、fill元数据完整性、输出</t>
        </is>
      </c>
      <c r="M249" s="22" t="inlineStr">
        <is>
          <t>纯训练状态卡死预期主要影响性能；若出现SDC，应检查错误是否传播到共享fill元数据</t>
        </is>
      </c>
      <c r="N249" s="22" t="inlineStr">
        <is>
          <t>永久预测错误用于验证预取状态故障通常只影响性能</t>
        </is>
      </c>
      <c r="O249" s="22" t="inlineStr">
        <is>
          <t>MICRO'24说明prefetch结构可脆弱，但未给SDC/Crash分类</t>
        </is>
      </c>
      <c r="P249" s="23" t="n"/>
      <c r="Q249" s="23" t="n"/>
      <c r="R249" s="23" t="n"/>
      <c r="S249" s="23" t="n"/>
      <c r="T249" s="23" t="n"/>
      <c r="U249" s="23" t="n"/>
      <c r="V249" s="23" t="n"/>
      <c r="W249" s="23" t="n"/>
      <c r="X249" s="35">
        <f>IF(OR(R249="",R249-AP249&lt;=0),"",AB249/(R249-AP249))</f>
        <v/>
      </c>
      <c r="Y249" s="35">
        <f>IF(OR(AR249="",AR249=0),"",R249/AR249)</f>
        <v/>
      </c>
      <c r="Z249" s="24" t="inlineStr">
        <is>
          <t>待执行</t>
        </is>
      </c>
      <c r="AA249" s="23" t="n"/>
      <c r="AB249" s="38" t="n"/>
      <c r="AC249" s="38" t="n"/>
      <c r="AD249" s="38" t="n"/>
      <c r="AE249" s="38" t="n"/>
      <c r="AF249" s="38" t="n"/>
      <c r="AG249" s="38" t="n"/>
      <c r="AH249" s="38" t="n"/>
      <c r="AI249" s="38" t="n"/>
      <c r="AJ249" s="38" t="n"/>
      <c r="AK249" s="39" t="n"/>
      <c r="AL249" s="40">
        <f>IF(OR(R249="",R249-AP249&lt;=0),"",AO249/(R249-AP249))</f>
        <v/>
      </c>
      <c r="AM249" s="41">
        <f>IF(R249="","",SUM(AC249:AF249)-(R249-AP249))</f>
        <v/>
      </c>
      <c r="AN249" s="41">
        <f>IF(R249="","",SUM(S249:W249)+AP249-R249)</f>
        <v/>
      </c>
      <c r="AO249" s="44" t="n"/>
      <c r="AP249" s="45" t="n"/>
      <c r="AQ249" s="47" t="inlineStr">
        <is>
          <t>P08-a stride位stuck-at-0/1；P08-b 状态长期不失效</t>
        </is>
      </c>
      <c r="AR249" s="23" t="n"/>
      <c r="AS249" s="35">
        <f>IF(OR(Q249="",Q249=0),"",AR249/Q249)</f>
        <v/>
      </c>
      <c r="AT249" s="62" t="n">
        <v>30</v>
      </c>
      <c r="AU249" s="62" t="n">
        <v>385</v>
      </c>
      <c r="AV249" s="62" t="inlineStr">
        <is>
          <t>常规</t>
        </is>
      </c>
      <c r="AW249" s="62" t="inlineStr">
        <is>
          <t>累计至少385，不机械扩展到2401</t>
        </is>
      </c>
    </row>
    <row r="250" ht="94.15000000000001" customHeight="1" s="58">
      <c r="A250" s="21" t="inlineStr">
        <is>
          <t>T10-F0-W1</t>
        </is>
      </c>
      <c r="B250" s="21" t="inlineStr">
        <is>
          <t>T10</t>
        </is>
      </c>
      <c r="C250" s="21" t="inlineStr">
        <is>
          <t>L1d-TLB</t>
        </is>
      </c>
      <c r="D250" s="22" t="inlineStr">
        <is>
          <t>L1 d-TLB 有效表项的 PPN（Physical Page Number）数据字段。VPN/ASID 命中后，PPN 与页内偏移组成送往 L1D 的物理地址；该字段是 TC'23 类实验中最需要保留的基础对照。</t>
        </is>
      </c>
      <c r="E250" s="22" t="inlineStr">
        <is>
          <t>单比特翻转</t>
        </is>
      </c>
      <c r="F250"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0" s="22" t="inlineStr">
        <is>
          <t>F0</t>
        </is>
      </c>
      <c r="H250" s="22" t="inlineStr">
        <is>
          <t>每次运行只注入 1 次；在 warm-up 后的 eligible event 中均匀抽样</t>
        </is>
      </c>
      <c r="I250" s="22" t="inlineStr">
        <is>
          <t>MiBench-TC23 论文负载（blowfish、patricia、fft、gsm、dijkstra、rijndael、sha、bitcount、edge、smooth）</t>
        </is>
      </c>
      <c r="J250" s="22" t="inlineStr">
        <is>
          <t>MiBench-TC23 论文负载（blowfish、patricia、fft、gsm、dijkstra、rijndael、sha、bitcount、edge、smooth）
执行定义与 oracle：blowfish、patricia、fft、gsm、dijkstra、rijndael、sha、bitcount、edge、smooth；最大输入集</t>
        </is>
      </c>
      <c r="K250" s="22" t="inlineStr">
        <is>
          <t>DTLB 中存在有效项且后续再次命中</t>
        </is>
      </c>
      <c r="L250" s="22" t="inlineStr">
        <is>
          <t>L0 attempted/activated；L1 PPN 原值/故障值与命中项；L2 翻译后PA、权限与页大小；L3 cache line/DRAM落点；L4首次错误load/store；L5结局；按bit区间统计</t>
        </is>
      </c>
      <c r="M250" s="22" t="inlineStr">
        <is>
          <t>高位翻转更可能触发地址异常或Crash；落入另一已映射物理页时可能产生SDC；与VPN-tag单比特结果不应混算</t>
        </is>
      </c>
      <c r="N250" s="22" t="inlineStr">
        <is>
          <t>补回旧版具备而新版缺失的字段级单比特基线，使PPN双比特、卡死和合法换值均有可比较的F0对照</t>
        </is>
      </c>
      <c r="O250" s="22" t="inlineStr">
        <is>
          <t>TC'22/TC'23 对 DTLB 瞬态注入提供直接机制与结果对照</t>
        </is>
      </c>
      <c r="P250" s="23" t="n"/>
      <c r="Q250" s="23" t="n"/>
      <c r="R250" s="23" t="n"/>
      <c r="S250" s="23" t="n"/>
      <c r="T250" s="23" t="n"/>
      <c r="U250" s="23" t="n"/>
      <c r="V250" s="23" t="n"/>
      <c r="W250" s="23" t="n"/>
      <c r="X250" s="35">
        <f>IF(OR(R250="",R250-AP250&lt;=0),"",AB250/(R250-AP250))</f>
        <v/>
      </c>
      <c r="Y250" s="35">
        <f>IF(OR(AR250="",AR250=0),"",R250/AR250)</f>
        <v/>
      </c>
      <c r="Z250" s="24" t="inlineStr">
        <is>
          <t>待执行</t>
        </is>
      </c>
      <c r="AA250" s="23" t="n"/>
      <c r="AB250" s="38" t="n"/>
      <c r="AC250" s="38" t="n"/>
      <c r="AD250" s="38" t="n"/>
      <c r="AE250" s="38" t="n"/>
      <c r="AF250" s="38" t="n"/>
      <c r="AG250" s="38" t="n"/>
      <c r="AH250" s="38" t="n"/>
      <c r="AI250" s="38" t="n"/>
      <c r="AJ250" s="38" t="n"/>
      <c r="AK250" s="39" t="n"/>
      <c r="AL250" s="40">
        <f>IF(OR(R250="",R250-AP250&lt;=0),"",AO250/(R250-AP250))</f>
        <v/>
      </c>
      <c r="AM250" s="41">
        <f>IF(R250="","",SUM(AC250:AF250)-(R250-AP250))</f>
        <v/>
      </c>
      <c r="AN250" s="41">
        <f>IF(R250="","",SUM(S250:W250)+AP250-R250)</f>
        <v/>
      </c>
      <c r="AO250" s="44" t="n"/>
      <c r="AP250" s="45" t="n"/>
      <c r="AQ250" s="47" t="inlineStr">
        <is>
          <t>T10-a PPN低位单bit；T10-b PPN中位单bit；T10-c PPN高位单bit</t>
        </is>
      </c>
      <c r="AR250" s="23" t="n"/>
      <c r="AS250" s="35">
        <f>IF(OR(Q250="",Q250=0),"",AR250/Q250)</f>
        <v/>
      </c>
      <c r="AT250" s="62" t="n">
        <v>30</v>
      </c>
      <c r="AU250" s="62" t="n">
        <v>385</v>
      </c>
      <c r="AV250" s="62" t="inlineStr">
        <is>
          <t>常规</t>
        </is>
      </c>
      <c r="AW250" s="62" t="inlineStr">
        <is>
          <t>累计至少385，不机械扩展到2401</t>
        </is>
      </c>
    </row>
    <row r="251" ht="94.15000000000001" customHeight="1" s="58">
      <c r="A251" s="21" t="inlineStr">
        <is>
          <t>T10-F0-W4</t>
        </is>
      </c>
      <c r="B251" s="21" t="inlineStr">
        <is>
          <t>T10</t>
        </is>
      </c>
      <c r="C251" s="21" t="inlineStr">
        <is>
          <t>L1d-TLB</t>
        </is>
      </c>
      <c r="D251" s="22" t="inlineStr">
        <is>
          <t>L1 d-TLB 有效表项的 PPN（Physical Page Number）数据字段。VPN/ASID 命中后，PPN 与页内偏移组成送往 L1D 的物理地址；该字段是 TC'23 类实验中最需要保留的基础对照。</t>
        </is>
      </c>
      <c r="E251" s="22" t="inlineStr">
        <is>
          <t>单比特翻转</t>
        </is>
      </c>
      <c r="F251"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1" s="22" t="inlineStr">
        <is>
          <t>F0</t>
        </is>
      </c>
      <c r="H251" s="22" t="inlineStr">
        <is>
          <t>每次运行只注入 1 次；在 warm-up 后的 eligible event 中均匀抽样</t>
        </is>
      </c>
      <c r="I251" s="22" t="inlineStr">
        <is>
          <t>TLB-AliasPerm 地址翻译探针（4KiB/2MiB 页、ASID、同VA不同PA、权限、TLBI、跨页访问）</t>
        </is>
      </c>
      <c r="J251" s="22" t="inlineStr">
        <is>
          <t>TLB-AliasPerm 地址翻译探针（4KiB/2MiB 页、ASID、同VA不同PA、权限、TLBI、跨页访问）
执行定义与 oracle：4KiB/2MiB 页、ASID 切换、同 VA 不同 PA、只读/不可执行页、TLBI 后重填、跨页 load/store</t>
        </is>
      </c>
      <c r="K251" s="22" t="inlineStr">
        <is>
          <t>DTLB 中存在有效项且后续再次命中</t>
        </is>
      </c>
      <c r="L251" s="22" t="inlineStr">
        <is>
          <t>L0 attempted/activated；L1 PPN 原值/故障值与命中项；L2 翻译后PA、权限与页大小；L3 cache line/DRAM落点；L4首次错误load/store；L5结局；按bit区间统计</t>
        </is>
      </c>
      <c r="M251" s="22" t="inlineStr">
        <is>
          <t>高位翻转更可能触发地址异常或Crash；落入另一已映射物理页时可能产生SDC；与VPN-tag单比特结果不应混算</t>
        </is>
      </c>
      <c r="N251" s="22" t="inlineStr">
        <is>
          <t>补回旧版具备而新版缺失的字段级单比特基线，使PPN双比特、卡死和合法换值均有可比较的F0对照</t>
        </is>
      </c>
      <c r="O251" s="22" t="inlineStr">
        <is>
          <t>TC'22/TC'23 对 DTLB 瞬态注入提供直接机制与结果对照</t>
        </is>
      </c>
      <c r="P251" s="23" t="n"/>
      <c r="Q251" s="23" t="n"/>
      <c r="R251" s="23" t="n"/>
      <c r="S251" s="23" t="n"/>
      <c r="T251" s="23" t="n"/>
      <c r="U251" s="23" t="n"/>
      <c r="V251" s="23" t="n"/>
      <c r="W251" s="23" t="n"/>
      <c r="X251" s="35">
        <f>IF(OR(R251="",R251-AP251&lt;=0),"",AB251/(R251-AP251))</f>
        <v/>
      </c>
      <c r="Y251" s="35">
        <f>IF(OR(AR251="",AR251=0),"",R251/AR251)</f>
        <v/>
      </c>
      <c r="Z251" s="24" t="inlineStr">
        <is>
          <t>待执行</t>
        </is>
      </c>
      <c r="AA251" s="23" t="n"/>
      <c r="AB251" s="38" t="n"/>
      <c r="AC251" s="38" t="n"/>
      <c r="AD251" s="38" t="n"/>
      <c r="AE251" s="38" t="n"/>
      <c r="AF251" s="38" t="n"/>
      <c r="AG251" s="38" t="n"/>
      <c r="AH251" s="38" t="n"/>
      <c r="AI251" s="38" t="n"/>
      <c r="AJ251" s="38" t="n"/>
      <c r="AK251" s="39" t="n"/>
      <c r="AL251" s="40">
        <f>IF(OR(R251="",R251-AP251&lt;=0),"",AO251/(R251-AP251))</f>
        <v/>
      </c>
      <c r="AM251" s="41">
        <f>IF(R251="","",SUM(AC251:AF251)-(R251-AP251))</f>
        <v/>
      </c>
      <c r="AN251" s="41">
        <f>IF(R251="","",SUM(S251:W251)+AP251-R251)</f>
        <v/>
      </c>
      <c r="AO251" s="44" t="n"/>
      <c r="AP251" s="45" t="n"/>
      <c r="AQ251" s="47" t="inlineStr">
        <is>
          <t>T10-a PPN低位单bit；T10-b PPN中位单bit；T10-c PPN高位单bit</t>
        </is>
      </c>
      <c r="AR251" s="23" t="n"/>
      <c r="AS251" s="35">
        <f>IF(OR(Q251="",Q251=0),"",AR251/Q251)</f>
        <v/>
      </c>
      <c r="AT251" s="62" t="n">
        <v>30</v>
      </c>
      <c r="AU251" s="62" t="n">
        <v>2401</v>
      </c>
      <c r="AV251" s="62" t="inlineStr">
        <is>
          <t>重点（预登记21项）</t>
        </is>
      </c>
      <c r="AW251" s="62" t="inlineStr">
        <is>
          <t>累计到2401（含前385）</t>
        </is>
      </c>
    </row>
    <row r="252" ht="94.15000000000001" customHeight="1" s="58">
      <c r="A252" s="21" t="inlineStr">
        <is>
          <t>T10-F0-W11</t>
        </is>
      </c>
      <c r="B252" s="21" t="inlineStr">
        <is>
          <t>T10</t>
        </is>
      </c>
      <c r="C252" s="21" t="inlineStr">
        <is>
          <t>L1d-TLB</t>
        </is>
      </c>
      <c r="D252" s="22" t="inlineStr">
        <is>
          <t>L1 d-TLB 有效表项的 PPN（Physical Page Number）数据字段。VPN/ASID 命中后，PPN 与页内偏移组成送往 L1D 的物理地址；该字段是 TC'23 类实验中最需要保留的基础对照。</t>
        </is>
      </c>
      <c r="E252" s="22" t="inlineStr">
        <is>
          <t>单比特翻转</t>
        </is>
      </c>
      <c r="F252"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2" s="22" t="inlineStr">
        <is>
          <t>F0</t>
        </is>
      </c>
      <c r="H252" s="22" t="inlineStr">
        <is>
          <t>每次运行只注入 1 次；在 warm-up 后的 eligible event 中均匀抽样</t>
        </is>
      </c>
      <c r="I252" s="22" t="inlineStr">
        <is>
          <t>SPEC CPU2017 采样区间</t>
        </is>
      </c>
      <c r="J252" s="22" t="inlineStr">
        <is>
          <t>SPEC CPU2017 采样区间
执行定义与 oracle：mcf、omnetpp、xalancbmk、lbm 的固定 SimPoint/checkpoint；使用参考输出或结果哈希</t>
        </is>
      </c>
      <c r="K252" s="22" t="inlineStr">
        <is>
          <t>DTLB 中存在有效项且后续再次命中</t>
        </is>
      </c>
      <c r="L252" s="22" t="inlineStr">
        <is>
          <t>L0 attempted/activated；L1 PPN 原值/故障值与命中项；L2 翻译后PA、权限与页大小；L3 cache line/DRAM落点；L4首次错误load/store；L5结局；按bit区间统计</t>
        </is>
      </c>
      <c r="M252" s="22" t="inlineStr">
        <is>
          <t>高位翻转更可能触发地址异常或Crash；落入另一已映射物理页时可能产生SDC；与VPN-tag单比特结果不应混算</t>
        </is>
      </c>
      <c r="N252" s="22" t="inlineStr">
        <is>
          <t>补回旧版具备而新版缺失的字段级单比特基线，使PPN双比特、卡死和合法换值均有可比较的F0对照</t>
        </is>
      </c>
      <c r="O252" s="22" t="inlineStr">
        <is>
          <t>TC'22/TC'23 对 DTLB 瞬态注入提供直接机制与结果对照</t>
        </is>
      </c>
      <c r="P252" s="23" t="n"/>
      <c r="Q252" s="23" t="n"/>
      <c r="R252" s="23" t="n"/>
      <c r="S252" s="23" t="n"/>
      <c r="T252" s="23" t="n"/>
      <c r="U252" s="23" t="n"/>
      <c r="V252" s="23" t="n"/>
      <c r="W252" s="23" t="n"/>
      <c r="X252" s="35">
        <f>IF(OR(R252="",R252-AP252&lt;=0),"",AB252/(R252-AP252))</f>
        <v/>
      </c>
      <c r="Y252" s="35">
        <f>IF(OR(AR252="",AR252=0),"",R252/AR252)</f>
        <v/>
      </c>
      <c r="Z252" s="24" t="inlineStr">
        <is>
          <t>待执行</t>
        </is>
      </c>
      <c r="AA252" s="23" t="n"/>
      <c r="AB252" s="38" t="n"/>
      <c r="AC252" s="38" t="n"/>
      <c r="AD252" s="38" t="n"/>
      <c r="AE252" s="38" t="n"/>
      <c r="AF252" s="38" t="n"/>
      <c r="AG252" s="38" t="n"/>
      <c r="AH252" s="38" t="n"/>
      <c r="AI252" s="38" t="n"/>
      <c r="AJ252" s="38" t="n"/>
      <c r="AK252" s="39" t="n"/>
      <c r="AL252" s="40">
        <f>IF(OR(R252="",R252-AP252&lt;=0),"",AO252/(R252-AP252))</f>
        <v/>
      </c>
      <c r="AM252" s="41">
        <f>IF(R252="","",SUM(AC252:AF252)-(R252-AP252))</f>
        <v/>
      </c>
      <c r="AN252" s="41">
        <f>IF(R252="","",SUM(S252:W252)+AP252-R252)</f>
        <v/>
      </c>
      <c r="AO252" s="44" t="n"/>
      <c r="AP252" s="45" t="n"/>
      <c r="AQ252" s="47" t="inlineStr">
        <is>
          <t>T10-a PPN低位单bit；T10-b PPN中位单bit；T10-c PPN高位单bit</t>
        </is>
      </c>
      <c r="AR252" s="23" t="n"/>
      <c r="AS252" s="35">
        <f>IF(OR(Q252="",Q252=0),"",AR252/Q252)</f>
        <v/>
      </c>
      <c r="AT252" s="62" t="n">
        <v>30</v>
      </c>
      <c r="AU252" s="62" t="n">
        <v>2401</v>
      </c>
      <c r="AV252" s="62" t="inlineStr">
        <is>
          <t>重点（预登记21项）</t>
        </is>
      </c>
      <c r="AW252" s="62" t="inlineStr">
        <is>
          <t>累计到2401（含前385）</t>
        </is>
      </c>
    </row>
    <row r="253" ht="94.15000000000001" customHeight="1" s="58">
      <c r="A253" s="21" t="inlineStr">
        <is>
          <t>T10-F1-W1</t>
        </is>
      </c>
      <c r="B253" s="21" t="inlineStr">
        <is>
          <t>T10</t>
        </is>
      </c>
      <c r="C253" s="21" t="inlineStr">
        <is>
          <t>L1d-TLB</t>
        </is>
      </c>
      <c r="D253" s="22" t="inlineStr">
        <is>
          <t>L1 d-TLB 有效表项的 PPN（Physical Page Number）数据字段。VPN/ASID 命中后，PPN 与页内偏移组成送往 L1D 的物理地址；该字段是 TC'23 类实验中最需要保留的基础对照。</t>
        </is>
      </c>
      <c r="E253" s="22" t="inlineStr">
        <is>
          <t>单比特翻转</t>
        </is>
      </c>
      <c r="F253"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3" s="22" t="inlineStr">
        <is>
          <t>F1</t>
        </is>
      </c>
      <c r="H253" s="22" t="inlineStr">
        <is>
          <t>平均每 1,000,000 个 eligible events 注入 1 次，间隔加入 ±50% 抖动</t>
        </is>
      </c>
      <c r="I253" s="22" t="inlineStr">
        <is>
          <t>MiBench-TC23 论文负载（blowfish、patricia、fft、gsm、dijkstra、rijndael、sha、bitcount、edge、smooth）</t>
        </is>
      </c>
      <c r="J253" s="22" t="inlineStr">
        <is>
          <t>MiBench-TC23 论文负载（blowfish、patricia、fft、gsm、dijkstra、rijndael、sha、bitcount、edge、smooth）
执行定义与 oracle：blowfish、patricia、fft、gsm、dijkstra、rijndael、sha、bitcount、edge、smooth；最大输入集</t>
        </is>
      </c>
      <c r="K253" s="22" t="inlineStr">
        <is>
          <t>DTLB 中存在有效项且后续再次命中</t>
        </is>
      </c>
      <c r="L253" s="22" t="inlineStr">
        <is>
          <t>L0 attempted/activated；L1 PPN 原值/故障值与命中项；L2 翻译后PA、权限与页大小；L3 cache line/DRAM落点；L4首次错误load/store；L5结局；按bit区间统计</t>
        </is>
      </c>
      <c r="M253" s="22" t="inlineStr">
        <is>
          <t>高位翻转更可能触发地址异常或Crash；落入另一已映射物理页时可能产生SDC；与VPN-tag单比特结果不应混算</t>
        </is>
      </c>
      <c r="N253" s="22" t="inlineStr">
        <is>
          <t>补回旧版具备而新版缺失的字段级单比特基线，使PPN双比特、卡死和合法换值均有可比较的F0对照</t>
        </is>
      </c>
      <c r="O253" s="22" t="inlineStr">
        <is>
          <t>TC'22/TC'23 对 DTLB 瞬态注入提供直接机制与结果对照</t>
        </is>
      </c>
      <c r="P253" s="23" t="n"/>
      <c r="Q253" s="23" t="n"/>
      <c r="R253" s="23" t="n"/>
      <c r="S253" s="23" t="n"/>
      <c r="T253" s="23" t="n"/>
      <c r="U253" s="23" t="n"/>
      <c r="V253" s="23" t="n"/>
      <c r="W253" s="23" t="n"/>
      <c r="X253" s="35">
        <f>IF(OR(R253="",R253-AP253&lt;=0),"",AB253/(R253-AP253))</f>
        <v/>
      </c>
      <c r="Y253" s="35">
        <f>IF(OR(AR253="",AR253=0),"",R253/AR253)</f>
        <v/>
      </c>
      <c r="Z253" s="24" t="inlineStr">
        <is>
          <t>待执行</t>
        </is>
      </c>
      <c r="AA253" s="23" t="n"/>
      <c r="AB253" s="38" t="n"/>
      <c r="AC253" s="38" t="n"/>
      <c r="AD253" s="38" t="n"/>
      <c r="AE253" s="38" t="n"/>
      <c r="AF253" s="38" t="n"/>
      <c r="AG253" s="38" t="n"/>
      <c r="AH253" s="38" t="n"/>
      <c r="AI253" s="38" t="n"/>
      <c r="AJ253" s="38" t="n"/>
      <c r="AK253" s="39" t="n"/>
      <c r="AL253" s="40">
        <f>IF(OR(R253="",R253-AP253&lt;=0),"",AO253/(R253-AP253))</f>
        <v/>
      </c>
      <c r="AM253" s="41">
        <f>IF(R253="","",SUM(AC253:AF253)-(R253-AP253))</f>
        <v/>
      </c>
      <c r="AN253" s="41">
        <f>IF(R253="","",SUM(S253:W253)+AP253-R253)</f>
        <v/>
      </c>
      <c r="AO253" s="44" t="n"/>
      <c r="AP253" s="45" t="n"/>
      <c r="AQ253" s="47" t="inlineStr">
        <is>
          <t>T10-a PPN低位单bit；T10-b PPN中位单bit；T10-c PPN高位单bit</t>
        </is>
      </c>
      <c r="AR253" s="23" t="n"/>
      <c r="AS253" s="35">
        <f>IF(OR(Q253="",Q253=0),"",AR253/Q253)</f>
        <v/>
      </c>
      <c r="AT253" s="62" t="n">
        <v>30</v>
      </c>
      <c r="AU253" s="62" t="n">
        <v>385</v>
      </c>
      <c r="AV253" s="62" t="inlineStr">
        <is>
          <t>常规</t>
        </is>
      </c>
      <c r="AW253" s="62" t="inlineStr">
        <is>
          <t>累计至少385，不机械扩展到2401</t>
        </is>
      </c>
    </row>
    <row r="254" ht="94.15000000000001" customHeight="1" s="58">
      <c r="A254" s="21" t="inlineStr">
        <is>
          <t>T10-F1-W4</t>
        </is>
      </c>
      <c r="B254" s="21" t="inlineStr">
        <is>
          <t>T10</t>
        </is>
      </c>
      <c r="C254" s="21" t="inlineStr">
        <is>
          <t>L1d-TLB</t>
        </is>
      </c>
      <c r="D254" s="22" t="inlineStr">
        <is>
          <t>L1 d-TLB 有效表项的 PPN（Physical Page Number）数据字段。VPN/ASID 命中后，PPN 与页内偏移组成送往 L1D 的物理地址；该字段是 TC'23 类实验中最需要保留的基础对照。</t>
        </is>
      </c>
      <c r="E254" s="22" t="inlineStr">
        <is>
          <t>单比特翻转</t>
        </is>
      </c>
      <c r="F254"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4" s="22" t="inlineStr">
        <is>
          <t>F1</t>
        </is>
      </c>
      <c r="H254" s="22" t="inlineStr">
        <is>
          <t>平均每 1,000,000 个 eligible events 注入 1 次，间隔加入 ±50% 抖动</t>
        </is>
      </c>
      <c r="I254" s="22" t="inlineStr">
        <is>
          <t>TLB-AliasPerm 地址翻译探针（4KiB/2MiB 页、ASID、同VA不同PA、权限、TLBI、跨页访问）</t>
        </is>
      </c>
      <c r="J254" s="22" t="inlineStr">
        <is>
          <t>TLB-AliasPerm 地址翻译探针（4KiB/2MiB 页、ASID、同VA不同PA、权限、TLBI、跨页访问）
执行定义与 oracle：4KiB/2MiB 页、ASID 切换、同 VA 不同 PA、只读/不可执行页、TLBI 后重填、跨页 load/store</t>
        </is>
      </c>
      <c r="K254" s="22" t="inlineStr">
        <is>
          <t>DTLB 中存在有效项且后续再次命中</t>
        </is>
      </c>
      <c r="L254" s="22" t="inlineStr">
        <is>
          <t>L0 attempted/activated；L1 PPN 原值/故障值与命中项；L2 翻译后PA、权限与页大小；L3 cache line/DRAM落点；L4首次错误load/store；L5结局；按bit区间统计</t>
        </is>
      </c>
      <c r="M254" s="22" t="inlineStr">
        <is>
          <t>高位翻转更可能触发地址异常或Crash；落入另一已映射物理页时可能产生SDC；与VPN-tag单比特结果不应混算</t>
        </is>
      </c>
      <c r="N254" s="22" t="inlineStr">
        <is>
          <t>补回旧版具备而新版缺失的字段级单比特基线，使PPN双比特、卡死和合法换值均有可比较的F0对照</t>
        </is>
      </c>
      <c r="O254" s="22" t="inlineStr">
        <is>
          <t>TC'22/TC'23 对 DTLB 瞬态注入提供直接机制与结果对照</t>
        </is>
      </c>
      <c r="P254" s="23" t="n"/>
      <c r="Q254" s="23" t="n"/>
      <c r="R254" s="23" t="n"/>
      <c r="S254" s="23" t="n"/>
      <c r="T254" s="23" t="n"/>
      <c r="U254" s="23" t="n"/>
      <c r="V254" s="23" t="n"/>
      <c r="W254" s="23" t="n"/>
      <c r="X254" s="35">
        <f>IF(OR(R254="",R254-AP254&lt;=0),"",AB254/(R254-AP254))</f>
        <v/>
      </c>
      <c r="Y254" s="35">
        <f>IF(OR(AR254="",AR254=0),"",R254/AR254)</f>
        <v/>
      </c>
      <c r="Z254" s="24" t="inlineStr">
        <is>
          <t>待执行</t>
        </is>
      </c>
      <c r="AA254" s="23" t="n"/>
      <c r="AB254" s="38" t="n"/>
      <c r="AC254" s="38" t="n"/>
      <c r="AD254" s="38" t="n"/>
      <c r="AE254" s="38" t="n"/>
      <c r="AF254" s="38" t="n"/>
      <c r="AG254" s="38" t="n"/>
      <c r="AH254" s="38" t="n"/>
      <c r="AI254" s="38" t="n"/>
      <c r="AJ254" s="38" t="n"/>
      <c r="AK254" s="39" t="n"/>
      <c r="AL254" s="40">
        <f>IF(OR(R254="",R254-AP254&lt;=0),"",AO254/(R254-AP254))</f>
        <v/>
      </c>
      <c r="AM254" s="41">
        <f>IF(R254="","",SUM(AC254:AF254)-(R254-AP254))</f>
        <v/>
      </c>
      <c r="AN254" s="41">
        <f>IF(R254="","",SUM(S254:W254)+AP254-R254)</f>
        <v/>
      </c>
      <c r="AO254" s="44" t="n"/>
      <c r="AP254" s="45" t="n"/>
      <c r="AQ254" s="47" t="inlineStr">
        <is>
          <t>T10-a PPN低位单bit；T10-b PPN中位单bit；T10-c PPN高位单bit</t>
        </is>
      </c>
      <c r="AR254" s="23" t="n"/>
      <c r="AS254" s="35">
        <f>IF(OR(Q254="",Q254=0),"",AR254/Q254)</f>
        <v/>
      </c>
      <c r="AT254" s="62" t="n">
        <v>30</v>
      </c>
      <c r="AU254" s="62" t="n">
        <v>385</v>
      </c>
      <c r="AV254" s="62" t="inlineStr">
        <is>
          <t>常规</t>
        </is>
      </c>
      <c r="AW254" s="62" t="inlineStr">
        <is>
          <t>累计至少385，不机械扩展到2401</t>
        </is>
      </c>
    </row>
    <row r="255" ht="94.15000000000001" customHeight="1" s="58">
      <c r="A255" s="21" t="inlineStr">
        <is>
          <t>T10-F1-W11</t>
        </is>
      </c>
      <c r="B255" s="21" t="inlineStr">
        <is>
          <t>T10</t>
        </is>
      </c>
      <c r="C255" s="21" t="inlineStr">
        <is>
          <t>L1d-TLB</t>
        </is>
      </c>
      <c r="D255" s="22" t="inlineStr">
        <is>
          <t>L1 d-TLB 有效表项的 PPN（Physical Page Number）数据字段。VPN/ASID 命中后，PPN 与页内偏移组成送往 L1D 的物理地址；该字段是 TC'23 类实验中最需要保留的基础对照。</t>
        </is>
      </c>
      <c r="E255" s="22" t="inlineStr">
        <is>
          <t>单比特翻转</t>
        </is>
      </c>
      <c r="F255"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5" s="22" t="inlineStr">
        <is>
          <t>F1</t>
        </is>
      </c>
      <c r="H255" s="22" t="inlineStr">
        <is>
          <t>平均每 1,000,000 个 eligible events 注入 1 次，间隔加入 ±50% 抖动</t>
        </is>
      </c>
      <c r="I255" s="22" t="inlineStr">
        <is>
          <t>SPEC CPU2017 采样区间</t>
        </is>
      </c>
      <c r="J255" s="22" t="inlineStr">
        <is>
          <t>SPEC CPU2017 采样区间
执行定义与 oracle：mcf、omnetpp、xalancbmk、lbm 的固定 SimPoint/checkpoint；使用参考输出或结果哈希</t>
        </is>
      </c>
      <c r="K255" s="22" t="inlineStr">
        <is>
          <t>DTLB 中存在有效项且后续再次命中</t>
        </is>
      </c>
      <c r="L255" s="22" t="inlineStr">
        <is>
          <t>L0 attempted/activated；L1 PPN 原值/故障值与命中项；L2 翻译后PA、权限与页大小；L3 cache line/DRAM落点；L4首次错误load/store；L5结局；按bit区间统计</t>
        </is>
      </c>
      <c r="M255" s="22" t="inlineStr">
        <is>
          <t>高位翻转更可能触发地址异常或Crash；落入另一已映射物理页时可能产生SDC；与VPN-tag单比特结果不应混算</t>
        </is>
      </c>
      <c r="N255" s="22" t="inlineStr">
        <is>
          <t>补回旧版具备而新版缺失的字段级单比特基线，使PPN双比特、卡死和合法换值均有可比较的F0对照</t>
        </is>
      </c>
      <c r="O255" s="22" t="inlineStr">
        <is>
          <t>TC'22/TC'23 对 DTLB 瞬态注入提供直接机制与结果对照</t>
        </is>
      </c>
      <c r="P255" s="23" t="n"/>
      <c r="Q255" s="23" t="n"/>
      <c r="R255" s="23" t="n"/>
      <c r="S255" s="23" t="n"/>
      <c r="T255" s="23" t="n"/>
      <c r="U255" s="23" t="n"/>
      <c r="V255" s="23" t="n"/>
      <c r="W255" s="23" t="n"/>
      <c r="X255" s="35">
        <f>IF(OR(R255="",R255-AP255&lt;=0),"",AB255/(R255-AP255))</f>
        <v/>
      </c>
      <c r="Y255" s="35">
        <f>IF(OR(AR255="",AR255=0),"",R255/AR255)</f>
        <v/>
      </c>
      <c r="Z255" s="24" t="inlineStr">
        <is>
          <t>待执行</t>
        </is>
      </c>
      <c r="AA255" s="23" t="n"/>
      <c r="AB255" s="38" t="n"/>
      <c r="AC255" s="38" t="n"/>
      <c r="AD255" s="38" t="n"/>
      <c r="AE255" s="38" t="n"/>
      <c r="AF255" s="38" t="n"/>
      <c r="AG255" s="38" t="n"/>
      <c r="AH255" s="38" t="n"/>
      <c r="AI255" s="38" t="n"/>
      <c r="AJ255" s="38" t="n"/>
      <c r="AK255" s="39" t="n"/>
      <c r="AL255" s="40">
        <f>IF(OR(R255="",R255-AP255&lt;=0),"",AO255/(R255-AP255))</f>
        <v/>
      </c>
      <c r="AM255" s="41">
        <f>IF(R255="","",SUM(AC255:AF255)-(R255-AP255))</f>
        <v/>
      </c>
      <c r="AN255" s="41">
        <f>IF(R255="","",SUM(S255:W255)+AP255-R255)</f>
        <v/>
      </c>
      <c r="AO255" s="44" t="n"/>
      <c r="AP255" s="45" t="n"/>
      <c r="AQ255" s="47" t="inlineStr">
        <is>
          <t>T10-a PPN低位单bit；T10-b PPN中位单bit；T10-c PPN高位单bit</t>
        </is>
      </c>
      <c r="AR255" s="23" t="n"/>
      <c r="AS255" s="35">
        <f>IF(OR(Q255="",Q255=0),"",AR255/Q255)</f>
        <v/>
      </c>
      <c r="AT255" s="62" t="n">
        <v>30</v>
      </c>
      <c r="AU255" s="62" t="n">
        <v>385</v>
      </c>
      <c r="AV255" s="62" t="inlineStr">
        <is>
          <t>常规</t>
        </is>
      </c>
      <c r="AW255" s="62" t="inlineStr">
        <is>
          <t>累计至少385，不机械扩展到2401</t>
        </is>
      </c>
    </row>
    <row r="256" ht="94.15000000000001" customHeight="1" s="58">
      <c r="A256" s="21" t="inlineStr">
        <is>
          <t>T10-F2-W1</t>
        </is>
      </c>
      <c r="B256" s="21" t="inlineStr">
        <is>
          <t>T10</t>
        </is>
      </c>
      <c r="C256" s="21" t="inlineStr">
        <is>
          <t>L1d-TLB</t>
        </is>
      </c>
      <c r="D256" s="22" t="inlineStr">
        <is>
          <t>L1 d-TLB 有效表项的 PPN（Physical Page Number）数据字段。VPN/ASID 命中后，PPN 与页内偏移组成送往 L1D 的物理地址；该字段是 TC'23 类实验中最需要保留的基础对照。</t>
        </is>
      </c>
      <c r="E256" s="22" t="inlineStr">
        <is>
          <t>单比特翻转</t>
        </is>
      </c>
      <c r="F256"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6" s="22" t="inlineStr">
        <is>
          <t>F2</t>
        </is>
      </c>
      <c r="H256" s="22" t="inlineStr">
        <is>
          <t>平均每 100,000 个 eligible events 注入 1 次，间隔加入 ±50% 抖动</t>
        </is>
      </c>
      <c r="I256" s="22" t="inlineStr">
        <is>
          <t>MiBench-TC23 论文负载（blowfish、patricia、fft、gsm、dijkstra、rijndael、sha、bitcount、edge、smooth）</t>
        </is>
      </c>
      <c r="J256" s="22" t="inlineStr">
        <is>
          <t>MiBench-TC23 论文负载（blowfish、patricia、fft、gsm、dijkstra、rijndael、sha、bitcount、edge、smooth）
执行定义与 oracle：blowfish、patricia、fft、gsm、dijkstra、rijndael、sha、bitcount、edge、smooth；最大输入集</t>
        </is>
      </c>
      <c r="K256" s="22" t="inlineStr">
        <is>
          <t>DTLB 中存在有效项且后续再次命中</t>
        </is>
      </c>
      <c r="L256" s="22" t="inlineStr">
        <is>
          <t>L0 attempted/activated；L1 PPN 原值/故障值与命中项；L2 翻译后PA、权限与页大小；L3 cache line/DRAM落点；L4首次错误load/store；L5结局；按bit区间统计</t>
        </is>
      </c>
      <c r="M256" s="22" t="inlineStr">
        <is>
          <t>高位翻转更可能触发地址异常或Crash；落入另一已映射物理页时可能产生SDC；与VPN-tag单比特结果不应混算</t>
        </is>
      </c>
      <c r="N256" s="22" t="inlineStr">
        <is>
          <t>补回旧版具备而新版缺失的字段级单比特基线，使PPN双比特、卡死和合法换值均有可比较的F0对照</t>
        </is>
      </c>
      <c r="O256" s="22" t="inlineStr">
        <is>
          <t>TC'22/TC'23 对 DTLB 瞬态注入提供直接机制与结果对照</t>
        </is>
      </c>
      <c r="P256" s="23" t="n"/>
      <c r="Q256" s="23" t="n"/>
      <c r="R256" s="23" t="n"/>
      <c r="S256" s="23" t="n"/>
      <c r="T256" s="23" t="n"/>
      <c r="U256" s="23" t="n"/>
      <c r="V256" s="23" t="n"/>
      <c r="W256" s="23" t="n"/>
      <c r="X256" s="35">
        <f>IF(OR(R256="",R256-AP256&lt;=0),"",AB256/(R256-AP256))</f>
        <v/>
      </c>
      <c r="Y256" s="35">
        <f>IF(OR(AR256="",AR256=0),"",R256/AR256)</f>
        <v/>
      </c>
      <c r="Z256" s="24" t="inlineStr">
        <is>
          <t>待执行</t>
        </is>
      </c>
      <c r="AA256" s="23" t="n"/>
      <c r="AB256" s="38" t="n"/>
      <c r="AC256" s="38" t="n"/>
      <c r="AD256" s="38" t="n"/>
      <c r="AE256" s="38" t="n"/>
      <c r="AF256" s="38" t="n"/>
      <c r="AG256" s="38" t="n"/>
      <c r="AH256" s="38" t="n"/>
      <c r="AI256" s="38" t="n"/>
      <c r="AJ256" s="38" t="n"/>
      <c r="AK256" s="39" t="n"/>
      <c r="AL256" s="40">
        <f>IF(OR(R256="",R256-AP256&lt;=0),"",AO256/(R256-AP256))</f>
        <v/>
      </c>
      <c r="AM256" s="41">
        <f>IF(R256="","",SUM(AC256:AF256)-(R256-AP256))</f>
        <v/>
      </c>
      <c r="AN256" s="41">
        <f>IF(R256="","",SUM(S256:W256)+AP256-R256)</f>
        <v/>
      </c>
      <c r="AO256" s="44" t="n"/>
      <c r="AP256" s="45" t="n"/>
      <c r="AQ256" s="47" t="inlineStr">
        <is>
          <t>T10-a PPN低位单bit；T10-b PPN中位单bit；T10-c PPN高位单bit</t>
        </is>
      </c>
      <c r="AR256" s="23" t="n"/>
      <c r="AS256" s="35">
        <f>IF(OR(Q256="",Q256=0),"",AR256/Q256)</f>
        <v/>
      </c>
      <c r="AT256" s="62" t="n">
        <v>30</v>
      </c>
      <c r="AU256" s="62" t="n">
        <v>385</v>
      </c>
      <c r="AV256" s="62" t="inlineStr">
        <is>
          <t>常规</t>
        </is>
      </c>
      <c r="AW256" s="62" t="inlineStr">
        <is>
          <t>累计至少385，不机械扩展到2401</t>
        </is>
      </c>
    </row>
    <row r="257" ht="94.15000000000001" customHeight="1" s="58">
      <c r="A257" s="21" t="inlineStr">
        <is>
          <t>T10-F2-W4</t>
        </is>
      </c>
      <c r="B257" s="21" t="inlineStr">
        <is>
          <t>T10</t>
        </is>
      </c>
      <c r="C257" s="21" t="inlineStr">
        <is>
          <t>L1d-TLB</t>
        </is>
      </c>
      <c r="D257" s="22" t="inlineStr">
        <is>
          <t>L1 d-TLB 有效表项的 PPN（Physical Page Number）数据字段。VPN/ASID 命中后，PPN 与页内偏移组成送往 L1D 的物理地址；该字段是 TC'23 类实验中最需要保留的基础对照。</t>
        </is>
      </c>
      <c r="E257" s="22" t="inlineStr">
        <is>
          <t>单比特翻转</t>
        </is>
      </c>
      <c r="F257"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7" s="22" t="inlineStr">
        <is>
          <t>F2</t>
        </is>
      </c>
      <c r="H257" s="22" t="inlineStr">
        <is>
          <t>平均每 100,000 个 eligible events 注入 1 次，间隔加入 ±50% 抖动</t>
        </is>
      </c>
      <c r="I257" s="22" t="inlineStr">
        <is>
          <t>TLB-AliasPerm 地址翻译探针（4KiB/2MiB 页、ASID、同VA不同PA、权限、TLBI、跨页访问）</t>
        </is>
      </c>
      <c r="J257" s="22" t="inlineStr">
        <is>
          <t>TLB-AliasPerm 地址翻译探针（4KiB/2MiB 页、ASID、同VA不同PA、权限、TLBI、跨页访问）
执行定义与 oracle：4KiB/2MiB 页、ASID 切换、同 VA 不同 PA、只读/不可执行页、TLBI 后重填、跨页 load/store</t>
        </is>
      </c>
      <c r="K257" s="22" t="inlineStr">
        <is>
          <t>DTLB 中存在有效项且后续再次命中</t>
        </is>
      </c>
      <c r="L257" s="22" t="inlineStr">
        <is>
          <t>L0 attempted/activated；L1 PPN 原值/故障值与命中项；L2 翻译后PA、权限与页大小；L3 cache line/DRAM落点；L4首次错误load/store；L5结局；按bit区间统计</t>
        </is>
      </c>
      <c r="M257" s="22" t="inlineStr">
        <is>
          <t>高位翻转更可能触发地址异常或Crash；落入另一已映射物理页时可能产生SDC；与VPN-tag单比特结果不应混算</t>
        </is>
      </c>
      <c r="N257" s="22" t="inlineStr">
        <is>
          <t>补回旧版具备而新版缺失的字段级单比特基线，使PPN双比特、卡死和合法换值均有可比较的F0对照</t>
        </is>
      </c>
      <c r="O257" s="22" t="inlineStr">
        <is>
          <t>TC'22/TC'23 对 DTLB 瞬态注入提供直接机制与结果对照</t>
        </is>
      </c>
      <c r="P257" s="23" t="n"/>
      <c r="Q257" s="23" t="n"/>
      <c r="R257" s="23" t="n"/>
      <c r="S257" s="23" t="n"/>
      <c r="T257" s="23" t="n"/>
      <c r="U257" s="23" t="n"/>
      <c r="V257" s="23" t="n"/>
      <c r="W257" s="23" t="n"/>
      <c r="X257" s="35">
        <f>IF(OR(R257="",R257-AP257&lt;=0),"",AB257/(R257-AP257))</f>
        <v/>
      </c>
      <c r="Y257" s="35">
        <f>IF(OR(AR257="",AR257=0),"",R257/AR257)</f>
        <v/>
      </c>
      <c r="Z257" s="24" t="inlineStr">
        <is>
          <t>待执行</t>
        </is>
      </c>
      <c r="AA257" s="23" t="n"/>
      <c r="AB257" s="38" t="n"/>
      <c r="AC257" s="38" t="n"/>
      <c r="AD257" s="38" t="n"/>
      <c r="AE257" s="38" t="n"/>
      <c r="AF257" s="38" t="n"/>
      <c r="AG257" s="38" t="n"/>
      <c r="AH257" s="38" t="n"/>
      <c r="AI257" s="38" t="n"/>
      <c r="AJ257" s="38" t="n"/>
      <c r="AK257" s="39" t="n"/>
      <c r="AL257" s="40">
        <f>IF(OR(R257="",R257-AP257&lt;=0),"",AO257/(R257-AP257))</f>
        <v/>
      </c>
      <c r="AM257" s="41">
        <f>IF(R257="","",SUM(AC257:AF257)-(R257-AP257))</f>
        <v/>
      </c>
      <c r="AN257" s="41">
        <f>IF(R257="","",SUM(S257:W257)+AP257-R257)</f>
        <v/>
      </c>
      <c r="AO257" s="44" t="n"/>
      <c r="AP257" s="45" t="n"/>
      <c r="AQ257" s="47" t="inlineStr">
        <is>
          <t>T10-a PPN低位单bit；T10-b PPN中位单bit；T10-c PPN高位单bit</t>
        </is>
      </c>
      <c r="AR257" s="23" t="n"/>
      <c r="AS257" s="35">
        <f>IF(OR(Q257="",Q257=0),"",AR257/Q257)</f>
        <v/>
      </c>
      <c r="AT257" s="62" t="n">
        <v>30</v>
      </c>
      <c r="AU257" s="62" t="n">
        <v>385</v>
      </c>
      <c r="AV257" s="62" t="inlineStr">
        <is>
          <t>常规</t>
        </is>
      </c>
      <c r="AW257" s="62" t="inlineStr">
        <is>
          <t>累计至少385，不机械扩展到2401</t>
        </is>
      </c>
    </row>
    <row r="258" ht="94.15000000000001" customHeight="1" s="58">
      <c r="A258" s="21" t="inlineStr">
        <is>
          <t>T10-F2-W11</t>
        </is>
      </c>
      <c r="B258" s="21" t="inlineStr">
        <is>
          <t>T10</t>
        </is>
      </c>
      <c r="C258" s="21" t="inlineStr">
        <is>
          <t>L1d-TLB</t>
        </is>
      </c>
      <c r="D258" s="22" t="inlineStr">
        <is>
          <t>L1 d-TLB 有效表项的 PPN（Physical Page Number）数据字段。VPN/ASID 命中后，PPN 与页内偏移组成送往 L1D 的物理地址；该字段是 TC'23 类实验中最需要保留的基础对照。</t>
        </is>
      </c>
      <c r="E258" s="22" t="inlineStr">
        <is>
          <t>单比特翻转</t>
        </is>
      </c>
      <c r="F258"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8" s="22" t="inlineStr">
        <is>
          <t>F2</t>
        </is>
      </c>
      <c r="H258" s="22" t="inlineStr">
        <is>
          <t>平均每 100,000 个 eligible events 注入 1 次，间隔加入 ±50% 抖动</t>
        </is>
      </c>
      <c r="I258" s="22" t="inlineStr">
        <is>
          <t>SPEC CPU2017 采样区间</t>
        </is>
      </c>
      <c r="J258" s="22" t="inlineStr">
        <is>
          <t>SPEC CPU2017 采样区间
执行定义与 oracle：mcf、omnetpp、xalancbmk、lbm 的固定 SimPoint/checkpoint；使用参考输出或结果哈希</t>
        </is>
      </c>
      <c r="K258" s="22" t="inlineStr">
        <is>
          <t>DTLB 中存在有效项且后续再次命中</t>
        </is>
      </c>
      <c r="L258" s="22" t="inlineStr">
        <is>
          <t>L0 attempted/activated；L1 PPN 原值/故障值与命中项；L2 翻译后PA、权限与页大小；L3 cache line/DRAM落点；L4首次错误load/store；L5结局；按bit区间统计</t>
        </is>
      </c>
      <c r="M258" s="22" t="inlineStr">
        <is>
          <t>高位翻转更可能触发地址异常或Crash；落入另一已映射物理页时可能产生SDC；与VPN-tag单比特结果不应混算</t>
        </is>
      </c>
      <c r="N258" s="22" t="inlineStr">
        <is>
          <t>补回旧版具备而新版缺失的字段级单比特基线，使PPN双比特、卡死和合法换值均有可比较的F0对照</t>
        </is>
      </c>
      <c r="O258" s="22" t="inlineStr">
        <is>
          <t>TC'22/TC'23 对 DTLB 瞬态注入提供直接机制与结果对照</t>
        </is>
      </c>
      <c r="P258" s="23" t="n"/>
      <c r="Q258" s="23" t="n"/>
      <c r="R258" s="23" t="n"/>
      <c r="S258" s="23" t="n"/>
      <c r="T258" s="23" t="n"/>
      <c r="U258" s="23" t="n"/>
      <c r="V258" s="23" t="n"/>
      <c r="W258" s="23" t="n"/>
      <c r="X258" s="35">
        <f>IF(OR(R258="",R258-AP258&lt;=0),"",AB258/(R258-AP258))</f>
        <v/>
      </c>
      <c r="Y258" s="35">
        <f>IF(OR(AR258="",AR258=0),"",R258/AR258)</f>
        <v/>
      </c>
      <c r="Z258" s="24" t="inlineStr">
        <is>
          <t>待执行</t>
        </is>
      </c>
      <c r="AA258" s="23" t="n"/>
      <c r="AB258" s="38" t="n"/>
      <c r="AC258" s="38" t="n"/>
      <c r="AD258" s="38" t="n"/>
      <c r="AE258" s="38" t="n"/>
      <c r="AF258" s="38" t="n"/>
      <c r="AG258" s="38" t="n"/>
      <c r="AH258" s="38" t="n"/>
      <c r="AI258" s="38" t="n"/>
      <c r="AJ258" s="38" t="n"/>
      <c r="AK258" s="39" t="n"/>
      <c r="AL258" s="40">
        <f>IF(OR(R258="",R258-AP258&lt;=0),"",AO258/(R258-AP258))</f>
        <v/>
      </c>
      <c r="AM258" s="41">
        <f>IF(R258="","",SUM(AC258:AF258)-(R258-AP258))</f>
        <v/>
      </c>
      <c r="AN258" s="41">
        <f>IF(R258="","",SUM(S258:W258)+AP258-R258)</f>
        <v/>
      </c>
      <c r="AO258" s="44" t="n"/>
      <c r="AP258" s="45" t="n"/>
      <c r="AQ258" s="47" t="inlineStr">
        <is>
          <t>T10-a PPN低位单bit；T10-b PPN中位单bit；T10-c PPN高位单bit</t>
        </is>
      </c>
      <c r="AR258" s="23" t="n"/>
      <c r="AS258" s="35">
        <f>IF(OR(Q258="",Q258=0),"",AR258/Q258)</f>
        <v/>
      </c>
      <c r="AT258" s="62" t="n">
        <v>30</v>
      </c>
      <c r="AU258" s="62" t="n">
        <v>385</v>
      </c>
      <c r="AV258" s="62" t="inlineStr">
        <is>
          <t>常规</t>
        </is>
      </c>
      <c r="AW258" s="62" t="inlineStr">
        <is>
          <t>累计至少385，不机械扩展到2401</t>
        </is>
      </c>
    </row>
    <row r="259" ht="94.15000000000001" customHeight="1" s="58">
      <c r="A259" s="21" t="inlineStr">
        <is>
          <t>S13-F0-W1</t>
        </is>
      </c>
      <c r="B259" s="21" t="inlineStr">
        <is>
          <t>S13</t>
        </is>
      </c>
      <c r="C259" s="21" t="inlineStr">
        <is>
          <t>Store Queue</t>
        </is>
      </c>
      <c r="D259" s="22" t="inlineStr">
        <is>
          <t>Store Queue 有效未提交表项的 store address/tag 字段。该字段决定最终写入地址，同时参与 store-to-load forwarding 和内存依赖冲突检查。</t>
        </is>
      </c>
      <c r="E259" s="22" t="inlineStr">
        <is>
          <t>单比特翻转</t>
        </is>
      </c>
      <c r="F259"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59" s="22" t="inlineStr">
        <is>
          <t>F0</t>
        </is>
      </c>
      <c r="H259" s="22" t="inlineStr">
        <is>
          <t>每次运行只注入 1 次；在 warm-up 后的 eligible event 中均匀抽样</t>
        </is>
      </c>
      <c r="I259" s="22" t="inlineStr">
        <is>
          <t>MiBench-TC23 论文负载（blowfish、patricia、fft、gsm、dijkstra、rijndael、sha、bitcount、edge、smooth）</t>
        </is>
      </c>
      <c r="J259" s="22" t="inlineStr">
        <is>
          <t>MiBench-TC23 论文负载（blowfish、patricia、fft、gsm、dijkstra、rijndael、sha、bitcount、edge、smooth）
执行定义与 oracle：blowfish、patricia、fft、gsm、dijkstra、rijndael、sha、bitcount、edge、smooth；最大输入集</t>
        </is>
      </c>
      <c r="K259" s="22" t="inlineStr">
        <is>
          <t>SQ 中存在地址已知、尚未提交且之后会被消费的 store</t>
        </is>
      </c>
      <c r="L259" s="22" t="inlineStr">
        <is>
          <t>L0目标寿命与activated；L1 SQ地址、age和状态；L2 forwarding/violation/replay、请求地址；L3实际写入line；L4 commit与内存副作用；L5结局</t>
        </is>
      </c>
      <c r="M259" s="22" t="inlineStr">
        <is>
          <t>大多数随机地址错误应被依赖检查、异常或回放捕获；少数形成合法错址时可能SDC，预期低于合法地址换值模型</t>
        </is>
      </c>
      <c r="N259" s="22" t="inlineStr">
        <is>
          <t>补充随机地址/tag单比特基线，用于与S04合法地址替换比较</t>
        </is>
      </c>
      <c r="O259" s="22" t="inlineStr">
        <is>
          <t>TC'23 对 LQ/SQ 地址类字段的低SDC结果可作直接对照；IISWC'15/HPCA'24提供LSQ背景</t>
        </is>
      </c>
      <c r="P259" s="23" t="n"/>
      <c r="Q259" s="23" t="n"/>
      <c r="R259" s="23" t="n"/>
      <c r="S259" s="23" t="n"/>
      <c r="T259" s="23" t="n"/>
      <c r="U259" s="23" t="n"/>
      <c r="V259" s="23" t="n"/>
      <c r="W259" s="23" t="n"/>
      <c r="X259" s="35">
        <f>IF(OR(R259="",R259-AP259&lt;=0),"",AB259/(R259-AP259))</f>
        <v/>
      </c>
      <c r="Y259" s="35">
        <f>IF(OR(AR259="",AR259=0),"",R259/AR259)</f>
        <v/>
      </c>
      <c r="Z259" s="24" t="inlineStr">
        <is>
          <t>待执行</t>
        </is>
      </c>
      <c r="AA259" s="23" t="n"/>
      <c r="AB259" s="38" t="n"/>
      <c r="AC259" s="38" t="n"/>
      <c r="AD259" s="38" t="n"/>
      <c r="AE259" s="38" t="n"/>
      <c r="AF259" s="38" t="n"/>
      <c r="AG259" s="38" t="n"/>
      <c r="AH259" s="38" t="n"/>
      <c r="AI259" s="38" t="n"/>
      <c r="AJ259" s="38" t="n"/>
      <c r="AK259" s="39" t="n"/>
      <c r="AL259" s="40">
        <f>IF(OR(R259="",R259-AP259&lt;=0),"",AO259/(R259-AP259))</f>
        <v/>
      </c>
      <c r="AM259" s="41">
        <f>IF(R259="","",SUM(AC259:AF259)-(R259-AP259))</f>
        <v/>
      </c>
      <c r="AN259" s="41">
        <f>IF(R259="","",SUM(S259:W259)+AP259-R259)</f>
        <v/>
      </c>
      <c r="AO259" s="44" t="n"/>
      <c r="AP259" s="45" t="n"/>
      <c r="AQ259" s="47" t="inlineStr">
        <is>
          <t>S13-a SQ address/tag低位单bit；S13-b 中位单bit；S13-c 高位单bit</t>
        </is>
      </c>
      <c r="AR259" s="23" t="n"/>
      <c r="AS259" s="35">
        <f>IF(OR(Q259="",Q259=0),"",AR259/Q259)</f>
        <v/>
      </c>
      <c r="AT259" s="62" t="n">
        <v>30</v>
      </c>
      <c r="AU259" s="62" t="n">
        <v>385</v>
      </c>
      <c r="AV259" s="62" t="inlineStr">
        <is>
          <t>常规</t>
        </is>
      </c>
      <c r="AW259" s="62" t="inlineStr">
        <is>
          <t>累计至少385，不机械扩展到2401</t>
        </is>
      </c>
    </row>
    <row r="260" ht="94.15000000000001" customHeight="1" s="58">
      <c r="A260" s="21" t="inlineStr">
        <is>
          <t>S13-F0-W5</t>
        </is>
      </c>
      <c r="B260" s="21" t="inlineStr">
        <is>
          <t>S13</t>
        </is>
      </c>
      <c r="C260" s="21" t="inlineStr">
        <is>
          <t>Store Queue</t>
        </is>
      </c>
      <c r="D260" s="22" t="inlineStr">
        <is>
          <t>Store Queue 有效未提交表项的 store address/tag 字段。该字段决定最终写入地址，同时参与 store-to-load forwarding 和内存依赖冲突检查。</t>
        </is>
      </c>
      <c r="E260" s="22" t="inlineStr">
        <is>
          <t>单比特翻转</t>
        </is>
      </c>
      <c r="F260"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0" s="22" t="inlineStr">
        <is>
          <t>F0</t>
        </is>
      </c>
      <c r="H260" s="22" t="inlineStr">
        <is>
          <t>每次运行只注入 1 次；在 warm-up 后的 eligible event 中均匀抽样</t>
        </is>
      </c>
      <c r="I260" s="22" t="inlineStr">
        <is>
          <t>SQ-Forward 转发探针（同地址/部分重叠 store-to-load forwarding、字节掩码、alias、replay）</t>
        </is>
      </c>
      <c r="J260" s="22" t="inlineStr">
        <is>
          <t>SQ-Forward 转发探针（同地址/部分重叠 store-to-load forwarding、字节掩码、alias、replay）
执行定义与 oracle：同地址与部分重叠 store-to-load forwarding、不同字节掩码、地址晚到/数据晚到、alias、replay</t>
        </is>
      </c>
      <c r="K260" s="22" t="inlineStr">
        <is>
          <t>SQ 中存在地址已知、尚未提交且之后会被消费的 store</t>
        </is>
      </c>
      <c r="L260" s="22" t="inlineStr">
        <is>
          <t>L0目标寿命与activated；L1 SQ地址、age和状态；L2 forwarding/violation/replay、请求地址；L3实际写入line；L4 commit与内存副作用；L5结局</t>
        </is>
      </c>
      <c r="M260" s="22" t="inlineStr">
        <is>
          <t>大多数随机地址错误应被依赖检查、异常或回放捕获；少数形成合法错址时可能SDC，预期低于合法地址换值模型</t>
        </is>
      </c>
      <c r="N260" s="22" t="inlineStr">
        <is>
          <t>补充随机地址/tag单比特基线，用于与S04合法地址替换比较</t>
        </is>
      </c>
      <c r="O260" s="22" t="inlineStr">
        <is>
          <t>TC'23 对 LQ/SQ 地址类字段的低SDC结果可作直接对照；IISWC'15/HPCA'24提供LSQ背景</t>
        </is>
      </c>
      <c r="P260" s="23" t="n"/>
      <c r="Q260" s="23" t="n"/>
      <c r="R260" s="23" t="n"/>
      <c r="S260" s="23" t="n"/>
      <c r="T260" s="23" t="n"/>
      <c r="U260" s="23" t="n"/>
      <c r="V260" s="23" t="n"/>
      <c r="W260" s="23" t="n"/>
      <c r="X260" s="35">
        <f>IF(OR(R260="",R260-AP260&lt;=0),"",AB260/(R260-AP260))</f>
        <v/>
      </c>
      <c r="Y260" s="35">
        <f>IF(OR(AR260="",AR260=0),"",R260/AR260)</f>
        <v/>
      </c>
      <c r="Z260" s="24" t="inlineStr">
        <is>
          <t>待执行</t>
        </is>
      </c>
      <c r="AA260" s="23" t="n"/>
      <c r="AB260" s="38" t="n"/>
      <c r="AC260" s="38" t="n"/>
      <c r="AD260" s="38" t="n"/>
      <c r="AE260" s="38" t="n"/>
      <c r="AF260" s="38" t="n"/>
      <c r="AG260" s="38" t="n"/>
      <c r="AH260" s="38" t="n"/>
      <c r="AI260" s="38" t="n"/>
      <c r="AJ260" s="38" t="n"/>
      <c r="AK260" s="39" t="n"/>
      <c r="AL260" s="40">
        <f>IF(OR(R260="",R260-AP260&lt;=0),"",AO260/(R260-AP260))</f>
        <v/>
      </c>
      <c r="AM260" s="41">
        <f>IF(R260="","",SUM(AC260:AF260)-(R260-AP260))</f>
        <v/>
      </c>
      <c r="AN260" s="41">
        <f>IF(R260="","",SUM(S260:W260)+AP260-R260)</f>
        <v/>
      </c>
      <c r="AO260" s="44" t="n"/>
      <c r="AP260" s="45" t="n"/>
      <c r="AQ260" s="47" t="inlineStr">
        <is>
          <t>S13-a SQ address/tag低位单bit；S13-b 中位单bit；S13-c 高位单bit</t>
        </is>
      </c>
      <c r="AR260" s="23" t="n"/>
      <c r="AS260" s="35">
        <f>IF(OR(Q260="",Q260=0),"",AR260/Q260)</f>
        <v/>
      </c>
      <c r="AT260" s="62" t="n">
        <v>30</v>
      </c>
      <c r="AU260" s="62" t="n">
        <v>2401</v>
      </c>
      <c r="AV260" s="62" t="inlineStr">
        <is>
          <t>重点（预登记21项）</t>
        </is>
      </c>
      <c r="AW260" s="62" t="inlineStr">
        <is>
          <t>累计到2401（含前385）</t>
        </is>
      </c>
    </row>
    <row r="261" ht="94.15000000000001" customHeight="1" s="58">
      <c r="A261" s="21" t="inlineStr">
        <is>
          <t>S13-F0-W11</t>
        </is>
      </c>
      <c r="B261" s="21" t="inlineStr">
        <is>
          <t>S13</t>
        </is>
      </c>
      <c r="C261" s="21" t="inlineStr">
        <is>
          <t>Store Queue</t>
        </is>
      </c>
      <c r="D261" s="22" t="inlineStr">
        <is>
          <t>Store Queue 有效未提交表项的 store address/tag 字段。该字段决定最终写入地址，同时参与 store-to-load forwarding 和内存依赖冲突检查。</t>
        </is>
      </c>
      <c r="E261" s="22" t="inlineStr">
        <is>
          <t>单比特翻转</t>
        </is>
      </c>
      <c r="F261"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1" s="22" t="inlineStr">
        <is>
          <t>F0</t>
        </is>
      </c>
      <c r="H261" s="22" t="inlineStr">
        <is>
          <t>每次运行只注入 1 次；在 warm-up 后的 eligible event 中均匀抽样</t>
        </is>
      </c>
      <c r="I261" s="22" t="inlineStr">
        <is>
          <t>SPEC CPU2017 采样区间</t>
        </is>
      </c>
      <c r="J261" s="22" t="inlineStr">
        <is>
          <t>SPEC CPU2017 采样区间
执行定义与 oracle：mcf、omnetpp、xalancbmk、lbm 的固定 SimPoint/checkpoint；使用参考输出或结果哈希</t>
        </is>
      </c>
      <c r="K261" s="22" t="inlineStr">
        <is>
          <t>SQ 中存在地址已知、尚未提交且之后会被消费的 store</t>
        </is>
      </c>
      <c r="L261" s="22" t="inlineStr">
        <is>
          <t>L0目标寿命与activated；L1 SQ地址、age和状态；L2 forwarding/violation/replay、请求地址；L3实际写入line；L4 commit与内存副作用；L5结局</t>
        </is>
      </c>
      <c r="M261" s="22" t="inlineStr">
        <is>
          <t>大多数随机地址错误应被依赖检查、异常或回放捕获；少数形成合法错址时可能SDC，预期低于合法地址换值模型</t>
        </is>
      </c>
      <c r="N261" s="22" t="inlineStr">
        <is>
          <t>补充随机地址/tag单比特基线，用于与S04合法地址替换比较</t>
        </is>
      </c>
      <c r="O261" s="22" t="inlineStr">
        <is>
          <t>TC'23 对 LQ/SQ 地址类字段的低SDC结果可作直接对照；IISWC'15/HPCA'24提供LSQ背景</t>
        </is>
      </c>
      <c r="P261" s="23" t="n"/>
      <c r="Q261" s="23" t="n"/>
      <c r="R261" s="23" t="n"/>
      <c r="S261" s="23" t="n"/>
      <c r="T261" s="23" t="n"/>
      <c r="U261" s="23" t="n"/>
      <c r="V261" s="23" t="n"/>
      <c r="W261" s="23" t="n"/>
      <c r="X261" s="35">
        <f>IF(OR(R261="",R261-AP261&lt;=0),"",AB261/(R261-AP261))</f>
        <v/>
      </c>
      <c r="Y261" s="35">
        <f>IF(OR(AR261="",AR261=0),"",R261/AR261)</f>
        <v/>
      </c>
      <c r="Z261" s="24" t="inlineStr">
        <is>
          <t>待执行</t>
        </is>
      </c>
      <c r="AA261" s="23" t="n"/>
      <c r="AB261" s="38" t="n"/>
      <c r="AC261" s="38" t="n"/>
      <c r="AD261" s="38" t="n"/>
      <c r="AE261" s="38" t="n"/>
      <c r="AF261" s="38" t="n"/>
      <c r="AG261" s="38" t="n"/>
      <c r="AH261" s="38" t="n"/>
      <c r="AI261" s="38" t="n"/>
      <c r="AJ261" s="38" t="n"/>
      <c r="AK261" s="39" t="n"/>
      <c r="AL261" s="40">
        <f>IF(OR(R261="",R261-AP261&lt;=0),"",AO261/(R261-AP261))</f>
        <v/>
      </c>
      <c r="AM261" s="41">
        <f>IF(R261="","",SUM(AC261:AF261)-(R261-AP261))</f>
        <v/>
      </c>
      <c r="AN261" s="41">
        <f>IF(R261="","",SUM(S261:W261)+AP261-R261)</f>
        <v/>
      </c>
      <c r="AO261" s="44" t="n"/>
      <c r="AP261" s="45" t="n"/>
      <c r="AQ261" s="47" t="inlineStr">
        <is>
          <t>S13-a SQ address/tag低位单bit；S13-b 中位单bit；S13-c 高位单bit</t>
        </is>
      </c>
      <c r="AR261" s="23" t="n"/>
      <c r="AS261" s="35">
        <f>IF(OR(Q261="",Q261=0),"",AR261/Q261)</f>
        <v/>
      </c>
      <c r="AT261" s="62" t="n">
        <v>30</v>
      </c>
      <c r="AU261" s="62" t="n">
        <v>385</v>
      </c>
      <c r="AV261" s="62" t="inlineStr">
        <is>
          <t>常规</t>
        </is>
      </c>
      <c r="AW261" s="62" t="inlineStr">
        <is>
          <t>累计至少385，不机械扩展到2401</t>
        </is>
      </c>
    </row>
    <row r="262" ht="94.15000000000001" customHeight="1" s="58">
      <c r="A262" s="32" t="inlineStr">
        <is>
          <t>S13-F0-W12</t>
        </is>
      </c>
      <c r="B262" s="32" t="inlineStr">
        <is>
          <t>S13</t>
        </is>
      </c>
      <c r="C262" s="32" t="inlineStr">
        <is>
          <t>Store Queue</t>
        </is>
      </c>
      <c r="D262" s="31" t="inlineStr">
        <is>
          <t>Store Queue 有效未提交表项的 store address/tag 字段。该字段决定最终写入地址，同时参与 store-to-load forwarding 和内存依赖冲突检查。</t>
        </is>
      </c>
      <c r="E262" s="31" t="inlineStr">
        <is>
          <t>单比特翻转</t>
        </is>
      </c>
      <c r="F262"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2" s="31" t="inlineStr">
        <is>
          <t>F0</t>
        </is>
      </c>
      <c r="H262" s="31" t="inlineStr">
        <is>
          <t>每次运行只注入 1 次；在 warm-up 后的 eligible event 中均匀抽样</t>
        </is>
      </c>
      <c r="I262" s="31" t="inlineStr">
        <is>
          <t>SQLite-Speedtest1 真实应用（B树、事务与完整性检查）</t>
        </is>
      </c>
      <c r="J262" s="31" t="inlineStr">
        <is>
          <t>SQLite-Speedtest1 真实应用（B树、事务与完整性检查）
执行定义与 oracle：SQLite speedtest1 固定数据库与事务脚本；用 PRAGMA integrity_check、查询结果和数据库文件哈希作为 oracle</t>
        </is>
      </c>
      <c r="K262" s="31" t="inlineStr">
        <is>
          <t>SQ 中存在地址已知、尚未提交且之后会被消费的 store</t>
        </is>
      </c>
      <c r="L262" s="31" t="inlineStr">
        <is>
          <t>L0目标寿命与activated；L1 SQ地址、age和状态；L2 forwarding/violation/replay、请求地址；L3实际写入line；L4 commit与内存副作用；L5结局</t>
        </is>
      </c>
      <c r="M262" s="31" t="inlineStr">
        <is>
          <t>大多数随机地址错误应被依赖检查、异常或回放捕获；少数形成合法错址时可能SDC，预期低于合法地址换值模型</t>
        </is>
      </c>
      <c r="N262" s="31" t="inlineStr">
        <is>
          <t>补充随机地址/tag单比特基线，用于与S04合法地址替换比较</t>
        </is>
      </c>
      <c r="O262" s="31" t="inlineStr">
        <is>
          <t>TC'23 对 LQ/SQ 地址类字段的低SDC结果可作直接对照；IISWC'15/HPCA'24提供LSQ背景</t>
        </is>
      </c>
      <c r="P262" s="33" t="n"/>
      <c r="Q262" s="33" t="n"/>
      <c r="R262" s="33" t="n"/>
      <c r="S262" s="33" t="n"/>
      <c r="T262" s="33" t="n"/>
      <c r="U262" s="33" t="n"/>
      <c r="V262" s="33" t="n"/>
      <c r="W262" s="33" t="n"/>
      <c r="X262" s="36">
        <f>IF(OR(R262="",R262-AP262&lt;=0),"",AB262/(R262-AP262))</f>
        <v/>
      </c>
      <c r="Y262" s="36">
        <f>IF(OR(AR262="",AR262=0),"",R262/AR262)</f>
        <v/>
      </c>
      <c r="Z262" s="34" t="inlineStr">
        <is>
          <t>待执行</t>
        </is>
      </c>
      <c r="AA262" s="33" t="n"/>
      <c r="AB262" s="38" t="n"/>
      <c r="AC262" s="38" t="n"/>
      <c r="AD262" s="38" t="n"/>
      <c r="AE262" s="38" t="n"/>
      <c r="AF262" s="38" t="n"/>
      <c r="AG262" s="38" t="n"/>
      <c r="AH262" s="38" t="n"/>
      <c r="AI262" s="38" t="n"/>
      <c r="AJ262" s="38" t="n"/>
      <c r="AK262" s="39" t="n"/>
      <c r="AL262" s="40">
        <f>IF(OR(R262="",R262-AP262&lt;=0),"",AO262/(R262-AP262))</f>
        <v/>
      </c>
      <c r="AM262" s="41">
        <f>IF(R262="","",SUM(AC262:AF262)-(R262-AP262))</f>
        <v/>
      </c>
      <c r="AN262" s="41">
        <f>IF(R262="","",SUM(S262:W262)+AP262-R262)</f>
        <v/>
      </c>
      <c r="AO262" s="44" t="n"/>
      <c r="AP262" s="45" t="n"/>
      <c r="AQ262" s="47" t="inlineStr">
        <is>
          <t>S13-a SQ address/tag低位单bit；S13-b 中位单bit；S13-c 高位单bit</t>
        </is>
      </c>
      <c r="AR262" s="33" t="n"/>
      <c r="AS262" s="36">
        <f>IF(OR(Q262="",Q262=0),"",AR262/Q262)</f>
        <v/>
      </c>
      <c r="AT262" s="62" t="n">
        <v>30</v>
      </c>
      <c r="AU262" s="62" t="n">
        <v>2401</v>
      </c>
      <c r="AV262" s="62" t="inlineStr">
        <is>
          <t>重点（预登记21项）</t>
        </is>
      </c>
      <c r="AW262" s="62" t="inlineStr">
        <is>
          <t>累计到2401（含前385）</t>
        </is>
      </c>
    </row>
    <row r="263" ht="94.15000000000001" customHeight="1" s="58">
      <c r="A263" s="32" t="inlineStr">
        <is>
          <t>S13-F1-W1</t>
        </is>
      </c>
      <c r="B263" s="32" t="inlineStr">
        <is>
          <t>S13</t>
        </is>
      </c>
      <c r="C263" s="32" t="inlineStr">
        <is>
          <t>Store Queue</t>
        </is>
      </c>
      <c r="D263" s="31" t="inlineStr">
        <is>
          <t>Store Queue 有效未提交表项的 store address/tag 字段。该字段决定最终写入地址，同时参与 store-to-load forwarding 和内存依赖冲突检查。</t>
        </is>
      </c>
      <c r="E263" s="31" t="inlineStr">
        <is>
          <t>单比特翻转</t>
        </is>
      </c>
      <c r="F263"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3" s="31" t="inlineStr">
        <is>
          <t>F1</t>
        </is>
      </c>
      <c r="H263" s="31" t="inlineStr">
        <is>
          <t>平均每 1,000,000 个 eligible events 注入 1 次，间隔加入 ±50% 抖动</t>
        </is>
      </c>
      <c r="I263" s="31" t="inlineStr">
        <is>
          <t>MiBench-TC23 论文负载（blowfish、patricia、fft、gsm、dijkstra、rijndael、sha、bitcount、edge、smooth）</t>
        </is>
      </c>
      <c r="J263" s="31" t="inlineStr">
        <is>
          <t>MiBench-TC23 论文负载（blowfish、patricia、fft、gsm、dijkstra、rijndael、sha、bitcount、edge、smooth）
执行定义与 oracle：blowfish、patricia、fft、gsm、dijkstra、rijndael、sha、bitcount、edge、smooth；最大输入集</t>
        </is>
      </c>
      <c r="K263" s="31" t="inlineStr">
        <is>
          <t>SQ 中存在地址已知、尚未提交且之后会被消费的 store</t>
        </is>
      </c>
      <c r="L263" s="31" t="inlineStr">
        <is>
          <t>L0目标寿命与activated；L1 SQ地址、age和状态；L2 forwarding/violation/replay、请求地址；L3实际写入line；L4 commit与内存副作用；L5结局</t>
        </is>
      </c>
      <c r="M263" s="31" t="inlineStr">
        <is>
          <t>大多数随机地址错误应被依赖检查、异常或回放捕获；少数形成合法错址时可能SDC，预期低于合法地址换值模型</t>
        </is>
      </c>
      <c r="N263" s="31" t="inlineStr">
        <is>
          <t>补充随机地址/tag单比特基线，用于与S04合法地址替换比较</t>
        </is>
      </c>
      <c r="O263" s="31" t="inlineStr">
        <is>
          <t>TC'23 对 LQ/SQ 地址类字段的低SDC结果可作直接对照；IISWC'15/HPCA'24提供LSQ背景</t>
        </is>
      </c>
      <c r="P263" s="33" t="n"/>
      <c r="Q263" s="33" t="n"/>
      <c r="R263" s="33" t="n"/>
      <c r="S263" s="33" t="n"/>
      <c r="T263" s="33" t="n"/>
      <c r="U263" s="33" t="n"/>
      <c r="V263" s="33" t="n"/>
      <c r="W263" s="33" t="n"/>
      <c r="X263" s="36">
        <f>IF(OR(R263="",R263-AP263&lt;=0),"",AB263/(R263-AP263))</f>
        <v/>
      </c>
      <c r="Y263" s="36">
        <f>IF(OR(AR263="",AR263=0),"",R263/AR263)</f>
        <v/>
      </c>
      <c r="Z263" s="34" t="inlineStr">
        <is>
          <t>待执行</t>
        </is>
      </c>
      <c r="AA263" s="33" t="n"/>
      <c r="AB263" s="38" t="n"/>
      <c r="AC263" s="38" t="n"/>
      <c r="AD263" s="38" t="n"/>
      <c r="AE263" s="38" t="n"/>
      <c r="AF263" s="38" t="n"/>
      <c r="AG263" s="38" t="n"/>
      <c r="AH263" s="38" t="n"/>
      <c r="AI263" s="38" t="n"/>
      <c r="AJ263" s="38" t="n"/>
      <c r="AK263" s="39" t="n"/>
      <c r="AL263" s="40">
        <f>IF(OR(R263="",R263-AP263&lt;=0),"",AO263/(R263-AP263))</f>
        <v/>
      </c>
      <c r="AM263" s="41">
        <f>IF(R263="","",SUM(AC263:AF263)-(R263-AP263))</f>
        <v/>
      </c>
      <c r="AN263" s="41">
        <f>IF(R263="","",SUM(S263:W263)+AP263-R263)</f>
        <v/>
      </c>
      <c r="AO263" s="44" t="n"/>
      <c r="AP263" s="45" t="n"/>
      <c r="AQ263" s="47" t="inlineStr">
        <is>
          <t>S13-a SQ address/tag低位单bit；S13-b 中位单bit；S13-c 高位单bit</t>
        </is>
      </c>
      <c r="AR263" s="33" t="n"/>
      <c r="AS263" s="36">
        <f>IF(OR(Q263="",Q263=0),"",AR263/Q263)</f>
        <v/>
      </c>
      <c r="AT263" s="62" t="n">
        <v>30</v>
      </c>
      <c r="AU263" s="62" t="n">
        <v>385</v>
      </c>
      <c r="AV263" s="62" t="inlineStr">
        <is>
          <t>常规</t>
        </is>
      </c>
      <c r="AW263" s="62" t="inlineStr">
        <is>
          <t>累计至少385，不机械扩展到2401</t>
        </is>
      </c>
    </row>
    <row r="264" ht="94.15000000000001" customHeight="1" s="58">
      <c r="A264" s="32" t="inlineStr">
        <is>
          <t>S13-F1-W5</t>
        </is>
      </c>
      <c r="B264" s="32" t="inlineStr">
        <is>
          <t>S13</t>
        </is>
      </c>
      <c r="C264" s="32" t="inlineStr">
        <is>
          <t>Store Queue</t>
        </is>
      </c>
      <c r="D264" s="31" t="inlineStr">
        <is>
          <t>Store Queue 有效未提交表项的 store address/tag 字段。该字段决定最终写入地址，同时参与 store-to-load forwarding 和内存依赖冲突检查。</t>
        </is>
      </c>
      <c r="E264" s="31" t="inlineStr">
        <is>
          <t>单比特翻转</t>
        </is>
      </c>
      <c r="F264"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4" s="31" t="inlineStr">
        <is>
          <t>F1</t>
        </is>
      </c>
      <c r="H264" s="31" t="inlineStr">
        <is>
          <t>平均每 1,000,000 个 eligible events 注入 1 次，间隔加入 ±50% 抖动</t>
        </is>
      </c>
      <c r="I264" s="31" t="inlineStr">
        <is>
          <t>SQ-Forward 转发探针（同地址/部分重叠 store-to-load forwarding、字节掩码、alias、replay）</t>
        </is>
      </c>
      <c r="J264" s="31" t="inlineStr">
        <is>
          <t>SQ-Forward 转发探针（同地址/部分重叠 store-to-load forwarding、字节掩码、alias、replay）
执行定义与 oracle：同地址与部分重叠 store-to-load forwarding、不同字节掩码、地址晚到/数据晚到、alias、replay</t>
        </is>
      </c>
      <c r="K264" s="31" t="inlineStr">
        <is>
          <t>SQ 中存在地址已知、尚未提交且之后会被消费的 store</t>
        </is>
      </c>
      <c r="L264" s="31" t="inlineStr">
        <is>
          <t>L0目标寿命与activated；L1 SQ地址、age和状态；L2 forwarding/violation/replay、请求地址；L3实际写入line；L4 commit与内存副作用；L5结局</t>
        </is>
      </c>
      <c r="M264" s="31" t="inlineStr">
        <is>
          <t>大多数随机地址错误应被依赖检查、异常或回放捕获；少数形成合法错址时可能SDC，预期低于合法地址换值模型</t>
        </is>
      </c>
      <c r="N264" s="31" t="inlineStr">
        <is>
          <t>补充随机地址/tag单比特基线，用于与S04合法地址替换比较</t>
        </is>
      </c>
      <c r="O264" s="31" t="inlineStr">
        <is>
          <t>TC'23 对 LQ/SQ 地址类字段的低SDC结果可作直接对照；IISWC'15/HPCA'24提供LSQ背景</t>
        </is>
      </c>
      <c r="P264" s="33" t="n"/>
      <c r="Q264" s="33" t="n"/>
      <c r="R264" s="33" t="n"/>
      <c r="S264" s="33" t="n"/>
      <c r="T264" s="33" t="n"/>
      <c r="U264" s="33" t="n"/>
      <c r="V264" s="33" t="n"/>
      <c r="W264" s="33" t="n"/>
      <c r="X264" s="36">
        <f>IF(OR(R264="",R264-AP264&lt;=0),"",AB264/(R264-AP264))</f>
        <v/>
      </c>
      <c r="Y264" s="36">
        <f>IF(OR(AR264="",AR264=0),"",R264/AR264)</f>
        <v/>
      </c>
      <c r="Z264" s="34" t="inlineStr">
        <is>
          <t>待执行</t>
        </is>
      </c>
      <c r="AA264" s="33" t="n"/>
      <c r="AB264" s="38" t="n"/>
      <c r="AC264" s="38" t="n"/>
      <c r="AD264" s="38" t="n"/>
      <c r="AE264" s="38" t="n"/>
      <c r="AF264" s="38" t="n"/>
      <c r="AG264" s="38" t="n"/>
      <c r="AH264" s="38" t="n"/>
      <c r="AI264" s="38" t="n"/>
      <c r="AJ264" s="38" t="n"/>
      <c r="AK264" s="39" t="n"/>
      <c r="AL264" s="40">
        <f>IF(OR(R264="",R264-AP264&lt;=0),"",AO264/(R264-AP264))</f>
        <v/>
      </c>
      <c r="AM264" s="41">
        <f>IF(R264="","",SUM(AC264:AF264)-(R264-AP264))</f>
        <v/>
      </c>
      <c r="AN264" s="41">
        <f>IF(R264="","",SUM(S264:W264)+AP264-R264)</f>
        <v/>
      </c>
      <c r="AO264" s="44" t="n"/>
      <c r="AP264" s="45" t="n"/>
      <c r="AQ264" s="47" t="inlineStr">
        <is>
          <t>S13-a SQ address/tag低位单bit；S13-b 中位单bit；S13-c 高位单bit</t>
        </is>
      </c>
      <c r="AR264" s="33" t="n"/>
      <c r="AS264" s="36">
        <f>IF(OR(Q264="",Q264=0),"",AR264/Q264)</f>
        <v/>
      </c>
      <c r="AT264" s="62" t="n">
        <v>30</v>
      </c>
      <c r="AU264" s="62" t="n">
        <v>385</v>
      </c>
      <c r="AV264" s="62" t="inlineStr">
        <is>
          <t>常规</t>
        </is>
      </c>
      <c r="AW264" s="62" t="inlineStr">
        <is>
          <t>累计至少385，不机械扩展到2401</t>
        </is>
      </c>
    </row>
    <row r="265" ht="94.15000000000001" customHeight="1" s="58">
      <c r="A265" s="32" t="inlineStr">
        <is>
          <t>S13-F1-W11</t>
        </is>
      </c>
      <c r="B265" s="32" t="inlineStr">
        <is>
          <t>S13</t>
        </is>
      </c>
      <c r="C265" s="32" t="inlineStr">
        <is>
          <t>Store Queue</t>
        </is>
      </c>
      <c r="D265" s="31" t="inlineStr">
        <is>
          <t>Store Queue 有效未提交表项的 store address/tag 字段。该字段决定最终写入地址，同时参与 store-to-load forwarding 和内存依赖冲突检查。</t>
        </is>
      </c>
      <c r="E265" s="31" t="inlineStr">
        <is>
          <t>单比特翻转</t>
        </is>
      </c>
      <c r="F265"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5" s="31" t="inlineStr">
        <is>
          <t>F1</t>
        </is>
      </c>
      <c r="H265" s="31" t="inlineStr">
        <is>
          <t>平均每 1,000,000 个 eligible events 注入 1 次，间隔加入 ±50% 抖动</t>
        </is>
      </c>
      <c r="I265" s="31" t="inlineStr">
        <is>
          <t>SPEC CPU2017 采样区间</t>
        </is>
      </c>
      <c r="J265" s="31" t="inlineStr">
        <is>
          <t>SPEC CPU2017 采样区间
执行定义与 oracle：mcf、omnetpp、xalancbmk、lbm 的固定 SimPoint/checkpoint；使用参考输出或结果哈希</t>
        </is>
      </c>
      <c r="K265" s="31" t="inlineStr">
        <is>
          <t>SQ 中存在地址已知、尚未提交且之后会被消费的 store</t>
        </is>
      </c>
      <c r="L265" s="31" t="inlineStr">
        <is>
          <t>L0目标寿命与activated；L1 SQ地址、age和状态；L2 forwarding/violation/replay、请求地址；L3实际写入line；L4 commit与内存副作用；L5结局</t>
        </is>
      </c>
      <c r="M265" s="31" t="inlineStr">
        <is>
          <t>大多数随机地址错误应被依赖检查、异常或回放捕获；少数形成合法错址时可能SDC，预期低于合法地址换值模型</t>
        </is>
      </c>
      <c r="N265" s="31" t="inlineStr">
        <is>
          <t>补充随机地址/tag单比特基线，用于与S04合法地址替换比较</t>
        </is>
      </c>
      <c r="O265" s="31" t="inlineStr">
        <is>
          <t>TC'23 对 LQ/SQ 地址类字段的低SDC结果可作直接对照；IISWC'15/HPCA'24提供LSQ背景</t>
        </is>
      </c>
      <c r="P265" s="33" t="n"/>
      <c r="Q265" s="33" t="n"/>
      <c r="R265" s="33" t="n"/>
      <c r="S265" s="33" t="n"/>
      <c r="T265" s="33" t="n"/>
      <c r="U265" s="33" t="n"/>
      <c r="V265" s="33" t="n"/>
      <c r="W265" s="33" t="n"/>
      <c r="X265" s="36">
        <f>IF(OR(R265="",R265-AP265&lt;=0),"",AB265/(R265-AP265))</f>
        <v/>
      </c>
      <c r="Y265" s="36">
        <f>IF(OR(AR265="",AR265=0),"",R265/AR265)</f>
        <v/>
      </c>
      <c r="Z265" s="34" t="inlineStr">
        <is>
          <t>待执行</t>
        </is>
      </c>
      <c r="AA265" s="33" t="n"/>
      <c r="AB265" s="38" t="n"/>
      <c r="AC265" s="38" t="n"/>
      <c r="AD265" s="38" t="n"/>
      <c r="AE265" s="38" t="n"/>
      <c r="AF265" s="38" t="n"/>
      <c r="AG265" s="38" t="n"/>
      <c r="AH265" s="38" t="n"/>
      <c r="AI265" s="38" t="n"/>
      <c r="AJ265" s="38" t="n"/>
      <c r="AK265" s="39" t="n"/>
      <c r="AL265" s="40">
        <f>IF(OR(R265="",R265-AP265&lt;=0),"",AO265/(R265-AP265))</f>
        <v/>
      </c>
      <c r="AM265" s="41">
        <f>IF(R265="","",SUM(AC265:AF265)-(R265-AP265))</f>
        <v/>
      </c>
      <c r="AN265" s="41">
        <f>IF(R265="","",SUM(S265:W265)+AP265-R265)</f>
        <v/>
      </c>
      <c r="AO265" s="44" t="n"/>
      <c r="AP265" s="45" t="n"/>
      <c r="AQ265" s="47" t="inlineStr">
        <is>
          <t>S13-a SQ address/tag低位单bit；S13-b 中位单bit；S13-c 高位单bit</t>
        </is>
      </c>
      <c r="AR265" s="33" t="n"/>
      <c r="AS265" s="36">
        <f>IF(OR(Q265="",Q265=0),"",AR265/Q265)</f>
        <v/>
      </c>
      <c r="AT265" s="62" t="n">
        <v>30</v>
      </c>
      <c r="AU265" s="62" t="n">
        <v>385</v>
      </c>
      <c r="AV265" s="62" t="inlineStr">
        <is>
          <t>常规</t>
        </is>
      </c>
      <c r="AW265" s="62" t="inlineStr">
        <is>
          <t>累计至少385，不机械扩展到2401</t>
        </is>
      </c>
    </row>
    <row r="266" ht="94.15000000000001" customHeight="1" s="58">
      <c r="A266" s="32" t="inlineStr">
        <is>
          <t>S13-F1-W12</t>
        </is>
      </c>
      <c r="B266" s="32" t="inlineStr">
        <is>
          <t>S13</t>
        </is>
      </c>
      <c r="C266" s="32" t="inlineStr">
        <is>
          <t>Store Queue</t>
        </is>
      </c>
      <c r="D266" s="31" t="inlineStr">
        <is>
          <t>Store Queue 有效未提交表项的 store address/tag 字段。该字段决定最终写入地址，同时参与 store-to-load forwarding 和内存依赖冲突检查。</t>
        </is>
      </c>
      <c r="E266" s="31" t="inlineStr">
        <is>
          <t>单比特翻转</t>
        </is>
      </c>
      <c r="F266"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6" s="31" t="inlineStr">
        <is>
          <t>F1</t>
        </is>
      </c>
      <c r="H266" s="31" t="inlineStr">
        <is>
          <t>平均每 1,000,000 个 eligible events 注入 1 次，间隔加入 ±50% 抖动</t>
        </is>
      </c>
      <c r="I266" s="31" t="inlineStr">
        <is>
          <t>SQLite-Speedtest1 真实应用（B树、事务与完整性检查）</t>
        </is>
      </c>
      <c r="J266" s="31" t="inlineStr">
        <is>
          <t>SQLite-Speedtest1 真实应用（B树、事务与完整性检查）
执行定义与 oracle：SQLite speedtest1 固定数据库与事务脚本；用 PRAGMA integrity_check、查询结果和数据库文件哈希作为 oracle</t>
        </is>
      </c>
      <c r="K266" s="31" t="inlineStr">
        <is>
          <t>SQ 中存在地址已知、尚未提交且之后会被消费的 store</t>
        </is>
      </c>
      <c r="L266" s="31" t="inlineStr">
        <is>
          <t>L0目标寿命与activated；L1 SQ地址、age和状态；L2 forwarding/violation/replay、请求地址；L3实际写入line；L4 commit与内存副作用；L5结局</t>
        </is>
      </c>
      <c r="M266" s="31" t="inlineStr">
        <is>
          <t>大多数随机地址错误应被依赖检查、异常或回放捕获；少数形成合法错址时可能SDC，预期低于合法地址换值模型</t>
        </is>
      </c>
      <c r="N266" s="31" t="inlineStr">
        <is>
          <t>补充随机地址/tag单比特基线，用于与S04合法地址替换比较</t>
        </is>
      </c>
      <c r="O266" s="31" t="inlineStr">
        <is>
          <t>TC'23 对 LQ/SQ 地址类字段的低SDC结果可作直接对照；IISWC'15/HPCA'24提供LSQ背景</t>
        </is>
      </c>
      <c r="P266" s="33" t="n"/>
      <c r="Q266" s="33" t="n"/>
      <c r="R266" s="33" t="n"/>
      <c r="S266" s="33" t="n"/>
      <c r="T266" s="33" t="n"/>
      <c r="U266" s="33" t="n"/>
      <c r="V266" s="33" t="n"/>
      <c r="W266" s="33" t="n"/>
      <c r="X266" s="36">
        <f>IF(OR(R266="",R266-AP266&lt;=0),"",AB266/(R266-AP266))</f>
        <v/>
      </c>
      <c r="Y266" s="36">
        <f>IF(OR(AR266="",AR266=0),"",R266/AR266)</f>
        <v/>
      </c>
      <c r="Z266" s="34" t="inlineStr">
        <is>
          <t>待执行</t>
        </is>
      </c>
      <c r="AA266" s="33" t="n"/>
      <c r="AB266" s="38" t="n"/>
      <c r="AC266" s="38" t="n"/>
      <c r="AD266" s="38" t="n"/>
      <c r="AE266" s="38" t="n"/>
      <c r="AF266" s="38" t="n"/>
      <c r="AG266" s="38" t="n"/>
      <c r="AH266" s="38" t="n"/>
      <c r="AI266" s="38" t="n"/>
      <c r="AJ266" s="38" t="n"/>
      <c r="AK266" s="39" t="n"/>
      <c r="AL266" s="40">
        <f>IF(OR(R266="",R266-AP266&lt;=0),"",AO266/(R266-AP266))</f>
        <v/>
      </c>
      <c r="AM266" s="41">
        <f>IF(R266="","",SUM(AC266:AF266)-(R266-AP266))</f>
        <v/>
      </c>
      <c r="AN266" s="41">
        <f>IF(R266="","",SUM(S266:W266)+AP266-R266)</f>
        <v/>
      </c>
      <c r="AO266" s="44" t="n"/>
      <c r="AP266" s="45" t="n"/>
      <c r="AQ266" s="47" t="inlineStr">
        <is>
          <t>S13-a SQ address/tag低位单bit；S13-b 中位单bit；S13-c 高位单bit</t>
        </is>
      </c>
      <c r="AR266" s="33" t="n"/>
      <c r="AS266" s="36">
        <f>IF(OR(Q266="",Q266=0),"",AR266/Q266)</f>
        <v/>
      </c>
      <c r="AT266" s="62" t="n">
        <v>30</v>
      </c>
      <c r="AU266" s="62" t="n">
        <v>385</v>
      </c>
      <c r="AV266" s="62" t="inlineStr">
        <is>
          <t>常规</t>
        </is>
      </c>
      <c r="AW266" s="62" t="inlineStr">
        <is>
          <t>累计至少385，不机械扩展到2401</t>
        </is>
      </c>
    </row>
    <row r="267" ht="94.15000000000001" customHeight="1" s="58">
      <c r="A267" s="32" t="inlineStr">
        <is>
          <t>S13-F2-W1</t>
        </is>
      </c>
      <c r="B267" s="32" t="inlineStr">
        <is>
          <t>S13</t>
        </is>
      </c>
      <c r="C267" s="32" t="inlineStr">
        <is>
          <t>Store Queue</t>
        </is>
      </c>
      <c r="D267" s="31" t="inlineStr">
        <is>
          <t>Store Queue 有效未提交表项的 store address/tag 字段。该字段决定最终写入地址，同时参与 store-to-load forwarding 和内存依赖冲突检查。</t>
        </is>
      </c>
      <c r="E267" s="31" t="inlineStr">
        <is>
          <t>单比特翻转</t>
        </is>
      </c>
      <c r="F267"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7" s="31" t="inlineStr">
        <is>
          <t>F2</t>
        </is>
      </c>
      <c r="H267" s="31" t="inlineStr">
        <is>
          <t>平均每 100,000 个 eligible events 注入 1 次，间隔加入 ±50% 抖动</t>
        </is>
      </c>
      <c r="I267" s="31" t="inlineStr">
        <is>
          <t>MiBench-TC23 论文负载（blowfish、patricia、fft、gsm、dijkstra、rijndael、sha、bitcount、edge、smooth）</t>
        </is>
      </c>
      <c r="J267" s="31" t="inlineStr">
        <is>
          <t>MiBench-TC23 论文负载（blowfish、patricia、fft、gsm、dijkstra、rijndael、sha、bitcount、edge、smooth）
执行定义与 oracle：blowfish、patricia、fft、gsm、dijkstra、rijndael、sha、bitcount、edge、smooth；最大输入集</t>
        </is>
      </c>
      <c r="K267" s="31" t="inlineStr">
        <is>
          <t>SQ 中存在地址已知、尚未提交且之后会被消费的 store</t>
        </is>
      </c>
      <c r="L267" s="31" t="inlineStr">
        <is>
          <t>L0目标寿命与activated；L1 SQ地址、age和状态；L2 forwarding/violation/replay、请求地址；L3实际写入line；L4 commit与内存副作用；L5结局</t>
        </is>
      </c>
      <c r="M267" s="31" t="inlineStr">
        <is>
          <t>大多数随机地址错误应被依赖检查、异常或回放捕获；少数形成合法错址时可能SDC，预期低于合法地址换值模型</t>
        </is>
      </c>
      <c r="N267" s="31" t="inlineStr">
        <is>
          <t>补充随机地址/tag单比特基线，用于与S04合法地址替换比较</t>
        </is>
      </c>
      <c r="O267" s="31" t="inlineStr">
        <is>
          <t>TC'23 对 LQ/SQ 地址类字段的低SDC结果可作直接对照；IISWC'15/HPCA'24提供LSQ背景</t>
        </is>
      </c>
      <c r="P267" s="33" t="n"/>
      <c r="Q267" s="33" t="n"/>
      <c r="R267" s="33" t="n"/>
      <c r="S267" s="33" t="n"/>
      <c r="T267" s="33" t="n"/>
      <c r="U267" s="33" t="n"/>
      <c r="V267" s="33" t="n"/>
      <c r="W267" s="33" t="n"/>
      <c r="X267" s="36">
        <f>IF(OR(R267="",R267-AP267&lt;=0),"",AB267/(R267-AP267))</f>
        <v/>
      </c>
      <c r="Y267" s="36">
        <f>IF(OR(AR267="",AR267=0),"",R267/AR267)</f>
        <v/>
      </c>
      <c r="Z267" s="34" t="inlineStr">
        <is>
          <t>待执行</t>
        </is>
      </c>
      <c r="AA267" s="33" t="n"/>
      <c r="AB267" s="38" t="n"/>
      <c r="AC267" s="38" t="n"/>
      <c r="AD267" s="38" t="n"/>
      <c r="AE267" s="38" t="n"/>
      <c r="AF267" s="38" t="n"/>
      <c r="AG267" s="38" t="n"/>
      <c r="AH267" s="38" t="n"/>
      <c r="AI267" s="38" t="n"/>
      <c r="AJ267" s="38" t="n"/>
      <c r="AK267" s="39" t="n"/>
      <c r="AL267" s="40">
        <f>IF(OR(R267="",R267-AP267&lt;=0),"",AO267/(R267-AP267))</f>
        <v/>
      </c>
      <c r="AM267" s="41">
        <f>IF(R267="","",SUM(AC267:AF267)-(R267-AP267))</f>
        <v/>
      </c>
      <c r="AN267" s="41">
        <f>IF(R267="","",SUM(S267:W267)+AP267-R267)</f>
        <v/>
      </c>
      <c r="AO267" s="44" t="n"/>
      <c r="AP267" s="45" t="n"/>
      <c r="AQ267" s="47" t="inlineStr">
        <is>
          <t>S13-a SQ address/tag低位单bit；S13-b 中位单bit；S13-c 高位单bit</t>
        </is>
      </c>
      <c r="AR267" s="33" t="n"/>
      <c r="AS267" s="36">
        <f>IF(OR(Q267="",Q267=0),"",AR267/Q267)</f>
        <v/>
      </c>
      <c r="AT267" s="62" t="n">
        <v>30</v>
      </c>
      <c r="AU267" s="62" t="n">
        <v>385</v>
      </c>
      <c r="AV267" s="62" t="inlineStr">
        <is>
          <t>常规</t>
        </is>
      </c>
      <c r="AW267" s="62" t="inlineStr">
        <is>
          <t>累计至少385，不机械扩展到2401</t>
        </is>
      </c>
    </row>
    <row r="268" ht="94.15000000000001" customHeight="1" s="58">
      <c r="A268" s="32" t="inlineStr">
        <is>
          <t>S13-F2-W5</t>
        </is>
      </c>
      <c r="B268" s="32" t="inlineStr">
        <is>
          <t>S13</t>
        </is>
      </c>
      <c r="C268" s="32" t="inlineStr">
        <is>
          <t>Store Queue</t>
        </is>
      </c>
      <c r="D268" s="31" t="inlineStr">
        <is>
          <t>Store Queue 有效未提交表项的 store address/tag 字段。该字段决定最终写入地址，同时参与 store-to-load forwarding 和内存依赖冲突检查。</t>
        </is>
      </c>
      <c r="E268" s="31" t="inlineStr">
        <is>
          <t>单比特翻转</t>
        </is>
      </c>
      <c r="F268"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8" s="31" t="inlineStr">
        <is>
          <t>F2</t>
        </is>
      </c>
      <c r="H268" s="31" t="inlineStr">
        <is>
          <t>平均每 100,000 个 eligible events 注入 1 次，间隔加入 ±50% 抖动</t>
        </is>
      </c>
      <c r="I268" s="31" t="inlineStr">
        <is>
          <t>SQ-Forward 转发探针（同地址/部分重叠 store-to-load forwarding、字节掩码、alias、replay）</t>
        </is>
      </c>
      <c r="J268" s="31" t="inlineStr">
        <is>
          <t>SQ-Forward 转发探针（同地址/部分重叠 store-to-load forwarding、字节掩码、alias、replay）
执行定义与 oracle：同地址与部分重叠 store-to-load forwarding、不同字节掩码、地址晚到/数据晚到、alias、replay</t>
        </is>
      </c>
      <c r="K268" s="31" t="inlineStr">
        <is>
          <t>SQ 中存在地址已知、尚未提交且之后会被消费的 store</t>
        </is>
      </c>
      <c r="L268" s="31" t="inlineStr">
        <is>
          <t>L0目标寿命与activated；L1 SQ地址、age和状态；L2 forwarding/violation/replay、请求地址；L3实际写入line；L4 commit与内存副作用；L5结局</t>
        </is>
      </c>
      <c r="M268" s="31" t="inlineStr">
        <is>
          <t>大多数随机地址错误应被依赖检查、异常或回放捕获；少数形成合法错址时可能SDC，预期低于合法地址换值模型</t>
        </is>
      </c>
      <c r="N268" s="31" t="inlineStr">
        <is>
          <t>补充随机地址/tag单比特基线，用于与S04合法地址替换比较</t>
        </is>
      </c>
      <c r="O268" s="31" t="inlineStr">
        <is>
          <t>TC'23 对 LQ/SQ 地址类字段的低SDC结果可作直接对照；IISWC'15/HPCA'24提供LSQ背景</t>
        </is>
      </c>
      <c r="P268" s="33" t="n"/>
      <c r="Q268" s="33" t="n"/>
      <c r="R268" s="33" t="n"/>
      <c r="S268" s="33" t="n"/>
      <c r="T268" s="33" t="n"/>
      <c r="U268" s="33" t="n"/>
      <c r="V268" s="33" t="n"/>
      <c r="W268" s="33" t="n"/>
      <c r="X268" s="36">
        <f>IF(OR(R268="",R268-AP268&lt;=0),"",AB268/(R268-AP268))</f>
        <v/>
      </c>
      <c r="Y268" s="36">
        <f>IF(OR(AR268="",AR268=0),"",R268/AR268)</f>
        <v/>
      </c>
      <c r="Z268" s="34" t="inlineStr">
        <is>
          <t>待执行</t>
        </is>
      </c>
      <c r="AA268" s="33" t="n"/>
      <c r="AB268" s="38" t="n"/>
      <c r="AC268" s="38" t="n"/>
      <c r="AD268" s="38" t="n"/>
      <c r="AE268" s="38" t="n"/>
      <c r="AF268" s="38" t="n"/>
      <c r="AG268" s="38" t="n"/>
      <c r="AH268" s="38" t="n"/>
      <c r="AI268" s="38" t="n"/>
      <c r="AJ268" s="38" t="n"/>
      <c r="AK268" s="39" t="n"/>
      <c r="AL268" s="40">
        <f>IF(OR(R268="",R268-AP268&lt;=0),"",AO268/(R268-AP268))</f>
        <v/>
      </c>
      <c r="AM268" s="41">
        <f>IF(R268="","",SUM(AC268:AF268)-(R268-AP268))</f>
        <v/>
      </c>
      <c r="AN268" s="41">
        <f>IF(R268="","",SUM(S268:W268)+AP268-R268)</f>
        <v/>
      </c>
      <c r="AO268" s="44" t="n"/>
      <c r="AP268" s="45" t="n"/>
      <c r="AQ268" s="47" t="inlineStr">
        <is>
          <t>S13-a SQ address/tag低位单bit；S13-b 中位单bit；S13-c 高位单bit</t>
        </is>
      </c>
      <c r="AR268" s="33" t="n"/>
      <c r="AS268" s="36">
        <f>IF(OR(Q268="",Q268=0),"",AR268/Q268)</f>
        <v/>
      </c>
      <c r="AT268" s="62" t="n">
        <v>30</v>
      </c>
      <c r="AU268" s="62" t="n">
        <v>385</v>
      </c>
      <c r="AV268" s="62" t="inlineStr">
        <is>
          <t>常规</t>
        </is>
      </c>
      <c r="AW268" s="62" t="inlineStr">
        <is>
          <t>累计至少385，不机械扩展到2401</t>
        </is>
      </c>
    </row>
    <row r="269" ht="94.15000000000001" customHeight="1" s="58">
      <c r="A269" s="32" t="inlineStr">
        <is>
          <t>S13-F2-W11</t>
        </is>
      </c>
      <c r="B269" s="32" t="inlineStr">
        <is>
          <t>S13</t>
        </is>
      </c>
      <c r="C269" s="32" t="inlineStr">
        <is>
          <t>Store Queue</t>
        </is>
      </c>
      <c r="D269" s="31" t="inlineStr">
        <is>
          <t>Store Queue 有效未提交表项的 store address/tag 字段。该字段决定最终写入地址，同时参与 store-to-load forwarding 和内存依赖冲突检查。</t>
        </is>
      </c>
      <c r="E269" s="31" t="inlineStr">
        <is>
          <t>单比特翻转</t>
        </is>
      </c>
      <c r="F269"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9" s="31" t="inlineStr">
        <is>
          <t>F2</t>
        </is>
      </c>
      <c r="H269" s="31" t="inlineStr">
        <is>
          <t>平均每 100,000 个 eligible events 注入 1 次，间隔加入 ±50% 抖动</t>
        </is>
      </c>
      <c r="I269" s="31" t="inlineStr">
        <is>
          <t>SPEC CPU2017 采样区间</t>
        </is>
      </c>
      <c r="J269" s="31" t="inlineStr">
        <is>
          <t>SPEC CPU2017 采样区间
执行定义与 oracle：mcf、omnetpp、xalancbmk、lbm 的固定 SimPoint/checkpoint；使用参考输出或结果哈希</t>
        </is>
      </c>
      <c r="K269" s="31" t="inlineStr">
        <is>
          <t>SQ 中存在地址已知、尚未提交且之后会被消费的 store</t>
        </is>
      </c>
      <c r="L269" s="31" t="inlineStr">
        <is>
          <t>L0目标寿命与activated；L1 SQ地址、age和状态；L2 forwarding/violation/replay、请求地址；L3实际写入line；L4 commit与内存副作用；L5结局</t>
        </is>
      </c>
      <c r="M269" s="31" t="inlineStr">
        <is>
          <t>大多数随机地址错误应被依赖检查、异常或回放捕获；少数形成合法错址时可能SDC，预期低于合法地址换值模型</t>
        </is>
      </c>
      <c r="N269" s="31" t="inlineStr">
        <is>
          <t>补充随机地址/tag单比特基线，用于与S04合法地址替换比较</t>
        </is>
      </c>
      <c r="O269" s="31" t="inlineStr">
        <is>
          <t>TC'23 对 LQ/SQ 地址类字段的低SDC结果可作直接对照；IISWC'15/HPCA'24提供LSQ背景</t>
        </is>
      </c>
      <c r="P269" s="33" t="n"/>
      <c r="Q269" s="33" t="n"/>
      <c r="R269" s="33" t="n"/>
      <c r="S269" s="33" t="n"/>
      <c r="T269" s="33" t="n"/>
      <c r="U269" s="33" t="n"/>
      <c r="V269" s="33" t="n"/>
      <c r="W269" s="33" t="n"/>
      <c r="X269" s="36">
        <f>IF(OR(R269="",R269-AP269&lt;=0),"",AB269/(R269-AP269))</f>
        <v/>
      </c>
      <c r="Y269" s="36">
        <f>IF(OR(AR269="",AR269=0),"",R269/AR269)</f>
        <v/>
      </c>
      <c r="Z269" s="34" t="inlineStr">
        <is>
          <t>待执行</t>
        </is>
      </c>
      <c r="AA269" s="33" t="n"/>
      <c r="AB269" s="38" t="n"/>
      <c r="AC269" s="38" t="n"/>
      <c r="AD269" s="38" t="n"/>
      <c r="AE269" s="38" t="n"/>
      <c r="AF269" s="38" t="n"/>
      <c r="AG269" s="38" t="n"/>
      <c r="AH269" s="38" t="n"/>
      <c r="AI269" s="38" t="n"/>
      <c r="AJ269" s="38" t="n"/>
      <c r="AK269" s="39" t="n"/>
      <c r="AL269" s="40">
        <f>IF(OR(R269="",R269-AP269&lt;=0),"",AO269/(R269-AP269))</f>
        <v/>
      </c>
      <c r="AM269" s="41">
        <f>IF(R269="","",SUM(AC269:AF269)-(R269-AP269))</f>
        <v/>
      </c>
      <c r="AN269" s="41">
        <f>IF(R269="","",SUM(S269:W269)+AP269-R269)</f>
        <v/>
      </c>
      <c r="AO269" s="44" t="n"/>
      <c r="AP269" s="45" t="n"/>
      <c r="AQ269" s="47" t="inlineStr">
        <is>
          <t>S13-a SQ address/tag低位单bit；S13-b 中位单bit；S13-c 高位单bit</t>
        </is>
      </c>
      <c r="AR269" s="33" t="n"/>
      <c r="AS269" s="36">
        <f>IF(OR(Q269="",Q269=0),"",AR269/Q269)</f>
        <v/>
      </c>
      <c r="AT269" s="62" t="n">
        <v>30</v>
      </c>
      <c r="AU269" s="62" t="n">
        <v>385</v>
      </c>
      <c r="AV269" s="62" t="inlineStr">
        <is>
          <t>常规</t>
        </is>
      </c>
      <c r="AW269" s="62" t="inlineStr">
        <is>
          <t>累计至少385，不机械扩展到2401</t>
        </is>
      </c>
    </row>
    <row r="270" ht="94.15000000000001" customHeight="1" s="58">
      <c r="A270" s="32" t="inlineStr">
        <is>
          <t>S13-F2-W12</t>
        </is>
      </c>
      <c r="B270" s="32" t="inlineStr">
        <is>
          <t>S13</t>
        </is>
      </c>
      <c r="C270" s="32" t="inlineStr">
        <is>
          <t>Store Queue</t>
        </is>
      </c>
      <c r="D270" s="31" t="inlineStr">
        <is>
          <t>Store Queue 有效未提交表项的 store address/tag 字段。该字段决定最终写入地址，同时参与 store-to-load forwarding 和内存依赖冲突检查。</t>
        </is>
      </c>
      <c r="E270" s="31" t="inlineStr">
        <is>
          <t>单比特翻转</t>
        </is>
      </c>
      <c r="F270"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70" s="31" t="inlineStr">
        <is>
          <t>F2</t>
        </is>
      </c>
      <c r="H270" s="31" t="inlineStr">
        <is>
          <t>平均每 100,000 个 eligible events 注入 1 次，间隔加入 ±50% 抖动</t>
        </is>
      </c>
      <c r="I270" s="31" t="inlineStr">
        <is>
          <t>SQLite-Speedtest1 真实应用（B树、事务与完整性检查）</t>
        </is>
      </c>
      <c r="J270" s="31" t="inlineStr">
        <is>
          <t>SQLite-Speedtest1 真实应用（B树、事务与完整性检查）
执行定义与 oracle：SQLite speedtest1 固定数据库与事务脚本；用 PRAGMA integrity_check、查询结果和数据库文件哈希作为 oracle</t>
        </is>
      </c>
      <c r="K270" s="31" t="inlineStr">
        <is>
          <t>SQ 中存在地址已知、尚未提交且之后会被消费的 store</t>
        </is>
      </c>
      <c r="L270" s="31" t="inlineStr">
        <is>
          <t>L0目标寿命与activated；L1 SQ地址、age和状态；L2 forwarding/violation/replay、请求地址；L3实际写入line；L4 commit与内存副作用；L5结局</t>
        </is>
      </c>
      <c r="M270" s="31" t="inlineStr">
        <is>
          <t>大多数随机地址错误应被依赖检查、异常或回放捕获；少数形成合法错址时可能SDC，预期低于合法地址换值模型</t>
        </is>
      </c>
      <c r="N270" s="31" t="inlineStr">
        <is>
          <t>补充随机地址/tag单比特基线，用于与S04合法地址替换比较</t>
        </is>
      </c>
      <c r="O270" s="31" t="inlineStr">
        <is>
          <t>TC'23 对 LQ/SQ 地址类字段的低SDC结果可作直接对照；IISWC'15/HPCA'24提供LSQ背景</t>
        </is>
      </c>
      <c r="P270" s="33" t="n"/>
      <c r="Q270" s="33" t="n"/>
      <c r="R270" s="33" t="n"/>
      <c r="S270" s="33" t="n"/>
      <c r="T270" s="33" t="n"/>
      <c r="U270" s="33" t="n"/>
      <c r="V270" s="33" t="n"/>
      <c r="W270" s="33" t="n"/>
      <c r="X270" s="36">
        <f>IF(OR(R270="",R270-AP270&lt;=0),"",AB270/(R270-AP270))</f>
        <v/>
      </c>
      <c r="Y270" s="36">
        <f>IF(OR(AR270="",AR270=0),"",R270/AR270)</f>
        <v/>
      </c>
      <c r="Z270" s="34" t="inlineStr">
        <is>
          <t>待执行</t>
        </is>
      </c>
      <c r="AA270" s="33" t="n"/>
      <c r="AB270" s="38" t="n"/>
      <c r="AC270" s="38" t="n"/>
      <c r="AD270" s="38" t="n"/>
      <c r="AE270" s="38" t="n"/>
      <c r="AF270" s="38" t="n"/>
      <c r="AG270" s="38" t="n"/>
      <c r="AH270" s="38" t="n"/>
      <c r="AI270" s="38" t="n"/>
      <c r="AJ270" s="38" t="n"/>
      <c r="AK270" s="39" t="n"/>
      <c r="AL270" s="40">
        <f>IF(OR(R270="",R270-AP270&lt;=0),"",AO270/(R270-AP270))</f>
        <v/>
      </c>
      <c r="AM270" s="41">
        <f>IF(R270="","",SUM(AC270:AF270)-(R270-AP270))</f>
        <v/>
      </c>
      <c r="AN270" s="41">
        <f>IF(R270="","",SUM(S270:W270)+AP270-R270)</f>
        <v/>
      </c>
      <c r="AO270" s="44" t="n"/>
      <c r="AP270" s="45" t="n"/>
      <c r="AQ270" s="47" t="inlineStr">
        <is>
          <t>S13-a SQ address/tag低位单bit；S13-b 中位单bit；S13-c 高位单bit</t>
        </is>
      </c>
      <c r="AR270" s="33" t="n"/>
      <c r="AS270" s="36">
        <f>IF(OR(Q270="",Q270=0),"",AR270/Q270)</f>
        <v/>
      </c>
      <c r="AT270" s="62" t="n">
        <v>30</v>
      </c>
      <c r="AU270" s="62" t="n">
        <v>385</v>
      </c>
      <c r="AV270" s="62" t="inlineStr">
        <is>
          <t>常规</t>
        </is>
      </c>
      <c r="AW270" s="62" t="inlineStr">
        <is>
          <t>累计至少385，不机械扩展到2401</t>
        </is>
      </c>
    </row>
    <row r="271" ht="94.15000000000001" customHeight="1" s="58">
      <c r="A271" s="32" t="inlineStr">
        <is>
          <t>L01-F0-W1</t>
        </is>
      </c>
      <c r="B271" s="32" t="inlineStr">
        <is>
          <t>L01</t>
        </is>
      </c>
      <c r="C271" s="32" t="inlineStr">
        <is>
          <t>Load Queue</t>
        </is>
      </c>
      <c r="D271" s="31" t="inlineStr">
        <is>
          <t>Load Queue 有效表项的 load address/tag 字段。该字段保存已发射或等待完成的 load 地址，并用于与更老 store 做冲突检测和内存序违规检查。</t>
        </is>
      </c>
      <c r="E271" s="31" t="inlineStr">
        <is>
          <t>单比特翻转</t>
        </is>
      </c>
      <c r="F271" s="31" t="inlineStr">
        <is>
          <t>在有效 LQ 表项的地址/tag 中翻转 1 bit，目标 load 的目的寄存器、访问大小和其他状态不变。仅当故障字段之后参与 store 冲突比较、cache 请求或 violation 检查时计为 activated。</t>
        </is>
      </c>
      <c r="G271" s="31" t="inlineStr">
        <is>
          <t>F0</t>
        </is>
      </c>
      <c r="H271" s="31" t="inlineStr">
        <is>
          <t>每次运行只注入 1 次；在 warm-up 后的 eligible event 中均匀抽样</t>
        </is>
      </c>
      <c r="I271" s="31" t="inlineStr">
        <is>
          <t>MiBench-TC23 论文负载（blowfish、patricia、fft、gsm、dijkstra、rijndael、sha、bitcount、edge、smooth）</t>
        </is>
      </c>
      <c r="J271" s="31" t="inlineStr">
        <is>
          <t>MiBench-TC23 论文负载（blowfish、patricia、fft、gsm、dijkstra、rijndael、sha、bitcount、edge、smooth）
执行定义与 oracle：blowfish、patricia、fft、gsm、dijkstra、rijndael、sha、bitcount、edge、smooth；最大输入集</t>
        </is>
      </c>
      <c r="K271" s="31" t="inlineStr">
        <is>
          <t>LQ 中存在尚未退休且地址已知的有效 load</t>
        </is>
      </c>
      <c r="L271" s="31" t="inlineStr">
        <is>
          <t>L0目标寿命；L1 LQ地址/age/issued状态；L2 cache请求、store冲突、violation/replay；L3返回line；L4目的寄存器与commit；L5结局</t>
        </is>
      </c>
      <c r="M271" s="31" t="inlineStr">
        <is>
          <t>多数故障导致miss、replay或异常；若错误地址仍合法且违规检测未触发，可能把错误load值提交为SDC</t>
        </is>
      </c>
      <c r="N271" s="31" t="inlineStr">
        <is>
          <t>补齐旧版已有而新版完全删除的Load Queue基本存储字段覆盖</t>
        </is>
      </c>
      <c r="O271" s="31" t="inlineStr">
        <is>
          <t>TC'23、HPCA'24 对 LQ 直接注入；指标口径需与SQ分开</t>
        </is>
      </c>
      <c r="P271" s="33" t="n"/>
      <c r="Q271" s="33" t="n"/>
      <c r="R271" s="33" t="n"/>
      <c r="S271" s="33" t="n"/>
      <c r="T271" s="33" t="n"/>
      <c r="U271" s="33" t="n"/>
      <c r="V271" s="33" t="n"/>
      <c r="W271" s="33" t="n"/>
      <c r="X271" s="36">
        <f>IF(OR(R271="",R271-AP271&lt;=0),"",AB271/(R271-AP271))</f>
        <v/>
      </c>
      <c r="Y271" s="36">
        <f>IF(OR(AR271="",AR271=0),"",R271/AR271)</f>
        <v/>
      </c>
      <c r="Z271" s="34" t="inlineStr">
        <is>
          <t>待执行</t>
        </is>
      </c>
      <c r="AA271" s="33" t="n"/>
      <c r="AB271" s="38" t="n"/>
      <c r="AC271" s="38" t="n"/>
      <c r="AD271" s="38" t="n"/>
      <c r="AE271" s="38" t="n"/>
      <c r="AF271" s="38" t="n"/>
      <c r="AG271" s="38" t="n"/>
      <c r="AH271" s="38" t="n"/>
      <c r="AI271" s="38" t="n"/>
      <c r="AJ271" s="38" t="n"/>
      <c r="AK271" s="39" t="n"/>
      <c r="AL271" s="40">
        <f>IF(OR(R271="",R271-AP271&lt;=0),"",AO271/(R271-AP271))</f>
        <v/>
      </c>
      <c r="AM271" s="41">
        <f>IF(R271="","",SUM(AC271:AF271)-(R271-AP271))</f>
        <v/>
      </c>
      <c r="AN271" s="41">
        <f>IF(R271="","",SUM(S271:W271)+AP271-R271)</f>
        <v/>
      </c>
      <c r="AO271" s="44" t="n"/>
      <c r="AP271" s="45" t="n"/>
      <c r="AQ271" s="47" t="inlineStr">
        <is>
          <t>L01-a LQ address/tag低位单bit；L01-b 中位单bit；L01-c 高位单bit</t>
        </is>
      </c>
      <c r="AR271" s="33" t="n"/>
      <c r="AS271" s="36">
        <f>IF(OR(Q271="",Q271=0),"",AR271/Q271)</f>
        <v/>
      </c>
      <c r="AT271" s="62" t="n">
        <v>30</v>
      </c>
      <c r="AU271" s="62" t="n">
        <v>385</v>
      </c>
      <c r="AV271" s="62" t="inlineStr">
        <is>
          <t>常规</t>
        </is>
      </c>
      <c r="AW271" s="62" t="inlineStr">
        <is>
          <t>累计至少385，不机械扩展到2401</t>
        </is>
      </c>
    </row>
    <row r="272" ht="94.15000000000001" customHeight="1" s="58">
      <c r="A272" s="32" t="inlineStr">
        <is>
          <t>L01-F0-W5</t>
        </is>
      </c>
      <c r="B272" s="32" t="inlineStr">
        <is>
          <t>L01</t>
        </is>
      </c>
      <c r="C272" s="32" t="inlineStr">
        <is>
          <t>Load Queue</t>
        </is>
      </c>
      <c r="D272" s="31" t="inlineStr">
        <is>
          <t>Load Queue 有效表项的 load address/tag 字段。该字段保存已发射或等待完成的 load 地址，并用于与更老 store 做冲突检测和内存序违规检查。</t>
        </is>
      </c>
      <c r="E272" s="31" t="inlineStr">
        <is>
          <t>单比特翻转</t>
        </is>
      </c>
      <c r="F272" s="31" t="inlineStr">
        <is>
          <t>在有效 LQ 表项的地址/tag 中翻转 1 bit，目标 load 的目的寄存器、访问大小和其他状态不变。仅当故障字段之后参与 store 冲突比较、cache 请求或 violation 检查时计为 activated。</t>
        </is>
      </c>
      <c r="G272" s="31" t="inlineStr">
        <is>
          <t>F0</t>
        </is>
      </c>
      <c r="H272" s="31" t="inlineStr">
        <is>
          <t>每次运行只注入 1 次；在 warm-up 后的 eligible event 中均匀抽样</t>
        </is>
      </c>
      <c r="I272" s="31" t="inlineStr">
        <is>
          <t>SQ-Forward 转发探针（同地址/部分重叠 store-to-load forwarding、字节掩码、alias、replay）</t>
        </is>
      </c>
      <c r="J272" s="31" t="inlineStr">
        <is>
          <t>SQ-Forward 转发探针（同地址/部分重叠 store-to-load forwarding、字节掩码、alias、replay）
执行定义与 oracle：同地址与部分重叠 store-to-load forwarding、不同字节掩码、地址晚到/数据晚到、alias、replay</t>
        </is>
      </c>
      <c r="K272" s="31" t="inlineStr">
        <is>
          <t>LQ 中存在尚未退休且地址已知的有效 load</t>
        </is>
      </c>
      <c r="L272" s="31" t="inlineStr">
        <is>
          <t>L0目标寿命；L1 LQ地址/age/issued状态；L2 cache请求、store冲突、violation/replay；L3返回line；L4目的寄存器与commit；L5结局</t>
        </is>
      </c>
      <c r="M272" s="31" t="inlineStr">
        <is>
          <t>多数故障导致miss、replay或异常；若错误地址仍合法且违规检测未触发，可能把错误load值提交为SDC</t>
        </is>
      </c>
      <c r="N272" s="31" t="inlineStr">
        <is>
          <t>补齐旧版已有而新版完全删除的Load Queue基本存储字段覆盖</t>
        </is>
      </c>
      <c r="O272" s="31" t="inlineStr">
        <is>
          <t>TC'23、HPCA'24 对 LQ 直接注入；指标口径需与SQ分开</t>
        </is>
      </c>
      <c r="P272" s="33" t="n"/>
      <c r="Q272" s="33" t="n"/>
      <c r="R272" s="33" t="n"/>
      <c r="S272" s="33" t="n"/>
      <c r="T272" s="33" t="n"/>
      <c r="U272" s="33" t="n"/>
      <c r="V272" s="33" t="n"/>
      <c r="W272" s="33" t="n"/>
      <c r="X272" s="36">
        <f>IF(OR(R272="",R272-AP272&lt;=0),"",AB272/(R272-AP272))</f>
        <v/>
      </c>
      <c r="Y272" s="36">
        <f>IF(OR(AR272="",AR272=0),"",R272/AR272)</f>
        <v/>
      </c>
      <c r="Z272" s="34" t="inlineStr">
        <is>
          <t>待执行</t>
        </is>
      </c>
      <c r="AA272" s="33" t="n"/>
      <c r="AB272" s="38" t="n"/>
      <c r="AC272" s="38" t="n"/>
      <c r="AD272" s="38" t="n"/>
      <c r="AE272" s="38" t="n"/>
      <c r="AF272" s="38" t="n"/>
      <c r="AG272" s="38" t="n"/>
      <c r="AH272" s="38" t="n"/>
      <c r="AI272" s="38" t="n"/>
      <c r="AJ272" s="38" t="n"/>
      <c r="AK272" s="39" t="n"/>
      <c r="AL272" s="40">
        <f>IF(OR(R272="",R272-AP272&lt;=0),"",AO272/(R272-AP272))</f>
        <v/>
      </c>
      <c r="AM272" s="41">
        <f>IF(R272="","",SUM(AC272:AF272)-(R272-AP272))</f>
        <v/>
      </c>
      <c r="AN272" s="41">
        <f>IF(R272="","",SUM(S272:W272)+AP272-R272)</f>
        <v/>
      </c>
      <c r="AO272" s="44" t="n"/>
      <c r="AP272" s="45" t="n"/>
      <c r="AQ272" s="47" t="inlineStr">
        <is>
          <t>L01-a LQ address/tag低位单bit；L01-b 中位单bit；L01-c 高位单bit</t>
        </is>
      </c>
      <c r="AR272" s="33" t="n"/>
      <c r="AS272" s="36">
        <f>IF(OR(Q272="",Q272=0),"",AR272/Q272)</f>
        <v/>
      </c>
      <c r="AT272" s="62" t="n">
        <v>30</v>
      </c>
      <c r="AU272" s="62" t="n">
        <v>2401</v>
      </c>
      <c r="AV272" s="62" t="inlineStr">
        <is>
          <t>重点（预登记21项）</t>
        </is>
      </c>
      <c r="AW272" s="62" t="inlineStr">
        <is>
          <t>累计到2401（含前385）</t>
        </is>
      </c>
    </row>
    <row r="273" ht="94.15000000000001" customHeight="1" s="58">
      <c r="A273" s="32" t="inlineStr">
        <is>
          <t>L01-F0-W12</t>
        </is>
      </c>
      <c r="B273" s="32" t="inlineStr">
        <is>
          <t>L01</t>
        </is>
      </c>
      <c r="C273" s="32" t="inlineStr">
        <is>
          <t>Load Queue</t>
        </is>
      </c>
      <c r="D273" s="31" t="inlineStr">
        <is>
          <t>Load Queue 有效表项的 load address/tag 字段。该字段保存已发射或等待完成的 load 地址，并用于与更老 store 做冲突检测和内存序违规检查。</t>
        </is>
      </c>
      <c r="E273" s="31" t="inlineStr">
        <is>
          <t>单比特翻转</t>
        </is>
      </c>
      <c r="F273" s="31" t="inlineStr">
        <is>
          <t>在有效 LQ 表项的地址/tag 中翻转 1 bit，目标 load 的目的寄存器、访问大小和其他状态不变。仅当故障字段之后参与 store 冲突比较、cache 请求或 violation 检查时计为 activated。</t>
        </is>
      </c>
      <c r="G273" s="31" t="inlineStr">
        <is>
          <t>F0</t>
        </is>
      </c>
      <c r="H273" s="31" t="inlineStr">
        <is>
          <t>每次运行只注入 1 次；在 warm-up 后的 eligible event 中均匀抽样</t>
        </is>
      </c>
      <c r="I273" s="31" t="inlineStr">
        <is>
          <t>SQLite-Speedtest1 真实应用（B树、事务与完整性检查）</t>
        </is>
      </c>
      <c r="J273" s="31" t="inlineStr">
        <is>
          <t>SQLite-Speedtest1 真实应用（B树、事务与完整性检查）
执行定义与 oracle：SQLite speedtest1 固定数据库与事务脚本；用 PRAGMA integrity_check、查询结果和数据库文件哈希作为 oracle</t>
        </is>
      </c>
      <c r="K273" s="31" t="inlineStr">
        <is>
          <t>LQ 中存在尚未退休且地址已知的有效 load</t>
        </is>
      </c>
      <c r="L273" s="31" t="inlineStr">
        <is>
          <t>L0目标寿命；L1 LQ地址/age/issued状态；L2 cache请求、store冲突、violation/replay；L3返回line；L4目的寄存器与commit；L5结局</t>
        </is>
      </c>
      <c r="M273" s="31" t="inlineStr">
        <is>
          <t>多数故障导致miss、replay或异常；若错误地址仍合法且违规检测未触发，可能把错误load值提交为SDC</t>
        </is>
      </c>
      <c r="N273" s="31" t="inlineStr">
        <is>
          <t>补齐旧版已有而新版完全删除的Load Queue基本存储字段覆盖</t>
        </is>
      </c>
      <c r="O273" s="31" t="inlineStr">
        <is>
          <t>TC'23、HPCA'24 对 LQ 直接注入；指标口径需与SQ分开</t>
        </is>
      </c>
      <c r="P273" s="33" t="n"/>
      <c r="Q273" s="33" t="n"/>
      <c r="R273" s="33" t="n"/>
      <c r="S273" s="33" t="n"/>
      <c r="T273" s="33" t="n"/>
      <c r="U273" s="33" t="n"/>
      <c r="V273" s="33" t="n"/>
      <c r="W273" s="33" t="n"/>
      <c r="X273" s="36">
        <f>IF(OR(R273="",R273-AP273&lt;=0),"",AB273/(R273-AP273))</f>
        <v/>
      </c>
      <c r="Y273" s="36">
        <f>IF(OR(AR273="",AR273=0),"",R273/AR273)</f>
        <v/>
      </c>
      <c r="Z273" s="34" t="inlineStr">
        <is>
          <t>待执行</t>
        </is>
      </c>
      <c r="AA273" s="33" t="n"/>
      <c r="AB273" s="38" t="n"/>
      <c r="AC273" s="38" t="n"/>
      <c r="AD273" s="38" t="n"/>
      <c r="AE273" s="38" t="n"/>
      <c r="AF273" s="38" t="n"/>
      <c r="AG273" s="38" t="n"/>
      <c r="AH273" s="38" t="n"/>
      <c r="AI273" s="38" t="n"/>
      <c r="AJ273" s="38" t="n"/>
      <c r="AK273" s="39" t="n"/>
      <c r="AL273" s="40">
        <f>IF(OR(R273="",R273-AP273&lt;=0),"",AO273/(R273-AP273))</f>
        <v/>
      </c>
      <c r="AM273" s="41">
        <f>IF(R273="","",SUM(AC273:AF273)-(R273-AP273))</f>
        <v/>
      </c>
      <c r="AN273" s="41">
        <f>IF(R273="","",SUM(S273:W273)+AP273-R273)</f>
        <v/>
      </c>
      <c r="AO273" s="44" t="n"/>
      <c r="AP273" s="45" t="n"/>
      <c r="AQ273" s="47" t="inlineStr">
        <is>
          <t>L01-a LQ address/tag低位单bit；L01-b 中位单bit；L01-c 高位单bit</t>
        </is>
      </c>
      <c r="AR273" s="33" t="n"/>
      <c r="AS273" s="36">
        <f>IF(OR(Q273="",Q273=0),"",AR273/Q273)</f>
        <v/>
      </c>
      <c r="AT273" s="62" t="n">
        <v>30</v>
      </c>
      <c r="AU273" s="62" t="n">
        <v>385</v>
      </c>
      <c r="AV273" s="62" t="inlineStr">
        <is>
          <t>常规</t>
        </is>
      </c>
      <c r="AW273" s="62" t="inlineStr">
        <is>
          <t>累计至少385，不机械扩展到2401</t>
        </is>
      </c>
    </row>
    <row r="274" ht="94.15000000000001" customHeight="1" s="58">
      <c r="A274" s="32" t="inlineStr">
        <is>
          <t>L01-F1-W1</t>
        </is>
      </c>
      <c r="B274" s="32" t="inlineStr">
        <is>
          <t>L01</t>
        </is>
      </c>
      <c r="C274" s="32" t="inlineStr">
        <is>
          <t>Load Queue</t>
        </is>
      </c>
      <c r="D274" s="31" t="inlineStr">
        <is>
          <t>Load Queue 有效表项的 load address/tag 字段。该字段保存已发射或等待完成的 load 地址，并用于与更老 store 做冲突检测和内存序违规检查。</t>
        </is>
      </c>
      <c r="E274" s="31" t="inlineStr">
        <is>
          <t>单比特翻转</t>
        </is>
      </c>
      <c r="F274" s="31" t="inlineStr">
        <is>
          <t>在有效 LQ 表项的地址/tag 中翻转 1 bit，目标 load 的目的寄存器、访问大小和其他状态不变。仅当故障字段之后参与 store 冲突比较、cache 请求或 violation 检查时计为 activated。</t>
        </is>
      </c>
      <c r="G274" s="31" t="inlineStr">
        <is>
          <t>F1</t>
        </is>
      </c>
      <c r="H274" s="31" t="inlineStr">
        <is>
          <t>平均每 1,000,000 个 eligible events 注入 1 次，间隔加入 ±50% 抖动</t>
        </is>
      </c>
      <c r="I274" s="31" t="inlineStr">
        <is>
          <t>MiBench-TC23 论文负载（blowfish、patricia、fft、gsm、dijkstra、rijndael、sha、bitcount、edge、smooth）</t>
        </is>
      </c>
      <c r="J274" s="31" t="inlineStr">
        <is>
          <t>MiBench-TC23 论文负载（blowfish、patricia、fft、gsm、dijkstra、rijndael、sha、bitcount、edge、smooth）
执行定义与 oracle：blowfish、patricia、fft、gsm、dijkstra、rijndael、sha、bitcount、edge、smooth；最大输入集</t>
        </is>
      </c>
      <c r="K274" s="31" t="inlineStr">
        <is>
          <t>LQ 中存在尚未退休且地址已知的有效 load</t>
        </is>
      </c>
      <c r="L274" s="31" t="inlineStr">
        <is>
          <t>L0目标寿命；L1 LQ地址/age/issued状态；L2 cache请求、store冲突、violation/replay；L3返回line；L4目的寄存器与commit；L5结局</t>
        </is>
      </c>
      <c r="M274" s="31" t="inlineStr">
        <is>
          <t>多数故障导致miss、replay或异常；若错误地址仍合法且违规检测未触发，可能把错误load值提交为SDC</t>
        </is>
      </c>
      <c r="N274" s="31" t="inlineStr">
        <is>
          <t>补齐旧版已有而新版完全删除的Load Queue基本存储字段覆盖</t>
        </is>
      </c>
      <c r="O274" s="31" t="inlineStr">
        <is>
          <t>TC'23、HPCA'24 对 LQ 直接注入；指标口径需与SQ分开</t>
        </is>
      </c>
      <c r="P274" s="33" t="n"/>
      <c r="Q274" s="33" t="n"/>
      <c r="R274" s="33" t="n"/>
      <c r="S274" s="33" t="n"/>
      <c r="T274" s="33" t="n"/>
      <c r="U274" s="33" t="n"/>
      <c r="V274" s="33" t="n"/>
      <c r="W274" s="33" t="n"/>
      <c r="X274" s="36">
        <f>IF(OR(R274="",R274-AP274&lt;=0),"",AB274/(R274-AP274))</f>
        <v/>
      </c>
      <c r="Y274" s="36">
        <f>IF(OR(AR274="",AR274=0),"",R274/AR274)</f>
        <v/>
      </c>
      <c r="Z274" s="34" t="inlineStr">
        <is>
          <t>待执行</t>
        </is>
      </c>
      <c r="AA274" s="33" t="n"/>
      <c r="AB274" s="38" t="n"/>
      <c r="AC274" s="38" t="n"/>
      <c r="AD274" s="38" t="n"/>
      <c r="AE274" s="38" t="n"/>
      <c r="AF274" s="38" t="n"/>
      <c r="AG274" s="38" t="n"/>
      <c r="AH274" s="38" t="n"/>
      <c r="AI274" s="38" t="n"/>
      <c r="AJ274" s="38" t="n"/>
      <c r="AK274" s="39" t="n"/>
      <c r="AL274" s="40">
        <f>IF(OR(R274="",R274-AP274&lt;=0),"",AO274/(R274-AP274))</f>
        <v/>
      </c>
      <c r="AM274" s="41">
        <f>IF(R274="","",SUM(AC274:AF274)-(R274-AP274))</f>
        <v/>
      </c>
      <c r="AN274" s="41">
        <f>IF(R274="","",SUM(S274:W274)+AP274-R274)</f>
        <v/>
      </c>
      <c r="AO274" s="44" t="n"/>
      <c r="AP274" s="45" t="n"/>
      <c r="AQ274" s="47" t="inlineStr">
        <is>
          <t>L01-a LQ address/tag低位单bit；L01-b 中位单bit；L01-c 高位单bit</t>
        </is>
      </c>
      <c r="AR274" s="33" t="n"/>
      <c r="AS274" s="36">
        <f>IF(OR(Q274="",Q274=0),"",AR274/Q274)</f>
        <v/>
      </c>
      <c r="AT274" s="62" t="n">
        <v>30</v>
      </c>
      <c r="AU274" s="62" t="n">
        <v>385</v>
      </c>
      <c r="AV274" s="62" t="inlineStr">
        <is>
          <t>常规</t>
        </is>
      </c>
      <c r="AW274" s="62" t="inlineStr">
        <is>
          <t>累计至少385，不机械扩展到2401</t>
        </is>
      </c>
    </row>
    <row r="275" ht="94.15000000000001" customHeight="1" s="58">
      <c r="A275" s="32" t="inlineStr">
        <is>
          <t>L01-F1-W5</t>
        </is>
      </c>
      <c r="B275" s="32" t="inlineStr">
        <is>
          <t>L01</t>
        </is>
      </c>
      <c r="C275" s="32" t="inlineStr">
        <is>
          <t>Load Queue</t>
        </is>
      </c>
      <c r="D275" s="31" t="inlineStr">
        <is>
          <t>Load Queue 有效表项的 load address/tag 字段。该字段保存已发射或等待完成的 load 地址，并用于与更老 store 做冲突检测和内存序违规检查。</t>
        </is>
      </c>
      <c r="E275" s="31" t="inlineStr">
        <is>
          <t>单比特翻转</t>
        </is>
      </c>
      <c r="F275" s="31" t="inlineStr">
        <is>
          <t>在有效 LQ 表项的地址/tag 中翻转 1 bit，目标 load 的目的寄存器、访问大小和其他状态不变。仅当故障字段之后参与 store 冲突比较、cache 请求或 violation 检查时计为 activated。</t>
        </is>
      </c>
      <c r="G275" s="31" t="inlineStr">
        <is>
          <t>F1</t>
        </is>
      </c>
      <c r="H275" s="31" t="inlineStr">
        <is>
          <t>平均每 1,000,000 个 eligible events 注入 1 次，间隔加入 ±50% 抖动</t>
        </is>
      </c>
      <c r="I275" s="31" t="inlineStr">
        <is>
          <t>SQ-Forward 转发探针（同地址/部分重叠 store-to-load forwarding、字节掩码、alias、replay）</t>
        </is>
      </c>
      <c r="J275" s="31" t="inlineStr">
        <is>
          <t>SQ-Forward 转发探针（同地址/部分重叠 store-to-load forwarding、字节掩码、alias、replay）
执行定义与 oracle：同地址与部分重叠 store-to-load forwarding、不同字节掩码、地址晚到/数据晚到、alias、replay</t>
        </is>
      </c>
      <c r="K275" s="31" t="inlineStr">
        <is>
          <t>LQ 中存在尚未退休且地址已知的有效 load</t>
        </is>
      </c>
      <c r="L275" s="31" t="inlineStr">
        <is>
          <t>L0目标寿命；L1 LQ地址/age/issued状态；L2 cache请求、store冲突、violation/replay；L3返回line；L4目的寄存器与commit；L5结局</t>
        </is>
      </c>
      <c r="M275" s="31" t="inlineStr">
        <is>
          <t>多数故障导致miss、replay或异常；若错误地址仍合法且违规检测未触发，可能把错误load值提交为SDC</t>
        </is>
      </c>
      <c r="N275" s="31" t="inlineStr">
        <is>
          <t>补齐旧版已有而新版完全删除的Load Queue基本存储字段覆盖</t>
        </is>
      </c>
      <c r="O275" s="31" t="inlineStr">
        <is>
          <t>TC'23、HPCA'24 对 LQ 直接注入；指标口径需与SQ分开</t>
        </is>
      </c>
      <c r="P275" s="33" t="n"/>
      <c r="Q275" s="33" t="n"/>
      <c r="R275" s="33" t="n"/>
      <c r="S275" s="33" t="n"/>
      <c r="T275" s="33" t="n"/>
      <c r="U275" s="33" t="n"/>
      <c r="V275" s="33" t="n"/>
      <c r="W275" s="33" t="n"/>
      <c r="X275" s="36">
        <f>IF(OR(R275="",R275-AP275&lt;=0),"",AB275/(R275-AP275))</f>
        <v/>
      </c>
      <c r="Y275" s="36">
        <f>IF(OR(AR275="",AR275=0),"",R275/AR275)</f>
        <v/>
      </c>
      <c r="Z275" s="34" t="inlineStr">
        <is>
          <t>待执行</t>
        </is>
      </c>
      <c r="AA275" s="33" t="n"/>
      <c r="AB275" s="38" t="n"/>
      <c r="AC275" s="38" t="n"/>
      <c r="AD275" s="38" t="n"/>
      <c r="AE275" s="38" t="n"/>
      <c r="AF275" s="38" t="n"/>
      <c r="AG275" s="38" t="n"/>
      <c r="AH275" s="38" t="n"/>
      <c r="AI275" s="38" t="n"/>
      <c r="AJ275" s="38" t="n"/>
      <c r="AK275" s="39" t="n"/>
      <c r="AL275" s="40">
        <f>IF(OR(R275="",R275-AP275&lt;=0),"",AO275/(R275-AP275))</f>
        <v/>
      </c>
      <c r="AM275" s="41">
        <f>IF(R275="","",SUM(AC275:AF275)-(R275-AP275))</f>
        <v/>
      </c>
      <c r="AN275" s="41">
        <f>IF(R275="","",SUM(S275:W275)+AP275-R275)</f>
        <v/>
      </c>
      <c r="AO275" s="44" t="n"/>
      <c r="AP275" s="45" t="n"/>
      <c r="AQ275" s="47" t="inlineStr">
        <is>
          <t>L01-a LQ address/tag低位单bit；L01-b 中位单bit；L01-c 高位单bit</t>
        </is>
      </c>
      <c r="AR275" s="33" t="n"/>
      <c r="AS275" s="36">
        <f>IF(OR(Q275="",Q275=0),"",AR275/Q275)</f>
        <v/>
      </c>
      <c r="AT275" s="62" t="n">
        <v>30</v>
      </c>
      <c r="AU275" s="62" t="n">
        <v>385</v>
      </c>
      <c r="AV275" s="62" t="inlineStr">
        <is>
          <t>常规</t>
        </is>
      </c>
      <c r="AW275" s="62" t="inlineStr">
        <is>
          <t>累计至少385，不机械扩展到2401</t>
        </is>
      </c>
    </row>
    <row r="276" ht="94.15000000000001" customHeight="1" s="58">
      <c r="A276" s="32" t="inlineStr">
        <is>
          <t>L01-F1-W12</t>
        </is>
      </c>
      <c r="B276" s="32" t="inlineStr">
        <is>
          <t>L01</t>
        </is>
      </c>
      <c r="C276" s="32" t="inlineStr">
        <is>
          <t>Load Queue</t>
        </is>
      </c>
      <c r="D276" s="31" t="inlineStr">
        <is>
          <t>Load Queue 有效表项的 load address/tag 字段。该字段保存已发射或等待完成的 load 地址，并用于与更老 store 做冲突检测和内存序违规检查。</t>
        </is>
      </c>
      <c r="E276" s="31" t="inlineStr">
        <is>
          <t>单比特翻转</t>
        </is>
      </c>
      <c r="F276" s="31" t="inlineStr">
        <is>
          <t>在有效 LQ 表项的地址/tag 中翻转 1 bit，目标 load 的目的寄存器、访问大小和其他状态不变。仅当故障字段之后参与 store 冲突比较、cache 请求或 violation 检查时计为 activated。</t>
        </is>
      </c>
      <c r="G276" s="31" t="inlineStr">
        <is>
          <t>F1</t>
        </is>
      </c>
      <c r="H276" s="31" t="inlineStr">
        <is>
          <t>平均每 1,000,000 个 eligible events 注入 1 次，间隔加入 ±50% 抖动</t>
        </is>
      </c>
      <c r="I276" s="31" t="inlineStr">
        <is>
          <t>SQLite-Speedtest1 真实应用（B树、事务与完整性检查）</t>
        </is>
      </c>
      <c r="J276" s="31" t="inlineStr">
        <is>
          <t>SQLite-Speedtest1 真实应用（B树、事务与完整性检查）
执行定义与 oracle：SQLite speedtest1 固定数据库与事务脚本；用 PRAGMA integrity_check、查询结果和数据库文件哈希作为 oracle</t>
        </is>
      </c>
      <c r="K276" s="31" t="inlineStr">
        <is>
          <t>LQ 中存在尚未退休且地址已知的有效 load</t>
        </is>
      </c>
      <c r="L276" s="31" t="inlineStr">
        <is>
          <t>L0目标寿命；L1 LQ地址/age/issued状态；L2 cache请求、store冲突、violation/replay；L3返回line；L4目的寄存器与commit；L5结局</t>
        </is>
      </c>
      <c r="M276" s="31" t="inlineStr">
        <is>
          <t>多数故障导致miss、replay或异常；若错误地址仍合法且违规检测未触发，可能把错误load值提交为SDC</t>
        </is>
      </c>
      <c r="N276" s="31" t="inlineStr">
        <is>
          <t>补齐旧版已有而新版完全删除的Load Queue基本存储字段覆盖</t>
        </is>
      </c>
      <c r="O276" s="31" t="inlineStr">
        <is>
          <t>TC'23、HPCA'24 对 LQ 直接注入；指标口径需与SQ分开</t>
        </is>
      </c>
      <c r="P276" s="33" t="n"/>
      <c r="Q276" s="33" t="n"/>
      <c r="R276" s="33" t="n"/>
      <c r="S276" s="33" t="n"/>
      <c r="T276" s="33" t="n"/>
      <c r="U276" s="33" t="n"/>
      <c r="V276" s="33" t="n"/>
      <c r="W276" s="33" t="n"/>
      <c r="X276" s="36">
        <f>IF(OR(R276="",R276-AP276&lt;=0),"",AB276/(R276-AP276))</f>
        <v/>
      </c>
      <c r="Y276" s="36">
        <f>IF(OR(AR276="",AR276=0),"",R276/AR276)</f>
        <v/>
      </c>
      <c r="Z276" s="34" t="inlineStr">
        <is>
          <t>待执行</t>
        </is>
      </c>
      <c r="AA276" s="33" t="n"/>
      <c r="AB276" s="38" t="n"/>
      <c r="AC276" s="38" t="n"/>
      <c r="AD276" s="38" t="n"/>
      <c r="AE276" s="38" t="n"/>
      <c r="AF276" s="38" t="n"/>
      <c r="AG276" s="38" t="n"/>
      <c r="AH276" s="38" t="n"/>
      <c r="AI276" s="38" t="n"/>
      <c r="AJ276" s="38" t="n"/>
      <c r="AK276" s="39" t="n"/>
      <c r="AL276" s="40">
        <f>IF(OR(R276="",R276-AP276&lt;=0),"",AO276/(R276-AP276))</f>
        <v/>
      </c>
      <c r="AM276" s="41">
        <f>IF(R276="","",SUM(AC276:AF276)-(R276-AP276))</f>
        <v/>
      </c>
      <c r="AN276" s="41">
        <f>IF(R276="","",SUM(S276:W276)+AP276-R276)</f>
        <v/>
      </c>
      <c r="AO276" s="44" t="n"/>
      <c r="AP276" s="45" t="n"/>
      <c r="AQ276" s="47" t="inlineStr">
        <is>
          <t>L01-a LQ address/tag低位单bit；L01-b 中位单bit；L01-c 高位单bit</t>
        </is>
      </c>
      <c r="AR276" s="33" t="n"/>
      <c r="AS276" s="36">
        <f>IF(OR(Q276="",Q276=0),"",AR276/Q276)</f>
        <v/>
      </c>
      <c r="AT276" s="62" t="n">
        <v>30</v>
      </c>
      <c r="AU276" s="62" t="n">
        <v>385</v>
      </c>
      <c r="AV276" s="62" t="inlineStr">
        <is>
          <t>常规</t>
        </is>
      </c>
      <c r="AW276" s="62" t="inlineStr">
        <is>
          <t>累计至少385，不机械扩展到2401</t>
        </is>
      </c>
    </row>
    <row r="277" ht="94.15000000000001" customHeight="1" s="58">
      <c r="A277" s="32" t="inlineStr">
        <is>
          <t>L01-F2-W1</t>
        </is>
      </c>
      <c r="B277" s="32" t="inlineStr">
        <is>
          <t>L01</t>
        </is>
      </c>
      <c r="C277" s="32" t="inlineStr">
        <is>
          <t>Load Queue</t>
        </is>
      </c>
      <c r="D277" s="31" t="inlineStr">
        <is>
          <t>Load Queue 有效表项的 load address/tag 字段。该字段保存已发射或等待完成的 load 地址，并用于与更老 store 做冲突检测和内存序违规检查。</t>
        </is>
      </c>
      <c r="E277" s="31" t="inlineStr">
        <is>
          <t>单比特翻转</t>
        </is>
      </c>
      <c r="F277" s="31" t="inlineStr">
        <is>
          <t>在有效 LQ 表项的地址/tag 中翻转 1 bit，目标 load 的目的寄存器、访问大小和其他状态不变。仅当故障字段之后参与 store 冲突比较、cache 请求或 violation 检查时计为 activated。</t>
        </is>
      </c>
      <c r="G277" s="31" t="inlineStr">
        <is>
          <t>F2</t>
        </is>
      </c>
      <c r="H277" s="31" t="inlineStr">
        <is>
          <t>平均每 100,000 个 eligible events 注入 1 次，间隔加入 ±50% 抖动</t>
        </is>
      </c>
      <c r="I277" s="31" t="inlineStr">
        <is>
          <t>MiBench-TC23 论文负载（blowfish、patricia、fft、gsm、dijkstra、rijndael、sha、bitcount、edge、smooth）</t>
        </is>
      </c>
      <c r="J277" s="31" t="inlineStr">
        <is>
          <t>MiBench-TC23 论文负载（blowfish、patricia、fft、gsm、dijkstra、rijndael、sha、bitcount、edge、smooth）
执行定义与 oracle：blowfish、patricia、fft、gsm、dijkstra、rijndael、sha、bitcount、edge、smooth；最大输入集</t>
        </is>
      </c>
      <c r="K277" s="31" t="inlineStr">
        <is>
          <t>LQ 中存在尚未退休且地址已知的有效 load</t>
        </is>
      </c>
      <c r="L277" s="31" t="inlineStr">
        <is>
          <t>L0目标寿命；L1 LQ地址/age/issued状态；L2 cache请求、store冲突、violation/replay；L3返回line；L4目的寄存器与commit；L5结局</t>
        </is>
      </c>
      <c r="M277" s="31" t="inlineStr">
        <is>
          <t>多数故障导致miss、replay或异常；若错误地址仍合法且违规检测未触发，可能把错误load值提交为SDC</t>
        </is>
      </c>
      <c r="N277" s="31" t="inlineStr">
        <is>
          <t>补齐旧版已有而新版完全删除的Load Queue基本存储字段覆盖</t>
        </is>
      </c>
      <c r="O277" s="31" t="inlineStr">
        <is>
          <t>TC'23、HPCA'24 对 LQ 直接注入；指标口径需与SQ分开</t>
        </is>
      </c>
      <c r="P277" s="33" t="n"/>
      <c r="Q277" s="33" t="n"/>
      <c r="R277" s="33" t="n"/>
      <c r="S277" s="33" t="n"/>
      <c r="T277" s="33" t="n"/>
      <c r="U277" s="33" t="n"/>
      <c r="V277" s="33" t="n"/>
      <c r="W277" s="33" t="n"/>
      <c r="X277" s="36">
        <f>IF(OR(R277="",R277-AP277&lt;=0),"",AB277/(R277-AP277))</f>
        <v/>
      </c>
      <c r="Y277" s="36">
        <f>IF(OR(AR277="",AR277=0),"",R277/AR277)</f>
        <v/>
      </c>
      <c r="Z277" s="34" t="inlineStr">
        <is>
          <t>待执行</t>
        </is>
      </c>
      <c r="AA277" s="33" t="n"/>
      <c r="AB277" s="38" t="n"/>
      <c r="AC277" s="38" t="n"/>
      <c r="AD277" s="38" t="n"/>
      <c r="AE277" s="38" t="n"/>
      <c r="AF277" s="38" t="n"/>
      <c r="AG277" s="38" t="n"/>
      <c r="AH277" s="38" t="n"/>
      <c r="AI277" s="38" t="n"/>
      <c r="AJ277" s="38" t="n"/>
      <c r="AK277" s="39" t="n"/>
      <c r="AL277" s="40">
        <f>IF(OR(R277="",R277-AP277&lt;=0),"",AO277/(R277-AP277))</f>
        <v/>
      </c>
      <c r="AM277" s="41">
        <f>IF(R277="","",SUM(AC277:AF277)-(R277-AP277))</f>
        <v/>
      </c>
      <c r="AN277" s="41">
        <f>IF(R277="","",SUM(S277:W277)+AP277-R277)</f>
        <v/>
      </c>
      <c r="AO277" s="44" t="n"/>
      <c r="AP277" s="45" t="n"/>
      <c r="AQ277" s="47" t="inlineStr">
        <is>
          <t>L01-a LQ address/tag低位单bit；L01-b 中位单bit；L01-c 高位单bit</t>
        </is>
      </c>
      <c r="AR277" s="33" t="n"/>
      <c r="AS277" s="36">
        <f>IF(OR(Q277="",Q277=0),"",AR277/Q277)</f>
        <v/>
      </c>
      <c r="AT277" s="62" t="n">
        <v>30</v>
      </c>
      <c r="AU277" s="62" t="n">
        <v>385</v>
      </c>
      <c r="AV277" s="62" t="inlineStr">
        <is>
          <t>常规</t>
        </is>
      </c>
      <c r="AW277" s="62" t="inlineStr">
        <is>
          <t>累计至少385，不机械扩展到2401</t>
        </is>
      </c>
    </row>
    <row r="278" ht="94.15000000000001" customHeight="1" s="58">
      <c r="A278" s="32" t="inlineStr">
        <is>
          <t>L01-F2-W5</t>
        </is>
      </c>
      <c r="B278" s="32" t="inlineStr">
        <is>
          <t>L01</t>
        </is>
      </c>
      <c r="C278" s="32" t="inlineStr">
        <is>
          <t>Load Queue</t>
        </is>
      </c>
      <c r="D278" s="31" t="inlineStr">
        <is>
          <t>Load Queue 有效表项的 load address/tag 字段。该字段保存已发射或等待完成的 load 地址，并用于与更老 store 做冲突检测和内存序违规检查。</t>
        </is>
      </c>
      <c r="E278" s="31" t="inlineStr">
        <is>
          <t>单比特翻转</t>
        </is>
      </c>
      <c r="F278" s="31" t="inlineStr">
        <is>
          <t>在有效 LQ 表项的地址/tag 中翻转 1 bit，目标 load 的目的寄存器、访问大小和其他状态不变。仅当故障字段之后参与 store 冲突比较、cache 请求或 violation 检查时计为 activated。</t>
        </is>
      </c>
      <c r="G278" s="31" t="inlineStr">
        <is>
          <t>F2</t>
        </is>
      </c>
      <c r="H278" s="31" t="inlineStr">
        <is>
          <t>平均每 100,000 个 eligible events 注入 1 次，间隔加入 ±50% 抖动</t>
        </is>
      </c>
      <c r="I278" s="31" t="inlineStr">
        <is>
          <t>SQ-Forward 转发探针（同地址/部分重叠 store-to-load forwarding、字节掩码、alias、replay）</t>
        </is>
      </c>
      <c r="J278" s="31" t="inlineStr">
        <is>
          <t>SQ-Forward 转发探针（同地址/部分重叠 store-to-load forwarding、字节掩码、alias、replay）
执行定义与 oracle：同地址与部分重叠 store-to-load forwarding、不同字节掩码、地址晚到/数据晚到、alias、replay</t>
        </is>
      </c>
      <c r="K278" s="31" t="inlineStr">
        <is>
          <t>LQ 中存在尚未退休且地址已知的有效 load</t>
        </is>
      </c>
      <c r="L278" s="31" t="inlineStr">
        <is>
          <t>L0目标寿命；L1 LQ地址/age/issued状态；L2 cache请求、store冲突、violation/replay；L3返回line；L4目的寄存器与commit；L5结局</t>
        </is>
      </c>
      <c r="M278" s="31" t="inlineStr">
        <is>
          <t>多数故障导致miss、replay或异常；若错误地址仍合法且违规检测未触发，可能把错误load值提交为SDC</t>
        </is>
      </c>
      <c r="N278" s="31" t="inlineStr">
        <is>
          <t>补齐旧版已有而新版完全删除的Load Queue基本存储字段覆盖</t>
        </is>
      </c>
      <c r="O278" s="31" t="inlineStr">
        <is>
          <t>TC'23、HPCA'24 对 LQ 直接注入；指标口径需与SQ分开</t>
        </is>
      </c>
      <c r="P278" s="33" t="n"/>
      <c r="Q278" s="33" t="n"/>
      <c r="R278" s="33" t="n"/>
      <c r="S278" s="33" t="n"/>
      <c r="T278" s="33" t="n"/>
      <c r="U278" s="33" t="n"/>
      <c r="V278" s="33" t="n"/>
      <c r="W278" s="33" t="n"/>
      <c r="X278" s="36">
        <f>IF(OR(R278="",R278-AP278&lt;=0),"",AB278/(R278-AP278))</f>
        <v/>
      </c>
      <c r="Y278" s="36">
        <f>IF(OR(AR278="",AR278=0),"",R278/AR278)</f>
        <v/>
      </c>
      <c r="Z278" s="34" t="inlineStr">
        <is>
          <t>待执行</t>
        </is>
      </c>
      <c r="AA278" s="33" t="n"/>
      <c r="AB278" s="38" t="n"/>
      <c r="AC278" s="38" t="n"/>
      <c r="AD278" s="38" t="n"/>
      <c r="AE278" s="38" t="n"/>
      <c r="AF278" s="38" t="n"/>
      <c r="AG278" s="38" t="n"/>
      <c r="AH278" s="38" t="n"/>
      <c r="AI278" s="38" t="n"/>
      <c r="AJ278" s="38" t="n"/>
      <c r="AK278" s="39" t="n"/>
      <c r="AL278" s="40">
        <f>IF(OR(R278="",R278-AP278&lt;=0),"",AO278/(R278-AP278))</f>
        <v/>
      </c>
      <c r="AM278" s="41">
        <f>IF(R278="","",SUM(AC278:AF278)-(R278-AP278))</f>
        <v/>
      </c>
      <c r="AN278" s="41">
        <f>IF(R278="","",SUM(S278:W278)+AP278-R278)</f>
        <v/>
      </c>
      <c r="AO278" s="44" t="n"/>
      <c r="AP278" s="45" t="n"/>
      <c r="AQ278" s="47" t="inlineStr">
        <is>
          <t>L01-a LQ address/tag低位单bit；L01-b 中位单bit；L01-c 高位单bit</t>
        </is>
      </c>
      <c r="AR278" s="33" t="n"/>
      <c r="AS278" s="36">
        <f>IF(OR(Q278="",Q278=0),"",AR278/Q278)</f>
        <v/>
      </c>
      <c r="AT278" s="62" t="n">
        <v>30</v>
      </c>
      <c r="AU278" s="62" t="n">
        <v>385</v>
      </c>
      <c r="AV278" s="62" t="inlineStr">
        <is>
          <t>常规</t>
        </is>
      </c>
      <c r="AW278" s="62" t="inlineStr">
        <is>
          <t>累计至少385，不机械扩展到2401</t>
        </is>
      </c>
    </row>
    <row r="279" ht="94.15000000000001" customHeight="1" s="58">
      <c r="A279" s="32" t="inlineStr">
        <is>
          <t>L01-F2-W12</t>
        </is>
      </c>
      <c r="B279" s="32" t="inlineStr">
        <is>
          <t>L01</t>
        </is>
      </c>
      <c r="C279" s="32" t="inlineStr">
        <is>
          <t>Load Queue</t>
        </is>
      </c>
      <c r="D279" s="31" t="inlineStr">
        <is>
          <t>Load Queue 有效表项的 load address/tag 字段。该字段保存已发射或等待完成的 load 地址，并用于与更老 store 做冲突检测和内存序违规检查。</t>
        </is>
      </c>
      <c r="E279" s="31" t="inlineStr">
        <is>
          <t>单比特翻转</t>
        </is>
      </c>
      <c r="F279" s="31" t="inlineStr">
        <is>
          <t>在有效 LQ 表项的地址/tag 中翻转 1 bit，目标 load 的目的寄存器、访问大小和其他状态不变。仅当故障字段之后参与 store 冲突比较、cache 请求或 violation 检查时计为 activated。</t>
        </is>
      </c>
      <c r="G279" s="31" t="inlineStr">
        <is>
          <t>F2</t>
        </is>
      </c>
      <c r="H279" s="31" t="inlineStr">
        <is>
          <t>平均每 100,000 个 eligible events 注入 1 次，间隔加入 ±50% 抖动</t>
        </is>
      </c>
      <c r="I279" s="31" t="inlineStr">
        <is>
          <t>SQLite-Speedtest1 真实应用（B树、事务与完整性检查）</t>
        </is>
      </c>
      <c r="J279" s="31" t="inlineStr">
        <is>
          <t>SQLite-Speedtest1 真实应用（B树、事务与完整性检查）
执行定义与 oracle：SQLite speedtest1 固定数据库与事务脚本；用 PRAGMA integrity_check、查询结果和数据库文件哈希作为 oracle</t>
        </is>
      </c>
      <c r="K279" s="31" t="inlineStr">
        <is>
          <t>LQ 中存在尚未退休且地址已知的有效 load</t>
        </is>
      </c>
      <c r="L279" s="31" t="inlineStr">
        <is>
          <t>L0目标寿命；L1 LQ地址/age/issued状态；L2 cache请求、store冲突、violation/replay；L3返回line；L4目的寄存器与commit；L5结局</t>
        </is>
      </c>
      <c r="M279" s="31" t="inlineStr">
        <is>
          <t>多数故障导致miss、replay或异常；若错误地址仍合法且违规检测未触发，可能把错误load值提交为SDC</t>
        </is>
      </c>
      <c r="N279" s="31" t="inlineStr">
        <is>
          <t>补齐旧版已有而新版完全删除的Load Queue基本存储字段覆盖</t>
        </is>
      </c>
      <c r="O279" s="31" t="inlineStr">
        <is>
          <t>TC'23、HPCA'24 对 LQ 直接注入；指标口径需与SQ分开</t>
        </is>
      </c>
      <c r="P279" s="33" t="n"/>
      <c r="Q279" s="33" t="n"/>
      <c r="R279" s="33" t="n"/>
      <c r="S279" s="33" t="n"/>
      <c r="T279" s="33" t="n"/>
      <c r="U279" s="33" t="n"/>
      <c r="V279" s="33" t="n"/>
      <c r="W279" s="33" t="n"/>
      <c r="X279" s="36">
        <f>IF(OR(R279="",R279-AP279&lt;=0),"",AB279/(R279-AP279))</f>
        <v/>
      </c>
      <c r="Y279" s="36">
        <f>IF(OR(AR279="",AR279=0),"",R279/AR279)</f>
        <v/>
      </c>
      <c r="Z279" s="34" t="inlineStr">
        <is>
          <t>待执行</t>
        </is>
      </c>
      <c r="AA279" s="33" t="n"/>
      <c r="AB279" s="38" t="n"/>
      <c r="AC279" s="38" t="n"/>
      <c r="AD279" s="38" t="n"/>
      <c r="AE279" s="38" t="n"/>
      <c r="AF279" s="38" t="n"/>
      <c r="AG279" s="38" t="n"/>
      <c r="AH279" s="38" t="n"/>
      <c r="AI279" s="38" t="n"/>
      <c r="AJ279" s="38" t="n"/>
      <c r="AK279" s="39" t="n"/>
      <c r="AL279" s="40">
        <f>IF(OR(R279="",R279-AP279&lt;=0),"",AO279/(R279-AP279))</f>
        <v/>
      </c>
      <c r="AM279" s="41">
        <f>IF(R279="","",SUM(AC279:AF279)-(R279-AP279))</f>
        <v/>
      </c>
      <c r="AN279" s="41">
        <f>IF(R279="","",SUM(S279:W279)+AP279-R279)</f>
        <v/>
      </c>
      <c r="AO279" s="44" t="n"/>
      <c r="AP279" s="45" t="n"/>
      <c r="AQ279" s="47" t="inlineStr">
        <is>
          <t>L01-a LQ address/tag低位单bit；L01-b 中位单bit；L01-c 高位单bit</t>
        </is>
      </c>
      <c r="AR279" s="33" t="n"/>
      <c r="AS279" s="36">
        <f>IF(OR(Q279="",Q279=0),"",AR279/Q279)</f>
        <v/>
      </c>
      <c r="AT279" s="62" t="n">
        <v>30</v>
      </c>
      <c r="AU279" s="62" t="n">
        <v>385</v>
      </c>
      <c r="AV279" s="62" t="inlineStr">
        <is>
          <t>常规</t>
        </is>
      </c>
      <c r="AW279" s="62" t="inlineStr">
        <is>
          <t>累计至少385，不机械扩展到2401</t>
        </is>
      </c>
    </row>
    <row r="280" ht="94.15000000000001" customHeight="1" s="58">
      <c r="A280" s="32" t="inlineStr">
        <is>
          <t>L02-F0-W5</t>
        </is>
      </c>
      <c r="B280" s="32" t="inlineStr">
        <is>
          <t>L02</t>
        </is>
      </c>
      <c r="C280" s="32" t="inlineStr">
        <is>
          <t>Load Queue</t>
        </is>
      </c>
      <c r="D280" s="31" t="inlineStr">
        <is>
          <t>Load Queue 表项的 valid、issued、completed、squashed 等生命周期状态。它们决定请求能否发出、返回值能否写回以及错误路径表项是否被清除。</t>
        </is>
      </c>
      <c r="E280" s="31" t="inlineStr">
        <is>
          <t>状态</t>
        </is>
      </c>
      <c r="F280"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0" s="31" t="inlineStr">
        <is>
          <t>F0</t>
        </is>
      </c>
      <c r="H280" s="31" t="inlineStr">
        <is>
          <t>每次运行只注入 1 次；在 warm-up 后的 eligible event 中均匀抽样</t>
        </is>
      </c>
      <c r="I280" s="31" t="inlineStr">
        <is>
          <t>SQ-Forward 转发探针（同地址/部分重叠 store-to-load forwarding、字节掩码、alias、replay）</t>
        </is>
      </c>
      <c r="J280" s="31" t="inlineStr">
        <is>
          <t>SQ-Forward 转发探针（同地址/部分重叠 store-to-load forwarding、字节掩码、alias、replay）
执行定义与 oracle：同地址与部分重叠 store-to-load forwarding、不同字节掩码、地址晚到/数据晚到、alias、replay</t>
        </is>
      </c>
      <c r="K280" s="31" t="inlineStr">
        <is>
          <t>LQ 表项发生分配、发射、完成或清除状态转换</t>
        </is>
      </c>
      <c r="L280" s="31" t="inlineStr">
        <is>
          <t>L1状态轨迹与占用守恒；L2 issued/dropped/duplicate request；L3返回事务；L4写回、提交和错误路径副作用；L5结局</t>
        </is>
      </c>
      <c r="M280" s="31" t="inlineStr">
        <is>
          <t>completed提前或squashed未清除可能提交陈旧值；valid/issued丢失更常表现为重放、停顿或Timeout</t>
        </is>
      </c>
      <c r="N280" s="31" t="inlineStr">
        <is>
          <t>地址字段不足以代表LQ风险，生命周期错误可绕开单纯的数据完整性检查</t>
        </is>
      </c>
      <c r="O280" s="31" t="inlineStr">
        <is>
          <t>现有LQ文献多集中存储字段，本行为机制扩展</t>
        </is>
      </c>
      <c r="P280" s="33" t="n"/>
      <c r="Q280" s="33" t="n"/>
      <c r="R280" s="33" t="n"/>
      <c r="S280" s="33" t="n"/>
      <c r="T280" s="33" t="n"/>
      <c r="U280" s="33" t="n"/>
      <c r="V280" s="33" t="n"/>
      <c r="W280" s="33" t="n"/>
      <c r="X280" s="36">
        <f>IF(OR(R280="",R280-AP280&lt;=0),"",AB280/(R280-AP280))</f>
        <v/>
      </c>
      <c r="Y280" s="36">
        <f>IF(OR(AR280="",AR280=0),"",R280/AR280)</f>
        <v/>
      </c>
      <c r="Z280" s="34" t="inlineStr">
        <is>
          <t>待执行</t>
        </is>
      </c>
      <c r="AA280" s="33" t="n"/>
      <c r="AB280" s="38" t="n"/>
      <c r="AC280" s="38" t="n"/>
      <c r="AD280" s="38" t="n"/>
      <c r="AE280" s="38" t="n"/>
      <c r="AF280" s="38" t="n"/>
      <c r="AG280" s="38" t="n"/>
      <c r="AH280" s="38" t="n"/>
      <c r="AI280" s="38" t="n"/>
      <c r="AJ280" s="38" t="n"/>
      <c r="AK280" s="39" t="n"/>
      <c r="AL280" s="40">
        <f>IF(OR(R280="",R280-AP280&lt;=0),"",AO280/(R280-AP280))</f>
        <v/>
      </c>
      <c r="AM280" s="41">
        <f>IF(R280="","",SUM(AC280:AF280)-(R280-AP280))</f>
        <v/>
      </c>
      <c r="AN280" s="41">
        <f>IF(R280="","",SUM(S280:W280)+AP280-R280)</f>
        <v/>
      </c>
      <c r="AO280" s="44" t="n"/>
      <c r="AP280" s="45" t="n"/>
      <c r="AQ280" s="47" t="inlineStr">
        <is>
          <t>L02-a valid异常；L02-b issued异常；L02-c completed异常；L02-d squashed异常</t>
        </is>
      </c>
      <c r="AR280" s="33" t="n"/>
      <c r="AS280" s="36">
        <f>IF(OR(Q280="",Q280=0),"",AR280/Q280)</f>
        <v/>
      </c>
      <c r="AT280" s="62" t="n">
        <v>30</v>
      </c>
      <c r="AU280" s="62" t="n">
        <v>385</v>
      </c>
      <c r="AV280" s="62" t="inlineStr">
        <is>
          <t>常规</t>
        </is>
      </c>
      <c r="AW280" s="62" t="inlineStr">
        <is>
          <t>累计至少385，不机械扩展到2401</t>
        </is>
      </c>
    </row>
    <row r="281" ht="94.15000000000001" customHeight="1" s="58">
      <c r="A281" s="32" t="inlineStr">
        <is>
          <t>L02-F0-W12</t>
        </is>
      </c>
      <c r="B281" s="32" t="inlineStr">
        <is>
          <t>L02</t>
        </is>
      </c>
      <c r="C281" s="32" t="inlineStr">
        <is>
          <t>Load Queue</t>
        </is>
      </c>
      <c r="D281" s="31" t="inlineStr">
        <is>
          <t>Load Queue 表项的 valid、issued、completed、squashed 等生命周期状态。它们决定请求能否发出、返回值能否写回以及错误路径表项是否被清除。</t>
        </is>
      </c>
      <c r="E281" s="31" t="inlineStr">
        <is>
          <t>状态</t>
        </is>
      </c>
      <c r="F281"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1" s="31" t="inlineStr">
        <is>
          <t>F0</t>
        </is>
      </c>
      <c r="H281" s="31" t="inlineStr">
        <is>
          <t>每次运行只注入 1 次；在 warm-up 后的 eligible event 中均匀抽样</t>
        </is>
      </c>
      <c r="I281" s="31" t="inlineStr">
        <is>
          <t>SQLite-Speedtest1 真实应用（B树、事务与完整性检查）</t>
        </is>
      </c>
      <c r="J281" s="31" t="inlineStr">
        <is>
          <t>SQLite-Speedtest1 真实应用（B树、事务与完整性检查）
执行定义与 oracle：SQLite speedtest1 固定数据库与事务脚本；用 PRAGMA integrity_check、查询结果和数据库文件哈希作为 oracle</t>
        </is>
      </c>
      <c r="K281" s="31" t="inlineStr">
        <is>
          <t>LQ 表项发生分配、发射、完成或清除状态转换</t>
        </is>
      </c>
      <c r="L281" s="31" t="inlineStr">
        <is>
          <t>L1状态轨迹与占用守恒；L2 issued/dropped/duplicate request；L3返回事务；L4写回、提交和错误路径副作用；L5结局</t>
        </is>
      </c>
      <c r="M281" s="31" t="inlineStr">
        <is>
          <t>completed提前或squashed未清除可能提交陈旧值；valid/issued丢失更常表现为重放、停顿或Timeout</t>
        </is>
      </c>
      <c r="N281" s="31" t="inlineStr">
        <is>
          <t>地址字段不足以代表LQ风险，生命周期错误可绕开单纯的数据完整性检查</t>
        </is>
      </c>
      <c r="O281" s="31" t="inlineStr">
        <is>
          <t>现有LQ文献多集中存储字段，本行为机制扩展</t>
        </is>
      </c>
      <c r="P281" s="33" t="n"/>
      <c r="Q281" s="33" t="n"/>
      <c r="R281" s="33" t="n"/>
      <c r="S281" s="33" t="n"/>
      <c r="T281" s="33" t="n"/>
      <c r="U281" s="33" t="n"/>
      <c r="V281" s="33" t="n"/>
      <c r="W281" s="33" t="n"/>
      <c r="X281" s="36">
        <f>IF(OR(R281="",R281-AP281&lt;=0),"",AB281/(R281-AP281))</f>
        <v/>
      </c>
      <c r="Y281" s="36">
        <f>IF(OR(AR281="",AR281=0),"",R281/AR281)</f>
        <v/>
      </c>
      <c r="Z281" s="34" t="inlineStr">
        <is>
          <t>待执行</t>
        </is>
      </c>
      <c r="AA281" s="33" t="n"/>
      <c r="AB281" s="38" t="n"/>
      <c r="AC281" s="38" t="n"/>
      <c r="AD281" s="38" t="n"/>
      <c r="AE281" s="38" t="n"/>
      <c r="AF281" s="38" t="n"/>
      <c r="AG281" s="38" t="n"/>
      <c r="AH281" s="38" t="n"/>
      <c r="AI281" s="38" t="n"/>
      <c r="AJ281" s="38" t="n"/>
      <c r="AK281" s="39" t="n"/>
      <c r="AL281" s="40">
        <f>IF(OR(R281="",R281-AP281&lt;=0),"",AO281/(R281-AP281))</f>
        <v/>
      </c>
      <c r="AM281" s="41">
        <f>IF(R281="","",SUM(AC281:AF281)-(R281-AP281))</f>
        <v/>
      </c>
      <c r="AN281" s="41">
        <f>IF(R281="","",SUM(S281:W281)+AP281-R281)</f>
        <v/>
      </c>
      <c r="AO281" s="44" t="n"/>
      <c r="AP281" s="45" t="n"/>
      <c r="AQ281" s="47" t="inlineStr">
        <is>
          <t>L02-a valid异常；L02-b issued异常；L02-c completed异常；L02-d squashed异常</t>
        </is>
      </c>
      <c r="AR281" s="33" t="n"/>
      <c r="AS281" s="36">
        <f>IF(OR(Q281="",Q281=0),"",AR281/Q281)</f>
        <v/>
      </c>
      <c r="AT281" s="62" t="n">
        <v>30</v>
      </c>
      <c r="AU281" s="62" t="n">
        <v>385</v>
      </c>
      <c r="AV281" s="62" t="inlineStr">
        <is>
          <t>常规</t>
        </is>
      </c>
      <c r="AW281" s="62" t="inlineStr">
        <is>
          <t>累计至少385，不机械扩展到2401</t>
        </is>
      </c>
    </row>
    <row r="282" ht="94.15000000000001" customHeight="1" s="58">
      <c r="A282" s="32" t="inlineStr">
        <is>
          <t>L02-F2-W5</t>
        </is>
      </c>
      <c r="B282" s="32" t="inlineStr">
        <is>
          <t>L02</t>
        </is>
      </c>
      <c r="C282" s="32" t="inlineStr">
        <is>
          <t>Load Queue</t>
        </is>
      </c>
      <c r="D282" s="31" t="inlineStr">
        <is>
          <t>Load Queue 表项的 valid、issued、completed、squashed 等生命周期状态。它们决定请求能否发出、返回值能否写回以及错误路径表项是否被清除。</t>
        </is>
      </c>
      <c r="E282" s="31" t="inlineStr">
        <is>
          <t>状态</t>
        </is>
      </c>
      <c r="F282"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2" s="31" t="inlineStr">
        <is>
          <t>F2</t>
        </is>
      </c>
      <c r="H282" s="31" t="inlineStr">
        <is>
          <t>平均每 100,000 个 eligible events 注入 1 次，间隔加入 ±50% 抖动</t>
        </is>
      </c>
      <c r="I282" s="31" t="inlineStr">
        <is>
          <t>SQ-Forward 转发探针（同地址/部分重叠 store-to-load forwarding、字节掩码、alias、replay）</t>
        </is>
      </c>
      <c r="J282" s="31" t="inlineStr">
        <is>
          <t>SQ-Forward 转发探针（同地址/部分重叠 store-to-load forwarding、字节掩码、alias、replay）
执行定义与 oracle：同地址与部分重叠 store-to-load forwarding、不同字节掩码、地址晚到/数据晚到、alias、replay</t>
        </is>
      </c>
      <c r="K282" s="31" t="inlineStr">
        <is>
          <t>LQ 表项发生分配、发射、完成或清除状态转换</t>
        </is>
      </c>
      <c r="L282" s="31" t="inlineStr">
        <is>
          <t>L1状态轨迹与占用守恒；L2 issued/dropped/duplicate request；L3返回事务；L4写回、提交和错误路径副作用；L5结局</t>
        </is>
      </c>
      <c r="M282" s="31" t="inlineStr">
        <is>
          <t>completed提前或squashed未清除可能提交陈旧值；valid/issued丢失更常表现为重放、停顿或Timeout</t>
        </is>
      </c>
      <c r="N282" s="31" t="inlineStr">
        <is>
          <t>地址字段不足以代表LQ风险，生命周期错误可绕开单纯的数据完整性检查</t>
        </is>
      </c>
      <c r="O282" s="31" t="inlineStr">
        <is>
          <t>现有LQ文献多集中存储字段，本行为机制扩展</t>
        </is>
      </c>
      <c r="P282" s="33" t="n"/>
      <c r="Q282" s="33" t="n"/>
      <c r="R282" s="33" t="n"/>
      <c r="S282" s="33" t="n"/>
      <c r="T282" s="33" t="n"/>
      <c r="U282" s="33" t="n"/>
      <c r="V282" s="33" t="n"/>
      <c r="W282" s="33" t="n"/>
      <c r="X282" s="36">
        <f>IF(OR(R282="",R282-AP282&lt;=0),"",AB282/(R282-AP282))</f>
        <v/>
      </c>
      <c r="Y282" s="36">
        <f>IF(OR(AR282="",AR282=0),"",R282/AR282)</f>
        <v/>
      </c>
      <c r="Z282" s="34" t="inlineStr">
        <is>
          <t>待执行</t>
        </is>
      </c>
      <c r="AA282" s="33" t="n"/>
      <c r="AB282" s="38" t="n"/>
      <c r="AC282" s="38" t="n"/>
      <c r="AD282" s="38" t="n"/>
      <c r="AE282" s="38" t="n"/>
      <c r="AF282" s="38" t="n"/>
      <c r="AG282" s="38" t="n"/>
      <c r="AH282" s="38" t="n"/>
      <c r="AI282" s="38" t="n"/>
      <c r="AJ282" s="38" t="n"/>
      <c r="AK282" s="39" t="n"/>
      <c r="AL282" s="40">
        <f>IF(OR(R282="",R282-AP282&lt;=0),"",AO282/(R282-AP282))</f>
        <v/>
      </c>
      <c r="AM282" s="41">
        <f>IF(R282="","",SUM(AC282:AF282)-(R282-AP282))</f>
        <v/>
      </c>
      <c r="AN282" s="41">
        <f>IF(R282="","",SUM(S282:W282)+AP282-R282)</f>
        <v/>
      </c>
      <c r="AO282" s="44" t="n"/>
      <c r="AP282" s="45" t="n"/>
      <c r="AQ282" s="47" t="inlineStr">
        <is>
          <t>L02-a valid异常；L02-b issued异常；L02-c completed异常；L02-d squashed异常</t>
        </is>
      </c>
      <c r="AR282" s="33" t="n"/>
      <c r="AS282" s="36">
        <f>IF(OR(Q282="",Q282=0),"",AR282/Q282)</f>
        <v/>
      </c>
      <c r="AT282" s="62" t="n">
        <v>30</v>
      </c>
      <c r="AU282" s="62" t="n">
        <v>385</v>
      </c>
      <c r="AV282" s="62" t="inlineStr">
        <is>
          <t>常规</t>
        </is>
      </c>
      <c r="AW282" s="62" t="inlineStr">
        <is>
          <t>累计至少385，不机械扩展到2401</t>
        </is>
      </c>
    </row>
    <row r="283" ht="94.15000000000001" customHeight="1" s="58">
      <c r="A283" s="32" t="inlineStr">
        <is>
          <t>L02-F2-W12</t>
        </is>
      </c>
      <c r="B283" s="32" t="inlineStr">
        <is>
          <t>L02</t>
        </is>
      </c>
      <c r="C283" s="32" t="inlineStr">
        <is>
          <t>Load Queue</t>
        </is>
      </c>
      <c r="D283" s="31" t="inlineStr">
        <is>
          <t>Load Queue 表项的 valid、issued、completed、squashed 等生命周期状态。它们决定请求能否发出、返回值能否写回以及错误路径表项是否被清除。</t>
        </is>
      </c>
      <c r="E283" s="31" t="inlineStr">
        <is>
          <t>状态</t>
        </is>
      </c>
      <c r="F283"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3" s="31" t="inlineStr">
        <is>
          <t>F2</t>
        </is>
      </c>
      <c r="H283" s="31" t="inlineStr">
        <is>
          <t>平均每 100,000 个 eligible events 注入 1 次，间隔加入 ±50% 抖动</t>
        </is>
      </c>
      <c r="I283" s="31" t="inlineStr">
        <is>
          <t>SQLite-Speedtest1 真实应用（B树、事务与完整性检查）</t>
        </is>
      </c>
      <c r="J283" s="31" t="inlineStr">
        <is>
          <t>SQLite-Speedtest1 真实应用（B树、事务与完整性检查）
执行定义与 oracle：SQLite speedtest1 固定数据库与事务脚本；用 PRAGMA integrity_check、查询结果和数据库文件哈希作为 oracle</t>
        </is>
      </c>
      <c r="K283" s="31" t="inlineStr">
        <is>
          <t>LQ 表项发生分配、发射、完成或清除状态转换</t>
        </is>
      </c>
      <c r="L283" s="31" t="inlineStr">
        <is>
          <t>L1状态轨迹与占用守恒；L2 issued/dropped/duplicate request；L3返回事务；L4写回、提交和错误路径副作用；L5结局</t>
        </is>
      </c>
      <c r="M283" s="31" t="inlineStr">
        <is>
          <t>completed提前或squashed未清除可能提交陈旧值；valid/issued丢失更常表现为重放、停顿或Timeout</t>
        </is>
      </c>
      <c r="N283" s="31" t="inlineStr">
        <is>
          <t>地址字段不足以代表LQ风险，生命周期错误可绕开单纯的数据完整性检查</t>
        </is>
      </c>
      <c r="O283" s="31" t="inlineStr">
        <is>
          <t>现有LQ文献多集中存储字段，本行为机制扩展</t>
        </is>
      </c>
      <c r="P283" s="33" t="n"/>
      <c r="Q283" s="33" t="n"/>
      <c r="R283" s="33" t="n"/>
      <c r="S283" s="33" t="n"/>
      <c r="T283" s="33" t="n"/>
      <c r="U283" s="33" t="n"/>
      <c r="V283" s="33" t="n"/>
      <c r="W283" s="33" t="n"/>
      <c r="X283" s="36">
        <f>IF(OR(R283="",R283-AP283&lt;=0),"",AB283/(R283-AP283))</f>
        <v/>
      </c>
      <c r="Y283" s="36">
        <f>IF(OR(AR283="",AR283=0),"",R283/AR283)</f>
        <v/>
      </c>
      <c r="Z283" s="34" t="inlineStr">
        <is>
          <t>待执行</t>
        </is>
      </c>
      <c r="AA283" s="33" t="n"/>
      <c r="AB283" s="38" t="n"/>
      <c r="AC283" s="38" t="n"/>
      <c r="AD283" s="38" t="n"/>
      <c r="AE283" s="38" t="n"/>
      <c r="AF283" s="38" t="n"/>
      <c r="AG283" s="38" t="n"/>
      <c r="AH283" s="38" t="n"/>
      <c r="AI283" s="38" t="n"/>
      <c r="AJ283" s="38" t="n"/>
      <c r="AK283" s="39" t="n"/>
      <c r="AL283" s="40">
        <f>IF(OR(R283="",R283-AP283&lt;=0),"",AO283/(R283-AP283))</f>
        <v/>
      </c>
      <c r="AM283" s="41">
        <f>IF(R283="","",SUM(AC283:AF283)-(R283-AP283))</f>
        <v/>
      </c>
      <c r="AN283" s="41">
        <f>IF(R283="","",SUM(S283:W283)+AP283-R283)</f>
        <v/>
      </c>
      <c r="AO283" s="44" t="n"/>
      <c r="AP283" s="45" t="n"/>
      <c r="AQ283" s="47" t="inlineStr">
        <is>
          <t>L02-a valid异常；L02-b issued异常；L02-c completed异常；L02-d squashed异常</t>
        </is>
      </c>
      <c r="AR283" s="33" t="n"/>
      <c r="AS283" s="36">
        <f>IF(OR(Q283="",Q283=0),"",AR283/Q283)</f>
        <v/>
      </c>
      <c r="AT283" s="62" t="n">
        <v>30</v>
      </c>
      <c r="AU283" s="62" t="n">
        <v>385</v>
      </c>
      <c r="AV283" s="62" t="inlineStr">
        <is>
          <t>常规</t>
        </is>
      </c>
      <c r="AW283" s="62" t="inlineStr">
        <is>
          <t>累计至少385，不机械扩展到2401</t>
        </is>
      </c>
    </row>
    <row r="284" ht="94.15000000000001" customHeight="1" s="58">
      <c r="A284" s="32" t="inlineStr">
        <is>
          <t>L02-F6-W5</t>
        </is>
      </c>
      <c r="B284" s="32" t="inlineStr">
        <is>
          <t>L02</t>
        </is>
      </c>
      <c r="C284" s="32" t="inlineStr">
        <is>
          <t>Load Queue</t>
        </is>
      </c>
      <c r="D284" s="31" t="inlineStr">
        <is>
          <t>Load Queue 表项的 valid、issued、completed、squashed 等生命周期状态。它们决定请求能否发出、返回值能否写回以及错误路径表项是否被清除。</t>
        </is>
      </c>
      <c r="E284" s="31" t="inlineStr">
        <is>
          <t>状态</t>
        </is>
      </c>
      <c r="F284"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4" s="31" t="inlineStr">
        <is>
          <t>F6</t>
        </is>
      </c>
      <c r="H284" s="31" t="inlineStr">
        <is>
          <t>首次出现指定事件时注入一次；仍以故障值被下游消费作为 activated 判据</t>
        </is>
      </c>
      <c r="I284" s="31" t="inlineStr">
        <is>
          <t>SQ-Forward 转发探针（同地址/部分重叠 store-to-load forwarding、字节掩码、alias、replay）</t>
        </is>
      </c>
      <c r="J284" s="31" t="inlineStr">
        <is>
          <t>SQ-Forward 转发探针（同地址/部分重叠 store-to-load forwarding、字节掩码、alias、replay）
执行定义与 oracle：同地址与部分重叠 store-to-load forwarding、不同字节掩码、地址晚到/数据晚到、alias、replay</t>
        </is>
      </c>
      <c r="K284" s="31" t="inlineStr">
        <is>
          <t>LQ 表项发生分配、发射、完成或清除状态转换</t>
        </is>
      </c>
      <c r="L284" s="31" t="inlineStr">
        <is>
          <t>L1状态轨迹与占用守恒；L2 issued/dropped/duplicate request；L3返回事务；L4写回、提交和错误路径副作用；L5结局</t>
        </is>
      </c>
      <c r="M284" s="31" t="inlineStr">
        <is>
          <t>completed提前或squashed未清除可能提交陈旧值；valid/issued丢失更常表现为重放、停顿或Timeout</t>
        </is>
      </c>
      <c r="N284" s="31" t="inlineStr">
        <is>
          <t>地址字段不足以代表LQ风险，生命周期错误可绕开单纯的数据完整性检查</t>
        </is>
      </c>
      <c r="O284" s="31" t="inlineStr">
        <is>
          <t>现有LQ文献多集中存储字段，本行为机制扩展</t>
        </is>
      </c>
      <c r="P284" s="33" t="n"/>
      <c r="Q284" s="33" t="n"/>
      <c r="R284" s="33" t="n"/>
      <c r="S284" s="33" t="n"/>
      <c r="T284" s="33" t="n"/>
      <c r="U284" s="33" t="n"/>
      <c r="V284" s="33" t="n"/>
      <c r="W284" s="33" t="n"/>
      <c r="X284" s="36">
        <f>IF(OR(R284="",R284-AP284&lt;=0),"",AB284/(R284-AP284))</f>
        <v/>
      </c>
      <c r="Y284" s="36">
        <f>IF(OR(AR284="",AR284=0),"",R284/AR284)</f>
        <v/>
      </c>
      <c r="Z284" s="34" t="inlineStr">
        <is>
          <t>待执行</t>
        </is>
      </c>
      <c r="AA284" s="33" t="n"/>
      <c r="AB284" s="38" t="n"/>
      <c r="AC284" s="38" t="n"/>
      <c r="AD284" s="38" t="n"/>
      <c r="AE284" s="38" t="n"/>
      <c r="AF284" s="38" t="n"/>
      <c r="AG284" s="38" t="n"/>
      <c r="AH284" s="38" t="n"/>
      <c r="AI284" s="38" t="n"/>
      <c r="AJ284" s="38" t="n"/>
      <c r="AK284" s="39" t="n"/>
      <c r="AL284" s="40">
        <f>IF(OR(R284="",R284-AP284&lt;=0),"",AO284/(R284-AP284))</f>
        <v/>
      </c>
      <c r="AM284" s="41">
        <f>IF(R284="","",SUM(AC284:AF284)-(R284-AP284))</f>
        <v/>
      </c>
      <c r="AN284" s="41">
        <f>IF(R284="","",SUM(S284:W284)+AP284-R284)</f>
        <v/>
      </c>
      <c r="AO284" s="44" t="n"/>
      <c r="AP284" s="45" t="n"/>
      <c r="AQ284" s="47" t="inlineStr">
        <is>
          <t>L02-a valid异常；L02-b issued异常；L02-c completed异常；L02-d squashed异常</t>
        </is>
      </c>
      <c r="AR284" s="33" t="n"/>
      <c r="AS284" s="36">
        <f>IF(OR(Q284="",Q284=0),"",AR284/Q284)</f>
        <v/>
      </c>
      <c r="AT284" s="62" t="n">
        <v>30</v>
      </c>
      <c r="AU284" s="62" t="n">
        <v>385</v>
      </c>
      <c r="AV284" s="62" t="inlineStr">
        <is>
          <t>常规</t>
        </is>
      </c>
      <c r="AW284" s="62" t="inlineStr">
        <is>
          <t>累计至少385，不机械扩展到2401</t>
        </is>
      </c>
    </row>
    <row r="285" ht="94.15000000000001" customHeight="1" s="58">
      <c r="A285" s="32" t="inlineStr">
        <is>
          <t>L02-F6-W12</t>
        </is>
      </c>
      <c r="B285" s="32" t="inlineStr">
        <is>
          <t>L02</t>
        </is>
      </c>
      <c r="C285" s="32" t="inlineStr">
        <is>
          <t>Load Queue</t>
        </is>
      </c>
      <c r="D285" s="31" t="inlineStr">
        <is>
          <t>Load Queue 表项的 valid、issued、completed、squashed 等生命周期状态。它们决定请求能否发出、返回值能否写回以及错误路径表项是否被清除。</t>
        </is>
      </c>
      <c r="E285" s="31" t="inlineStr">
        <is>
          <t>状态</t>
        </is>
      </c>
      <c r="F285"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5" s="31" t="inlineStr">
        <is>
          <t>F6</t>
        </is>
      </c>
      <c r="H285" s="31" t="inlineStr">
        <is>
          <t>首次出现指定事件时注入一次；仍以故障值被下游消费作为 activated 判据</t>
        </is>
      </c>
      <c r="I285" s="31" t="inlineStr">
        <is>
          <t>SQLite-Speedtest1 真实应用（B树、事务与完整性检查）</t>
        </is>
      </c>
      <c r="J285" s="31" t="inlineStr">
        <is>
          <t>SQLite-Speedtest1 真实应用（B树、事务与完整性检查）
执行定义与 oracle：SQLite speedtest1 固定数据库与事务脚本；用 PRAGMA integrity_check、查询结果和数据库文件哈希作为 oracle</t>
        </is>
      </c>
      <c r="K285" s="31" t="inlineStr">
        <is>
          <t>LQ 表项发生分配、发射、完成或清除状态转换</t>
        </is>
      </c>
      <c r="L285" s="31" t="inlineStr">
        <is>
          <t>L1状态轨迹与占用守恒；L2 issued/dropped/duplicate request；L3返回事务；L4写回、提交和错误路径副作用；L5结局</t>
        </is>
      </c>
      <c r="M285" s="31" t="inlineStr">
        <is>
          <t>completed提前或squashed未清除可能提交陈旧值；valid/issued丢失更常表现为重放、停顿或Timeout</t>
        </is>
      </c>
      <c r="N285" s="31" t="inlineStr">
        <is>
          <t>地址字段不足以代表LQ风险，生命周期错误可绕开单纯的数据完整性检查</t>
        </is>
      </c>
      <c r="O285" s="31" t="inlineStr">
        <is>
          <t>现有LQ文献多集中存储字段，本行为机制扩展</t>
        </is>
      </c>
      <c r="P285" s="33" t="n"/>
      <c r="Q285" s="33" t="n"/>
      <c r="R285" s="33" t="n"/>
      <c r="S285" s="33" t="n"/>
      <c r="T285" s="33" t="n"/>
      <c r="U285" s="33" t="n"/>
      <c r="V285" s="33" t="n"/>
      <c r="W285" s="33" t="n"/>
      <c r="X285" s="36">
        <f>IF(OR(R285="",R285-AP285&lt;=0),"",AB285/(R285-AP285))</f>
        <v/>
      </c>
      <c r="Y285" s="36">
        <f>IF(OR(AR285="",AR285=0),"",R285/AR285)</f>
        <v/>
      </c>
      <c r="Z285" s="34" t="inlineStr">
        <is>
          <t>待执行</t>
        </is>
      </c>
      <c r="AA285" s="33" t="n"/>
      <c r="AB285" s="38" t="n"/>
      <c r="AC285" s="38" t="n"/>
      <c r="AD285" s="38" t="n"/>
      <c r="AE285" s="38" t="n"/>
      <c r="AF285" s="38" t="n"/>
      <c r="AG285" s="38" t="n"/>
      <c r="AH285" s="38" t="n"/>
      <c r="AI285" s="38" t="n"/>
      <c r="AJ285" s="38" t="n"/>
      <c r="AK285" s="39" t="n"/>
      <c r="AL285" s="40">
        <f>IF(OR(R285="",R285-AP285&lt;=0),"",AO285/(R285-AP285))</f>
        <v/>
      </c>
      <c r="AM285" s="41">
        <f>IF(R285="","",SUM(AC285:AF285)-(R285-AP285))</f>
        <v/>
      </c>
      <c r="AN285" s="41">
        <f>IF(R285="","",SUM(S285:W285)+AP285-R285)</f>
        <v/>
      </c>
      <c r="AO285" s="44" t="n"/>
      <c r="AP285" s="45" t="n"/>
      <c r="AQ285" s="47" t="inlineStr">
        <is>
          <t>L02-a valid异常；L02-b issued异常；L02-c completed异常；L02-d squashed异常</t>
        </is>
      </c>
      <c r="AR285" s="33" t="n"/>
      <c r="AS285" s="36">
        <f>IF(OR(Q285="",Q285=0),"",AR285/Q285)</f>
        <v/>
      </c>
      <c r="AT285" s="62" t="n">
        <v>30</v>
      </c>
      <c r="AU285" s="62" t="n">
        <v>385</v>
      </c>
      <c r="AV285" s="62" t="inlineStr">
        <is>
          <t>常规</t>
        </is>
      </c>
      <c r="AW285" s="62" t="inlineStr">
        <is>
          <t>累计至少385，不机械扩展到2401</t>
        </is>
      </c>
    </row>
    <row r="286" ht="94.15000000000001" customHeight="1" s="58">
      <c r="A286" s="32" t="inlineStr">
        <is>
          <t>L03-F0-W5</t>
        </is>
      </c>
      <c r="B286" s="32" t="inlineStr">
        <is>
          <t>L03</t>
        </is>
      </c>
      <c r="C286" s="32" t="inlineStr">
        <is>
          <t>Load Queue</t>
        </is>
      </c>
      <c r="D286" s="31" t="inlineStr">
        <is>
          <t>Load Queue 的内存序违规检测与 replay 元数据，包括更老 store 的地址比较结果、violation 标记、replay 原因和重放选择。</t>
        </is>
      </c>
      <c r="E286" s="31" t="inlineStr">
        <is>
          <t>换值/时序</t>
        </is>
      </c>
      <c r="F286"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6" s="31" t="inlineStr">
        <is>
          <t>F0</t>
        </is>
      </c>
      <c r="H286" s="31" t="inlineStr">
        <is>
          <t>每次运行只注入 1 次；在 warm-up 后的 eligible event 中均匀抽样</t>
        </is>
      </c>
      <c r="I286" s="31" t="inlineStr">
        <is>
          <t>SQ-Forward 转发探针（同地址/部分重叠 store-to-load forwarding、字节掩码、alias、replay）</t>
        </is>
      </c>
      <c r="J286" s="31" t="inlineStr">
        <is>
          <t>SQ-Forward 转发探针（同地址/部分重叠 store-to-load forwarding、字节掩码、alias、replay）
执行定义与 oracle：同地址与部分重叠 store-to-load forwarding、不同字节掩码、地址晚到/数据晚到、alias、replay</t>
        </is>
      </c>
      <c r="K286" s="31" t="inlineStr">
        <is>
          <t>年轻load先执行且更老store地址在后续周期解析</t>
        </is>
      </c>
      <c r="L286" s="31" t="inlineStr">
        <is>
          <t>L1比较向量与replay队列；L2 violation、replay、load数据来源；L3最终内存可见序；L4提交值；L5结局</t>
        </is>
      </c>
      <c r="M286" s="31" t="inlineStr">
        <is>
          <t>false negative或replay丢失可能让陈旧load值静默提交；false positive主要造成性能下降</t>
        </is>
      </c>
      <c r="N286" s="31" t="inlineStr">
        <is>
          <t>把内存依赖预测错误与最终正确性兜底机制分开，覆盖真正可能把预测错误升级为SDC的路径</t>
        </is>
      </c>
      <c r="O286" s="31" t="inlineStr">
        <is>
          <t>与TC'23所述提交前依赖检查直接相关；具体逻辑故障缺少现有实测</t>
        </is>
      </c>
      <c r="P286" s="33" t="n"/>
      <c r="Q286" s="33" t="n"/>
      <c r="R286" s="33" t="n"/>
      <c r="S286" s="33" t="n"/>
      <c r="T286" s="33" t="n"/>
      <c r="U286" s="33" t="n"/>
      <c r="V286" s="33" t="n"/>
      <c r="W286" s="33" t="n"/>
      <c r="X286" s="36">
        <f>IF(OR(R286="",R286-AP286&lt;=0),"",AB286/(R286-AP286))</f>
        <v/>
      </c>
      <c r="Y286" s="36">
        <f>IF(OR(AR286="",AR286=0),"",R286/AR286)</f>
        <v/>
      </c>
      <c r="Z286" s="34" t="inlineStr">
        <is>
          <t>待执行</t>
        </is>
      </c>
      <c r="AA286" s="33" t="n"/>
      <c r="AB286" s="38" t="n"/>
      <c r="AC286" s="38" t="n"/>
      <c r="AD286" s="38" t="n"/>
      <c r="AE286" s="38" t="n"/>
      <c r="AF286" s="38" t="n"/>
      <c r="AG286" s="38" t="n"/>
      <c r="AH286" s="38" t="n"/>
      <c r="AI286" s="38" t="n"/>
      <c r="AJ286" s="38" t="n"/>
      <c r="AK286" s="39" t="n"/>
      <c r="AL286" s="40">
        <f>IF(OR(R286="",R286-AP286&lt;=0),"",AO286/(R286-AP286))</f>
        <v/>
      </c>
      <c r="AM286" s="41">
        <f>IF(R286="","",SUM(AC286:AF286)-(R286-AP286))</f>
        <v/>
      </c>
      <c r="AN286" s="41">
        <f>IF(R286="","",SUM(S286:W286)+AP286-R286)</f>
        <v/>
      </c>
      <c r="AO286" s="44" t="n"/>
      <c r="AP286" s="45" t="n"/>
      <c r="AQ286" s="47" t="inlineStr">
        <is>
          <t>L03-a violation漏报；L03-b replay丢失；L03-c replay目标错误</t>
        </is>
      </c>
      <c r="AR286" s="33" t="n"/>
      <c r="AS286" s="36">
        <f>IF(OR(Q286="",Q286=0),"",AR286/Q286)</f>
        <v/>
      </c>
      <c r="AT286" s="62" t="n">
        <v>30</v>
      </c>
      <c r="AU286" s="62" t="n">
        <v>2401</v>
      </c>
      <c r="AV286" s="62" t="inlineStr">
        <is>
          <t>重点（预登记21项）</t>
        </is>
      </c>
      <c r="AW286" s="62" t="inlineStr">
        <is>
          <t>累计到2401（含前385）</t>
        </is>
      </c>
    </row>
    <row r="287" ht="94.15000000000001" customHeight="1" s="58">
      <c r="A287" s="32" t="inlineStr">
        <is>
          <t>L03-F0-W12</t>
        </is>
      </c>
      <c r="B287" s="32" t="inlineStr">
        <is>
          <t>L03</t>
        </is>
      </c>
      <c r="C287" s="32" t="inlineStr">
        <is>
          <t>Load Queue</t>
        </is>
      </c>
      <c r="D287" s="31" t="inlineStr">
        <is>
          <t>Load Queue 的内存序违规检测与 replay 元数据，包括更老 store 的地址比较结果、violation 标记、replay 原因和重放选择。</t>
        </is>
      </c>
      <c r="E287" s="31" t="inlineStr">
        <is>
          <t>换值/时序</t>
        </is>
      </c>
      <c r="F287"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7" s="31" t="inlineStr">
        <is>
          <t>F0</t>
        </is>
      </c>
      <c r="H287" s="31" t="inlineStr">
        <is>
          <t>每次运行只注入 1 次；在 warm-up 后的 eligible event 中均匀抽样</t>
        </is>
      </c>
      <c r="I287" s="31" t="inlineStr">
        <is>
          <t>SQLite-Speedtest1 真实应用（B树、事务与完整性检查）</t>
        </is>
      </c>
      <c r="J287" s="31" t="inlineStr">
        <is>
          <t>SQLite-Speedtest1 真实应用（B树、事务与完整性检查）
执行定义与 oracle：SQLite speedtest1 固定数据库与事务脚本；用 PRAGMA integrity_check、查询结果和数据库文件哈希作为 oracle</t>
        </is>
      </c>
      <c r="K287" s="31" t="inlineStr">
        <is>
          <t>年轻load先执行且更老store地址在后续周期解析</t>
        </is>
      </c>
      <c r="L287" s="31" t="inlineStr">
        <is>
          <t>L1比较向量与replay队列；L2 violation、replay、load数据来源；L3最终内存可见序；L4提交值；L5结局</t>
        </is>
      </c>
      <c r="M287" s="31" t="inlineStr">
        <is>
          <t>false negative或replay丢失可能让陈旧load值静默提交；false positive主要造成性能下降</t>
        </is>
      </c>
      <c r="N287" s="31" t="inlineStr">
        <is>
          <t>把内存依赖预测错误与最终正确性兜底机制分开，覆盖真正可能把预测错误升级为SDC的路径</t>
        </is>
      </c>
      <c r="O287" s="31" t="inlineStr">
        <is>
          <t>与TC'23所述提交前依赖检查直接相关；具体逻辑故障缺少现有实测</t>
        </is>
      </c>
      <c r="P287" s="33" t="n"/>
      <c r="Q287" s="33" t="n"/>
      <c r="R287" s="33" t="n"/>
      <c r="S287" s="33" t="n"/>
      <c r="T287" s="33" t="n"/>
      <c r="U287" s="33" t="n"/>
      <c r="V287" s="33" t="n"/>
      <c r="W287" s="33" t="n"/>
      <c r="X287" s="36">
        <f>IF(OR(R287="",R287-AP287&lt;=0),"",AB287/(R287-AP287))</f>
        <v/>
      </c>
      <c r="Y287" s="36">
        <f>IF(OR(AR287="",AR287=0),"",R287/AR287)</f>
        <v/>
      </c>
      <c r="Z287" s="34" t="inlineStr">
        <is>
          <t>待执行</t>
        </is>
      </c>
      <c r="AA287" s="33" t="n"/>
      <c r="AB287" s="38" t="n"/>
      <c r="AC287" s="38" t="n"/>
      <c r="AD287" s="38" t="n"/>
      <c r="AE287" s="38" t="n"/>
      <c r="AF287" s="38" t="n"/>
      <c r="AG287" s="38" t="n"/>
      <c r="AH287" s="38" t="n"/>
      <c r="AI287" s="38" t="n"/>
      <c r="AJ287" s="38" t="n"/>
      <c r="AK287" s="39" t="n"/>
      <c r="AL287" s="40">
        <f>IF(OR(R287="",R287-AP287&lt;=0),"",AO287/(R287-AP287))</f>
        <v/>
      </c>
      <c r="AM287" s="41">
        <f>IF(R287="","",SUM(AC287:AF287)-(R287-AP287))</f>
        <v/>
      </c>
      <c r="AN287" s="41">
        <f>IF(R287="","",SUM(S287:W287)+AP287-R287)</f>
        <v/>
      </c>
      <c r="AO287" s="44" t="n"/>
      <c r="AP287" s="45" t="n"/>
      <c r="AQ287" s="47" t="inlineStr">
        <is>
          <t>L03-a violation漏报；L03-b replay丢失；L03-c replay目标错误</t>
        </is>
      </c>
      <c r="AR287" s="33" t="n"/>
      <c r="AS287" s="36">
        <f>IF(OR(Q287="",Q287=0),"",AR287/Q287)</f>
        <v/>
      </c>
      <c r="AT287" s="62" t="n">
        <v>30</v>
      </c>
      <c r="AU287" s="62" t="n">
        <v>385</v>
      </c>
      <c r="AV287" s="62" t="inlineStr">
        <is>
          <t>常规</t>
        </is>
      </c>
      <c r="AW287" s="62" t="inlineStr">
        <is>
          <t>累计至少385，不机械扩展到2401</t>
        </is>
      </c>
    </row>
    <row r="288" ht="94.15000000000001" customHeight="1" s="58">
      <c r="A288" s="32" t="inlineStr">
        <is>
          <t>L03-F4-W5</t>
        </is>
      </c>
      <c r="B288" s="32" t="inlineStr">
        <is>
          <t>L03</t>
        </is>
      </c>
      <c r="C288" s="32" t="inlineStr">
        <is>
          <t>Load Queue</t>
        </is>
      </c>
      <c r="D288" s="31" t="inlineStr">
        <is>
          <t>Load Queue 的内存序违规检测与 replay 元数据，包括更老 store 的地址比较结果、violation 标记、replay 原因和重放选择。</t>
        </is>
      </c>
      <c r="E288" s="31" t="inlineStr">
        <is>
          <t>换值/时序</t>
        </is>
      </c>
      <c r="F288"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8" s="31" t="inlineStr">
        <is>
          <t>F4</t>
        </is>
      </c>
      <c r="H288" s="31" t="inlineStr">
        <is>
          <t>每 100,000 个 eligible events 触发一次，连续污染 2-4 个 eligible events</t>
        </is>
      </c>
      <c r="I288" s="31" t="inlineStr">
        <is>
          <t>SQ-Forward 转发探针（同地址/部分重叠 store-to-load forwarding、字节掩码、alias、replay）</t>
        </is>
      </c>
      <c r="J288" s="31" t="inlineStr">
        <is>
          <t>SQ-Forward 转发探针（同地址/部分重叠 store-to-load forwarding、字节掩码、alias、replay）
执行定义与 oracle：同地址与部分重叠 store-to-load forwarding、不同字节掩码、地址晚到/数据晚到、alias、replay</t>
        </is>
      </c>
      <c r="K288" s="31" t="inlineStr">
        <is>
          <t>年轻load先执行且更老store地址在后续周期解析</t>
        </is>
      </c>
      <c r="L288" s="31" t="inlineStr">
        <is>
          <t>L1比较向量与replay队列；L2 violation、replay、load数据来源；L3最终内存可见序；L4提交值；L5结局</t>
        </is>
      </c>
      <c r="M288" s="31" t="inlineStr">
        <is>
          <t>false negative或replay丢失可能让陈旧load值静默提交；false positive主要造成性能下降</t>
        </is>
      </c>
      <c r="N288" s="31" t="inlineStr">
        <is>
          <t>把内存依赖预测错误与最终正确性兜底机制分开，覆盖真正可能把预测错误升级为SDC的路径</t>
        </is>
      </c>
      <c r="O288" s="31" t="inlineStr">
        <is>
          <t>与TC'23所述提交前依赖检查直接相关；具体逻辑故障缺少现有实测</t>
        </is>
      </c>
      <c r="P288" s="33" t="n"/>
      <c r="Q288" s="33" t="n"/>
      <c r="R288" s="33" t="n"/>
      <c r="S288" s="33" t="n"/>
      <c r="T288" s="33" t="n"/>
      <c r="U288" s="33" t="n"/>
      <c r="V288" s="33" t="n"/>
      <c r="W288" s="33" t="n"/>
      <c r="X288" s="36">
        <f>IF(OR(R288="",R288-AP288&lt;=0),"",AB288/(R288-AP288))</f>
        <v/>
      </c>
      <c r="Y288" s="36">
        <f>IF(OR(AR288="",AR288=0),"",R288/AR288)</f>
        <v/>
      </c>
      <c r="Z288" s="34" t="inlineStr">
        <is>
          <t>待执行</t>
        </is>
      </c>
      <c r="AA288" s="33" t="n"/>
      <c r="AB288" s="38" t="n"/>
      <c r="AC288" s="38" t="n"/>
      <c r="AD288" s="38" t="n"/>
      <c r="AE288" s="38" t="n"/>
      <c r="AF288" s="38" t="n"/>
      <c r="AG288" s="38" t="n"/>
      <c r="AH288" s="38" t="n"/>
      <c r="AI288" s="38" t="n"/>
      <c r="AJ288" s="38" t="n"/>
      <c r="AK288" s="39" t="n"/>
      <c r="AL288" s="40">
        <f>IF(OR(R288="",R288-AP288&lt;=0),"",AO288/(R288-AP288))</f>
        <v/>
      </c>
      <c r="AM288" s="41">
        <f>IF(R288="","",SUM(AC288:AF288)-(R288-AP288))</f>
        <v/>
      </c>
      <c r="AN288" s="41">
        <f>IF(R288="","",SUM(S288:W288)+AP288-R288)</f>
        <v/>
      </c>
      <c r="AO288" s="44" t="n"/>
      <c r="AP288" s="45" t="n"/>
      <c r="AQ288" s="47" t="inlineStr">
        <is>
          <t>L03-a violation漏报；L03-b replay丢失；L03-c replay目标错误</t>
        </is>
      </c>
      <c r="AR288" s="33" t="n"/>
      <c r="AS288" s="36">
        <f>IF(OR(Q288="",Q288=0),"",AR288/Q288)</f>
        <v/>
      </c>
      <c r="AT288" s="62" t="n">
        <v>30</v>
      </c>
      <c r="AU288" s="62" t="n">
        <v>385</v>
      </c>
      <c r="AV288" s="62" t="inlineStr">
        <is>
          <t>常规</t>
        </is>
      </c>
      <c r="AW288" s="62" t="inlineStr">
        <is>
          <t>累计至少385，不机械扩展到2401</t>
        </is>
      </c>
    </row>
    <row r="289" ht="94.15000000000001" customHeight="1" s="58">
      <c r="A289" s="32" t="inlineStr">
        <is>
          <t>L03-F4-W12</t>
        </is>
      </c>
      <c r="B289" s="32" t="inlineStr">
        <is>
          <t>L03</t>
        </is>
      </c>
      <c r="C289" s="32" t="inlineStr">
        <is>
          <t>Load Queue</t>
        </is>
      </c>
      <c r="D289" s="31" t="inlineStr">
        <is>
          <t>Load Queue 的内存序违规检测与 replay 元数据，包括更老 store 的地址比较结果、violation 标记、replay 原因和重放选择。</t>
        </is>
      </c>
      <c r="E289" s="31" t="inlineStr">
        <is>
          <t>换值/时序</t>
        </is>
      </c>
      <c r="F289"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9" s="31" t="inlineStr">
        <is>
          <t>F4</t>
        </is>
      </c>
      <c r="H289" s="31" t="inlineStr">
        <is>
          <t>每 100,000 个 eligible events 触发一次，连续污染 2-4 个 eligible events</t>
        </is>
      </c>
      <c r="I289" s="31" t="inlineStr">
        <is>
          <t>SQLite-Speedtest1 真实应用（B树、事务与完整性检查）</t>
        </is>
      </c>
      <c r="J289" s="31" t="inlineStr">
        <is>
          <t>SQLite-Speedtest1 真实应用（B树、事务与完整性检查）
执行定义与 oracle：SQLite speedtest1 固定数据库与事务脚本；用 PRAGMA integrity_check、查询结果和数据库文件哈希作为 oracle</t>
        </is>
      </c>
      <c r="K289" s="31" t="inlineStr">
        <is>
          <t>年轻load先执行且更老store地址在后续周期解析</t>
        </is>
      </c>
      <c r="L289" s="31" t="inlineStr">
        <is>
          <t>L1比较向量与replay队列；L2 violation、replay、load数据来源；L3最终内存可见序；L4提交值；L5结局</t>
        </is>
      </c>
      <c r="M289" s="31" t="inlineStr">
        <is>
          <t>false negative或replay丢失可能让陈旧load值静默提交；false positive主要造成性能下降</t>
        </is>
      </c>
      <c r="N289" s="31" t="inlineStr">
        <is>
          <t>把内存依赖预测错误与最终正确性兜底机制分开，覆盖真正可能把预测错误升级为SDC的路径</t>
        </is>
      </c>
      <c r="O289" s="31" t="inlineStr">
        <is>
          <t>与TC'23所述提交前依赖检查直接相关；具体逻辑故障缺少现有实测</t>
        </is>
      </c>
      <c r="P289" s="33" t="n"/>
      <c r="Q289" s="33" t="n"/>
      <c r="R289" s="33" t="n"/>
      <c r="S289" s="33" t="n"/>
      <c r="T289" s="33" t="n"/>
      <c r="U289" s="33" t="n"/>
      <c r="V289" s="33" t="n"/>
      <c r="W289" s="33" t="n"/>
      <c r="X289" s="36">
        <f>IF(OR(R289="",R289-AP289&lt;=0),"",AB289/(R289-AP289))</f>
        <v/>
      </c>
      <c r="Y289" s="36">
        <f>IF(OR(AR289="",AR289=0),"",R289/AR289)</f>
        <v/>
      </c>
      <c r="Z289" s="34" t="inlineStr">
        <is>
          <t>待执行</t>
        </is>
      </c>
      <c r="AA289" s="33" t="n"/>
      <c r="AB289" s="38" t="n"/>
      <c r="AC289" s="38" t="n"/>
      <c r="AD289" s="38" t="n"/>
      <c r="AE289" s="38" t="n"/>
      <c r="AF289" s="38" t="n"/>
      <c r="AG289" s="38" t="n"/>
      <c r="AH289" s="38" t="n"/>
      <c r="AI289" s="38" t="n"/>
      <c r="AJ289" s="38" t="n"/>
      <c r="AK289" s="39" t="n"/>
      <c r="AL289" s="40">
        <f>IF(OR(R289="",R289-AP289&lt;=0),"",AO289/(R289-AP289))</f>
        <v/>
      </c>
      <c r="AM289" s="41">
        <f>IF(R289="","",SUM(AC289:AF289)-(R289-AP289))</f>
        <v/>
      </c>
      <c r="AN289" s="41">
        <f>IF(R289="","",SUM(S289:W289)+AP289-R289)</f>
        <v/>
      </c>
      <c r="AO289" s="44" t="n"/>
      <c r="AP289" s="45" t="n"/>
      <c r="AQ289" s="47" t="inlineStr">
        <is>
          <t>L03-a violation漏报；L03-b replay丢失；L03-c replay目标错误</t>
        </is>
      </c>
      <c r="AR289" s="33" t="n"/>
      <c r="AS289" s="36">
        <f>IF(OR(Q289="",Q289=0),"",AR289/Q289)</f>
        <v/>
      </c>
      <c r="AT289" s="62" t="n">
        <v>30</v>
      </c>
      <c r="AU289" s="62" t="n">
        <v>385</v>
      </c>
      <c r="AV289" s="62" t="inlineStr">
        <is>
          <t>常规</t>
        </is>
      </c>
      <c r="AW289" s="62" t="inlineStr">
        <is>
          <t>累计至少385，不机械扩展到2401</t>
        </is>
      </c>
    </row>
    <row r="290" ht="94.15000000000001" customHeight="1" s="58">
      <c r="A290" s="32" t="inlineStr">
        <is>
          <t>L03-F6-W5</t>
        </is>
      </c>
      <c r="B290" s="32" t="inlineStr">
        <is>
          <t>L03</t>
        </is>
      </c>
      <c r="C290" s="32" t="inlineStr">
        <is>
          <t>Load Queue</t>
        </is>
      </c>
      <c r="D290" s="31" t="inlineStr">
        <is>
          <t>Load Queue 的内存序违规检测与 replay 元数据，包括更老 store 的地址比较结果、violation 标记、replay 原因和重放选择。</t>
        </is>
      </c>
      <c r="E290" s="31" t="inlineStr">
        <is>
          <t>换值/时序</t>
        </is>
      </c>
      <c r="F290"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90" s="31" t="inlineStr">
        <is>
          <t>F6</t>
        </is>
      </c>
      <c r="H290" s="31" t="inlineStr">
        <is>
          <t>首次出现指定事件时注入一次；仍以故障值被下游消费作为 activated 判据</t>
        </is>
      </c>
      <c r="I290" s="31" t="inlineStr">
        <is>
          <t>SQ-Forward 转发探针（同地址/部分重叠 store-to-load forwarding、字节掩码、alias、replay）</t>
        </is>
      </c>
      <c r="J290" s="31" t="inlineStr">
        <is>
          <t>SQ-Forward 转发探针（同地址/部分重叠 store-to-load forwarding、字节掩码、alias、replay）
执行定义与 oracle：同地址与部分重叠 store-to-load forwarding、不同字节掩码、地址晚到/数据晚到、alias、replay</t>
        </is>
      </c>
      <c r="K290" s="31" t="inlineStr">
        <is>
          <t>年轻load先执行且更老store地址在后续周期解析</t>
        </is>
      </c>
      <c r="L290" s="31" t="inlineStr">
        <is>
          <t>L1比较向量与replay队列；L2 violation、replay、load数据来源；L3最终内存可见序；L4提交值；L5结局</t>
        </is>
      </c>
      <c r="M290" s="31" t="inlineStr">
        <is>
          <t>false negative或replay丢失可能让陈旧load值静默提交；false positive主要造成性能下降</t>
        </is>
      </c>
      <c r="N290" s="31" t="inlineStr">
        <is>
          <t>把内存依赖预测错误与最终正确性兜底机制分开，覆盖真正可能把预测错误升级为SDC的路径</t>
        </is>
      </c>
      <c r="O290" s="31" t="inlineStr">
        <is>
          <t>与TC'23所述提交前依赖检查直接相关；具体逻辑故障缺少现有实测</t>
        </is>
      </c>
      <c r="P290" s="33" t="n"/>
      <c r="Q290" s="33" t="n"/>
      <c r="R290" s="33" t="n"/>
      <c r="S290" s="33" t="n"/>
      <c r="T290" s="33" t="n"/>
      <c r="U290" s="33" t="n"/>
      <c r="V290" s="33" t="n"/>
      <c r="W290" s="33" t="n"/>
      <c r="X290" s="36">
        <f>IF(OR(R290="",R290-AP290&lt;=0),"",AB290/(R290-AP290))</f>
        <v/>
      </c>
      <c r="Y290" s="36">
        <f>IF(OR(AR290="",AR290=0),"",R290/AR290)</f>
        <v/>
      </c>
      <c r="Z290" s="34" t="inlineStr">
        <is>
          <t>待执行</t>
        </is>
      </c>
      <c r="AA290" s="33" t="n"/>
      <c r="AB290" s="38" t="n"/>
      <c r="AC290" s="38" t="n"/>
      <c r="AD290" s="38" t="n"/>
      <c r="AE290" s="38" t="n"/>
      <c r="AF290" s="38" t="n"/>
      <c r="AG290" s="38" t="n"/>
      <c r="AH290" s="38" t="n"/>
      <c r="AI290" s="38" t="n"/>
      <c r="AJ290" s="38" t="n"/>
      <c r="AK290" s="39" t="n"/>
      <c r="AL290" s="40">
        <f>IF(OR(R290="",R290-AP290&lt;=0),"",AO290/(R290-AP290))</f>
        <v/>
      </c>
      <c r="AM290" s="41">
        <f>IF(R290="","",SUM(AC290:AF290)-(R290-AP290))</f>
        <v/>
      </c>
      <c r="AN290" s="41">
        <f>IF(R290="","",SUM(S290:W290)+AP290-R290)</f>
        <v/>
      </c>
      <c r="AO290" s="44" t="n"/>
      <c r="AP290" s="45" t="n"/>
      <c r="AQ290" s="47" t="inlineStr">
        <is>
          <t>L03-a violation漏报；L03-b replay丢失；L03-c replay目标错误</t>
        </is>
      </c>
      <c r="AR290" s="33" t="n"/>
      <c r="AS290" s="36">
        <f>IF(OR(Q290="",Q290=0),"",AR290/Q290)</f>
        <v/>
      </c>
      <c r="AT290" s="62" t="n">
        <v>30</v>
      </c>
      <c r="AU290" s="62" t="n">
        <v>385</v>
      </c>
      <c r="AV290" s="62" t="inlineStr">
        <is>
          <t>常规</t>
        </is>
      </c>
      <c r="AW290" s="62" t="inlineStr">
        <is>
          <t>累计至少385，不机械扩展到2401</t>
        </is>
      </c>
    </row>
    <row r="291" ht="94.15000000000001" customHeight="1" s="58">
      <c r="A291" s="32" t="inlineStr">
        <is>
          <t>L03-F6-W12</t>
        </is>
      </c>
      <c r="B291" s="32" t="inlineStr">
        <is>
          <t>L03</t>
        </is>
      </c>
      <c r="C291" s="32" t="inlineStr">
        <is>
          <t>Load Queue</t>
        </is>
      </c>
      <c r="D291" s="31" t="inlineStr">
        <is>
          <t>Load Queue 的内存序违规检测与 replay 元数据，包括更老 store 的地址比较结果、violation 标记、replay 原因和重放选择。</t>
        </is>
      </c>
      <c r="E291" s="31" t="inlineStr">
        <is>
          <t>换值/时序</t>
        </is>
      </c>
      <c r="F291"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91" s="31" t="inlineStr">
        <is>
          <t>F6</t>
        </is>
      </c>
      <c r="H291" s="31" t="inlineStr">
        <is>
          <t>首次出现指定事件时注入一次；仍以故障值被下游消费作为 activated 判据</t>
        </is>
      </c>
      <c r="I291" s="31" t="inlineStr">
        <is>
          <t>SQLite-Speedtest1 真实应用（B树、事务与完整性检查）</t>
        </is>
      </c>
      <c r="J291" s="31" t="inlineStr">
        <is>
          <t>SQLite-Speedtest1 真实应用（B树、事务与完整性检查）
执行定义与 oracle：SQLite speedtest1 固定数据库与事务脚本；用 PRAGMA integrity_check、查询结果和数据库文件哈希作为 oracle</t>
        </is>
      </c>
      <c r="K291" s="31" t="inlineStr">
        <is>
          <t>年轻load先执行且更老store地址在后续周期解析</t>
        </is>
      </c>
      <c r="L291" s="31" t="inlineStr">
        <is>
          <t>L1比较向量与replay队列；L2 violation、replay、load数据来源；L3最终内存可见序；L4提交值；L5结局</t>
        </is>
      </c>
      <c r="M291" s="31" t="inlineStr">
        <is>
          <t>false negative或replay丢失可能让陈旧load值静默提交；false positive主要造成性能下降</t>
        </is>
      </c>
      <c r="N291" s="31" t="inlineStr">
        <is>
          <t>把内存依赖预测错误与最终正确性兜底机制分开，覆盖真正可能把预测错误升级为SDC的路径</t>
        </is>
      </c>
      <c r="O291" s="31" t="inlineStr">
        <is>
          <t>与TC'23所述提交前依赖检查直接相关；具体逻辑故障缺少现有实测</t>
        </is>
      </c>
      <c r="P291" s="33" t="n"/>
      <c r="Q291" s="33" t="n"/>
      <c r="R291" s="33" t="n"/>
      <c r="S291" s="33" t="n"/>
      <c r="T291" s="33" t="n"/>
      <c r="U291" s="33" t="n"/>
      <c r="V291" s="33" t="n"/>
      <c r="W291" s="33" t="n"/>
      <c r="X291" s="36">
        <f>IF(OR(R291="",R291-AP291&lt;=0),"",AB291/(R291-AP291))</f>
        <v/>
      </c>
      <c r="Y291" s="36">
        <f>IF(OR(AR291="",AR291=0),"",R291/AR291)</f>
        <v/>
      </c>
      <c r="Z291" s="34" t="inlineStr">
        <is>
          <t>待执行</t>
        </is>
      </c>
      <c r="AA291" s="33" t="n"/>
      <c r="AB291" s="38" t="n"/>
      <c r="AC291" s="38" t="n"/>
      <c r="AD291" s="38" t="n"/>
      <c r="AE291" s="38" t="n"/>
      <c r="AF291" s="38" t="n"/>
      <c r="AG291" s="38" t="n"/>
      <c r="AH291" s="38" t="n"/>
      <c r="AI291" s="38" t="n"/>
      <c r="AJ291" s="38" t="n"/>
      <c r="AK291" s="39" t="n"/>
      <c r="AL291" s="40">
        <f>IF(OR(R291="",R291-AP291&lt;=0),"",AO291/(R291-AP291))</f>
        <v/>
      </c>
      <c r="AM291" s="41">
        <f>IF(R291="","",SUM(AC291:AF291)-(R291-AP291))</f>
        <v/>
      </c>
      <c r="AN291" s="41">
        <f>IF(R291="","",SUM(S291:W291)+AP291-R291)</f>
        <v/>
      </c>
      <c r="AO291" s="44" t="n"/>
      <c r="AP291" s="45" t="n"/>
      <c r="AQ291" s="47" t="inlineStr">
        <is>
          <t>L03-a violation漏报；L03-b replay丢失；L03-c replay目标错误</t>
        </is>
      </c>
      <c r="AR291" s="33" t="n"/>
      <c r="AS291" s="36">
        <f>IF(OR(Q291="",Q291=0),"",AR291/Q291)</f>
        <v/>
      </c>
      <c r="AT291" s="62" t="n">
        <v>30</v>
      </c>
      <c r="AU291" s="62" t="n">
        <v>385</v>
      </c>
      <c r="AV291" s="62" t="inlineStr">
        <is>
          <t>常规</t>
        </is>
      </c>
      <c r="AW291" s="62" t="inlineStr">
        <is>
          <t>累计至少385，不机械扩展到2401</t>
        </is>
      </c>
    </row>
    <row r="292" ht="94.15000000000001" customHeight="1" s="58">
      <c r="A292" s="32" t="inlineStr">
        <is>
          <t>L04-F0-W5</t>
        </is>
      </c>
      <c r="B292" s="32" t="inlineStr">
        <is>
          <t>L04</t>
        </is>
      </c>
      <c r="C292" s="32" t="inlineStr">
        <is>
          <t>Load Queue</t>
        </is>
      </c>
      <c r="D292" s="31" t="inlineStr">
        <is>
          <t>cache 返回到 LSU/LQ 的 load response transaction ID、目标动态指令和目的寄存器路由。多个在途 load 返回时必须与原请求一一配对。</t>
        </is>
      </c>
      <c r="E292" s="31" t="inlineStr">
        <is>
          <t>换值</t>
        </is>
      </c>
      <c r="F292"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2" s="31" t="inlineStr">
        <is>
          <t>F0</t>
        </is>
      </c>
      <c r="H292" s="31" t="inlineStr">
        <is>
          <t>每次运行只注入 1 次；在 warm-up 后的 eligible event 中均匀抽样</t>
        </is>
      </c>
      <c r="I292" s="31" t="inlineStr">
        <is>
          <t>SQ-Forward 转发探针（同地址/部分重叠 store-to-load forwarding、字节掩码、alias、replay）</t>
        </is>
      </c>
      <c r="J292" s="31" t="inlineStr">
        <is>
          <t>SQ-Forward 转发探针（同地址/部分重叠 store-to-load forwarding、字节掩码、alias、replay）
执行定义与 oracle：同地址与部分重叠 store-to-load forwarding、不同字节掩码、地址晚到/数据晚到、alias、replay</t>
        </is>
      </c>
      <c r="K292" s="31" t="inlineStr">
        <is>
          <t>同时存在至少两个在途load且发生cache response</t>
        </is>
      </c>
      <c r="L292" s="31" t="inlineStr">
        <is>
          <t>L1 LQ目标与response ID；L2请求-响应配对；L3返回line；L4目的寄存器、首个错误commit及扇出；L5结局</t>
        </is>
      </c>
      <c r="M292" s="31" t="inlineStr">
        <is>
          <t>两个响应数据各自合法但送错消费者，异常检测较弱，可能形成高SDC路径</t>
        </is>
      </c>
      <c r="N292" s="31" t="inlineStr">
        <is>
          <t>补足LQ除地址/状态之外的返回配对风险，与MSHR target错配形成端到端对照</t>
        </is>
      </c>
      <c r="O292" s="31" t="inlineStr">
        <is>
          <t>无直接字段级文献；与MSHR/ROB目标错配机制类比</t>
        </is>
      </c>
      <c r="P292" s="33" t="n"/>
      <c r="Q292" s="33" t="n"/>
      <c r="R292" s="33" t="n"/>
      <c r="S292" s="33" t="n"/>
      <c r="T292" s="33" t="n"/>
      <c r="U292" s="33" t="n"/>
      <c r="V292" s="33" t="n"/>
      <c r="W292" s="33" t="n"/>
      <c r="X292" s="36">
        <f>IF(OR(R292="",R292-AP292&lt;=0),"",AB292/(R292-AP292))</f>
        <v/>
      </c>
      <c r="Y292" s="36">
        <f>IF(OR(AR292="",AR292=0),"",R292/AR292)</f>
        <v/>
      </c>
      <c r="Z292" s="34" t="inlineStr">
        <is>
          <t>待执行</t>
        </is>
      </c>
      <c r="AA292" s="33" t="n"/>
      <c r="AB292" s="38" t="n"/>
      <c r="AC292" s="38" t="n"/>
      <c r="AD292" s="38" t="n"/>
      <c r="AE292" s="38" t="n"/>
      <c r="AF292" s="38" t="n"/>
      <c r="AG292" s="38" t="n"/>
      <c r="AH292" s="38" t="n"/>
      <c r="AI292" s="38" t="n"/>
      <c r="AJ292" s="38" t="n"/>
      <c r="AK292" s="39" t="n"/>
      <c r="AL292" s="40">
        <f>IF(OR(R292="",R292-AP292&lt;=0),"",AO292/(R292-AP292))</f>
        <v/>
      </c>
      <c r="AM292" s="41">
        <f>IF(R292="","",SUM(AC292:AF292)-(R292-AP292))</f>
        <v/>
      </c>
      <c r="AN292" s="41">
        <f>IF(R292="","",SUM(S292:W292)+AP292-R292)</f>
        <v/>
      </c>
      <c r="AO292" s="44" t="n"/>
      <c r="AP292" s="45" t="n"/>
      <c r="AQ292" s="47" t="inlineStr">
        <is>
          <t>L04-a response transaction ID替换；L04-b 同周期load返回目标互换</t>
        </is>
      </c>
      <c r="AR292" s="33" t="n"/>
      <c r="AS292" s="36">
        <f>IF(OR(Q292="",Q292=0),"",AR292/Q292)</f>
        <v/>
      </c>
      <c r="AT292" s="62" t="n">
        <v>30</v>
      </c>
      <c r="AU292" s="62" t="n">
        <v>385</v>
      </c>
      <c r="AV292" s="62" t="inlineStr">
        <is>
          <t>常规</t>
        </is>
      </c>
      <c r="AW292" s="62" t="inlineStr">
        <is>
          <t>累计至少385，不机械扩展到2401</t>
        </is>
      </c>
    </row>
    <row r="293" ht="94.15000000000001" customHeight="1" s="58">
      <c r="A293" s="32" t="inlineStr">
        <is>
          <t>L04-F0-W11</t>
        </is>
      </c>
      <c r="B293" s="32" t="inlineStr">
        <is>
          <t>L04</t>
        </is>
      </c>
      <c r="C293" s="32" t="inlineStr">
        <is>
          <t>Load Queue</t>
        </is>
      </c>
      <c r="D293" s="31" t="inlineStr">
        <is>
          <t>cache 返回到 LSU/LQ 的 load response transaction ID、目标动态指令和目的寄存器路由。多个在途 load 返回时必须与原请求一一配对。</t>
        </is>
      </c>
      <c r="E293" s="31" t="inlineStr">
        <is>
          <t>换值</t>
        </is>
      </c>
      <c r="F293"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3" s="31" t="inlineStr">
        <is>
          <t>F0</t>
        </is>
      </c>
      <c r="H293" s="31" t="inlineStr">
        <is>
          <t>每次运行只注入 1 次；在 warm-up 后的 eligible event 中均匀抽样</t>
        </is>
      </c>
      <c r="I293" s="31" t="inlineStr">
        <is>
          <t>SPEC CPU2017 采样区间</t>
        </is>
      </c>
      <c r="J293" s="31" t="inlineStr">
        <is>
          <t>SPEC CPU2017 采样区间
执行定义与 oracle：mcf、omnetpp、xalancbmk、lbm 的固定 SimPoint/checkpoint；使用参考输出或结果哈希</t>
        </is>
      </c>
      <c r="K293" s="31" t="inlineStr">
        <is>
          <t>同时存在至少两个在途load且发生cache response</t>
        </is>
      </c>
      <c r="L293" s="31" t="inlineStr">
        <is>
          <t>L1 LQ目标与response ID；L2请求-响应配对；L3返回line；L4目的寄存器、首个错误commit及扇出；L5结局</t>
        </is>
      </c>
      <c r="M293" s="31" t="inlineStr">
        <is>
          <t>两个响应数据各自合法但送错消费者，异常检测较弱，可能形成高SDC路径</t>
        </is>
      </c>
      <c r="N293" s="31" t="inlineStr">
        <is>
          <t>补足LQ除地址/状态之外的返回配对风险，与MSHR target错配形成端到端对照</t>
        </is>
      </c>
      <c r="O293" s="31" t="inlineStr">
        <is>
          <t>无直接字段级文献；与MSHR/ROB目标错配机制类比</t>
        </is>
      </c>
      <c r="P293" s="33" t="n"/>
      <c r="Q293" s="33" t="n"/>
      <c r="R293" s="33" t="n"/>
      <c r="S293" s="33" t="n"/>
      <c r="T293" s="33" t="n"/>
      <c r="U293" s="33" t="n"/>
      <c r="V293" s="33" t="n"/>
      <c r="W293" s="33" t="n"/>
      <c r="X293" s="36">
        <f>IF(OR(R293="",R293-AP293&lt;=0),"",AB293/(R293-AP293))</f>
        <v/>
      </c>
      <c r="Y293" s="36">
        <f>IF(OR(AR293="",AR293=0),"",R293/AR293)</f>
        <v/>
      </c>
      <c r="Z293" s="34" t="inlineStr">
        <is>
          <t>待执行</t>
        </is>
      </c>
      <c r="AA293" s="33" t="n"/>
      <c r="AB293" s="38" t="n"/>
      <c r="AC293" s="38" t="n"/>
      <c r="AD293" s="38" t="n"/>
      <c r="AE293" s="38" t="n"/>
      <c r="AF293" s="38" t="n"/>
      <c r="AG293" s="38" t="n"/>
      <c r="AH293" s="38" t="n"/>
      <c r="AI293" s="38" t="n"/>
      <c r="AJ293" s="38" t="n"/>
      <c r="AK293" s="39" t="n"/>
      <c r="AL293" s="40">
        <f>IF(OR(R293="",R293-AP293&lt;=0),"",AO293/(R293-AP293))</f>
        <v/>
      </c>
      <c r="AM293" s="41">
        <f>IF(R293="","",SUM(AC293:AF293)-(R293-AP293))</f>
        <v/>
      </c>
      <c r="AN293" s="41">
        <f>IF(R293="","",SUM(S293:W293)+AP293-R293)</f>
        <v/>
      </c>
      <c r="AO293" s="44" t="n"/>
      <c r="AP293" s="45" t="n"/>
      <c r="AQ293" s="47" t="inlineStr">
        <is>
          <t>L04-a response transaction ID替换；L04-b 同周期load返回目标互换</t>
        </is>
      </c>
      <c r="AR293" s="33" t="n"/>
      <c r="AS293" s="36">
        <f>IF(OR(Q293="",Q293=0),"",AR293/Q293)</f>
        <v/>
      </c>
      <c r="AT293" s="62" t="n">
        <v>30</v>
      </c>
      <c r="AU293" s="62" t="n">
        <v>385</v>
      </c>
      <c r="AV293" s="62" t="inlineStr">
        <is>
          <t>常规</t>
        </is>
      </c>
      <c r="AW293" s="62" t="inlineStr">
        <is>
          <t>累计至少385，不机械扩展到2401</t>
        </is>
      </c>
    </row>
    <row r="294" ht="94.15000000000001" customHeight="1" s="58">
      <c r="A294" s="32" t="inlineStr">
        <is>
          <t>L04-F0-W12</t>
        </is>
      </c>
      <c r="B294" s="32" t="inlineStr">
        <is>
          <t>L04</t>
        </is>
      </c>
      <c r="C294" s="32" t="inlineStr">
        <is>
          <t>Load Queue</t>
        </is>
      </c>
      <c r="D294" s="31" t="inlineStr">
        <is>
          <t>cache 返回到 LSU/LQ 的 load response transaction ID、目标动态指令和目的寄存器路由。多个在途 load 返回时必须与原请求一一配对。</t>
        </is>
      </c>
      <c r="E294" s="31" t="inlineStr">
        <is>
          <t>换值</t>
        </is>
      </c>
      <c r="F294"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4" s="31" t="inlineStr">
        <is>
          <t>F0</t>
        </is>
      </c>
      <c r="H294" s="31" t="inlineStr">
        <is>
          <t>每次运行只注入 1 次；在 warm-up 后的 eligible event 中均匀抽样</t>
        </is>
      </c>
      <c r="I294" s="31" t="inlineStr">
        <is>
          <t>SQLite-Speedtest1 真实应用（B树、事务与完整性检查）</t>
        </is>
      </c>
      <c r="J294" s="31" t="inlineStr">
        <is>
          <t>SQLite-Speedtest1 真实应用（B树、事务与完整性检查）
执行定义与 oracle：SQLite speedtest1 固定数据库与事务脚本；用 PRAGMA integrity_check、查询结果和数据库文件哈希作为 oracle</t>
        </is>
      </c>
      <c r="K294" s="31" t="inlineStr">
        <is>
          <t>同时存在至少两个在途load且发生cache response</t>
        </is>
      </c>
      <c r="L294" s="31" t="inlineStr">
        <is>
          <t>L1 LQ目标与response ID；L2请求-响应配对；L3返回line；L4目的寄存器、首个错误commit及扇出；L5结局</t>
        </is>
      </c>
      <c r="M294" s="31" t="inlineStr">
        <is>
          <t>两个响应数据各自合法但送错消费者，异常检测较弱，可能形成高SDC路径</t>
        </is>
      </c>
      <c r="N294" s="31" t="inlineStr">
        <is>
          <t>补足LQ除地址/状态之外的返回配对风险，与MSHR target错配形成端到端对照</t>
        </is>
      </c>
      <c r="O294" s="31" t="inlineStr">
        <is>
          <t>无直接字段级文献；与MSHR/ROB目标错配机制类比</t>
        </is>
      </c>
      <c r="P294" s="33" t="n"/>
      <c r="Q294" s="33" t="n"/>
      <c r="R294" s="33" t="n"/>
      <c r="S294" s="33" t="n"/>
      <c r="T294" s="33" t="n"/>
      <c r="U294" s="33" t="n"/>
      <c r="V294" s="33" t="n"/>
      <c r="W294" s="33" t="n"/>
      <c r="X294" s="36">
        <f>IF(OR(R294="",R294-AP294&lt;=0),"",AB294/(R294-AP294))</f>
        <v/>
      </c>
      <c r="Y294" s="36">
        <f>IF(OR(AR294="",AR294=0),"",R294/AR294)</f>
        <v/>
      </c>
      <c r="Z294" s="34" t="inlineStr">
        <is>
          <t>待执行</t>
        </is>
      </c>
      <c r="AA294" s="33" t="n"/>
      <c r="AB294" s="38" t="n"/>
      <c r="AC294" s="38" t="n"/>
      <c r="AD294" s="38" t="n"/>
      <c r="AE294" s="38" t="n"/>
      <c r="AF294" s="38" t="n"/>
      <c r="AG294" s="38" t="n"/>
      <c r="AH294" s="38" t="n"/>
      <c r="AI294" s="38" t="n"/>
      <c r="AJ294" s="38" t="n"/>
      <c r="AK294" s="39" t="n"/>
      <c r="AL294" s="40">
        <f>IF(OR(R294="",R294-AP294&lt;=0),"",AO294/(R294-AP294))</f>
        <v/>
      </c>
      <c r="AM294" s="41">
        <f>IF(R294="","",SUM(AC294:AF294)-(R294-AP294))</f>
        <v/>
      </c>
      <c r="AN294" s="41">
        <f>IF(R294="","",SUM(S294:W294)+AP294-R294)</f>
        <v/>
      </c>
      <c r="AO294" s="44" t="n"/>
      <c r="AP294" s="45" t="n"/>
      <c r="AQ294" s="47" t="inlineStr">
        <is>
          <t>L04-a response transaction ID替换；L04-b 同周期load返回目标互换</t>
        </is>
      </c>
      <c r="AR294" s="33" t="n"/>
      <c r="AS294" s="36">
        <f>IF(OR(Q294="",Q294=0),"",AR294/Q294)</f>
        <v/>
      </c>
      <c r="AT294" s="62" t="n">
        <v>30</v>
      </c>
      <c r="AU294" s="62" t="n">
        <v>385</v>
      </c>
      <c r="AV294" s="62" t="inlineStr">
        <is>
          <t>常规</t>
        </is>
      </c>
      <c r="AW294" s="62" t="inlineStr">
        <is>
          <t>累计至少385，不机械扩展到2401</t>
        </is>
      </c>
    </row>
    <row r="295" ht="94.15000000000001" customHeight="1" s="58">
      <c r="A295" s="32" t="inlineStr">
        <is>
          <t>L04-F2-W5</t>
        </is>
      </c>
      <c r="B295" s="32" t="inlineStr">
        <is>
          <t>L04</t>
        </is>
      </c>
      <c r="C295" s="32" t="inlineStr">
        <is>
          <t>Load Queue</t>
        </is>
      </c>
      <c r="D295" s="31" t="inlineStr">
        <is>
          <t>cache 返回到 LSU/LQ 的 load response transaction ID、目标动态指令和目的寄存器路由。多个在途 load 返回时必须与原请求一一配对。</t>
        </is>
      </c>
      <c r="E295" s="31" t="inlineStr">
        <is>
          <t>换值</t>
        </is>
      </c>
      <c r="F295"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5" s="31" t="inlineStr">
        <is>
          <t>F2</t>
        </is>
      </c>
      <c r="H295" s="31" t="inlineStr">
        <is>
          <t>平均每 100,000 个 eligible events 注入 1 次，间隔加入 ±50% 抖动</t>
        </is>
      </c>
      <c r="I295" s="31" t="inlineStr">
        <is>
          <t>SQ-Forward 转发探针（同地址/部分重叠 store-to-load forwarding、字节掩码、alias、replay）</t>
        </is>
      </c>
      <c r="J295" s="31" t="inlineStr">
        <is>
          <t>SQ-Forward 转发探针（同地址/部分重叠 store-to-load forwarding、字节掩码、alias、replay）
执行定义与 oracle：同地址与部分重叠 store-to-load forwarding、不同字节掩码、地址晚到/数据晚到、alias、replay</t>
        </is>
      </c>
      <c r="K295" s="31" t="inlineStr">
        <is>
          <t>同时存在至少两个在途load且发生cache response</t>
        </is>
      </c>
      <c r="L295" s="31" t="inlineStr">
        <is>
          <t>L1 LQ目标与response ID；L2请求-响应配对；L3返回line；L4目的寄存器、首个错误commit及扇出；L5结局</t>
        </is>
      </c>
      <c r="M295" s="31" t="inlineStr">
        <is>
          <t>两个响应数据各自合法但送错消费者，异常检测较弱，可能形成高SDC路径</t>
        </is>
      </c>
      <c r="N295" s="31" t="inlineStr">
        <is>
          <t>补足LQ除地址/状态之外的返回配对风险，与MSHR target错配形成端到端对照</t>
        </is>
      </c>
      <c r="O295" s="31" t="inlineStr">
        <is>
          <t>无直接字段级文献；与MSHR/ROB目标错配机制类比</t>
        </is>
      </c>
      <c r="P295" s="33" t="n"/>
      <c r="Q295" s="33" t="n"/>
      <c r="R295" s="33" t="n"/>
      <c r="S295" s="33" t="n"/>
      <c r="T295" s="33" t="n"/>
      <c r="U295" s="33" t="n"/>
      <c r="V295" s="33" t="n"/>
      <c r="W295" s="33" t="n"/>
      <c r="X295" s="36">
        <f>IF(OR(R295="",R295-AP295&lt;=0),"",AB295/(R295-AP295))</f>
        <v/>
      </c>
      <c r="Y295" s="36">
        <f>IF(OR(AR295="",AR295=0),"",R295/AR295)</f>
        <v/>
      </c>
      <c r="Z295" s="34" t="inlineStr">
        <is>
          <t>待执行</t>
        </is>
      </c>
      <c r="AA295" s="33" t="n"/>
      <c r="AB295" s="38" t="n"/>
      <c r="AC295" s="38" t="n"/>
      <c r="AD295" s="38" t="n"/>
      <c r="AE295" s="38" t="n"/>
      <c r="AF295" s="38" t="n"/>
      <c r="AG295" s="38" t="n"/>
      <c r="AH295" s="38" t="n"/>
      <c r="AI295" s="38" t="n"/>
      <c r="AJ295" s="38" t="n"/>
      <c r="AK295" s="39" t="n"/>
      <c r="AL295" s="40">
        <f>IF(OR(R295="",R295-AP295&lt;=0),"",AO295/(R295-AP295))</f>
        <v/>
      </c>
      <c r="AM295" s="41">
        <f>IF(R295="","",SUM(AC295:AF295)-(R295-AP295))</f>
        <v/>
      </c>
      <c r="AN295" s="41">
        <f>IF(R295="","",SUM(S295:W295)+AP295-R295)</f>
        <v/>
      </c>
      <c r="AO295" s="44" t="n"/>
      <c r="AP295" s="45" t="n"/>
      <c r="AQ295" s="47" t="inlineStr">
        <is>
          <t>L04-a response transaction ID替换；L04-b 同周期load返回目标互换</t>
        </is>
      </c>
      <c r="AR295" s="33" t="n"/>
      <c r="AS295" s="36">
        <f>IF(OR(Q295="",Q295=0),"",AR295/Q295)</f>
        <v/>
      </c>
      <c r="AT295" s="62" t="n">
        <v>30</v>
      </c>
      <c r="AU295" s="62" t="n">
        <v>385</v>
      </c>
      <c r="AV295" s="62" t="inlineStr">
        <is>
          <t>常规</t>
        </is>
      </c>
      <c r="AW295" s="62" t="inlineStr">
        <is>
          <t>累计至少385，不机械扩展到2401</t>
        </is>
      </c>
    </row>
    <row r="296" ht="94.15000000000001" customHeight="1" s="58">
      <c r="A296" s="32" t="inlineStr">
        <is>
          <t>L04-F2-W11</t>
        </is>
      </c>
      <c r="B296" s="32" t="inlineStr">
        <is>
          <t>L04</t>
        </is>
      </c>
      <c r="C296" s="32" t="inlineStr">
        <is>
          <t>Load Queue</t>
        </is>
      </c>
      <c r="D296" s="31" t="inlineStr">
        <is>
          <t>cache 返回到 LSU/LQ 的 load response transaction ID、目标动态指令和目的寄存器路由。多个在途 load 返回时必须与原请求一一配对。</t>
        </is>
      </c>
      <c r="E296" s="31" t="inlineStr">
        <is>
          <t>换值</t>
        </is>
      </c>
      <c r="F296"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6" s="31" t="inlineStr">
        <is>
          <t>F2</t>
        </is>
      </c>
      <c r="H296" s="31" t="inlineStr">
        <is>
          <t>平均每 100,000 个 eligible events 注入 1 次，间隔加入 ±50% 抖动</t>
        </is>
      </c>
      <c r="I296" s="31" t="inlineStr">
        <is>
          <t>SPEC CPU2017 采样区间</t>
        </is>
      </c>
      <c r="J296" s="31" t="inlineStr">
        <is>
          <t>SPEC CPU2017 采样区间
执行定义与 oracle：mcf、omnetpp、xalancbmk、lbm 的固定 SimPoint/checkpoint；使用参考输出或结果哈希</t>
        </is>
      </c>
      <c r="K296" s="31" t="inlineStr">
        <is>
          <t>同时存在至少两个在途load且发生cache response</t>
        </is>
      </c>
      <c r="L296" s="31" t="inlineStr">
        <is>
          <t>L1 LQ目标与response ID；L2请求-响应配对；L3返回line；L4目的寄存器、首个错误commit及扇出；L5结局</t>
        </is>
      </c>
      <c r="M296" s="31" t="inlineStr">
        <is>
          <t>两个响应数据各自合法但送错消费者，异常检测较弱，可能形成高SDC路径</t>
        </is>
      </c>
      <c r="N296" s="31" t="inlineStr">
        <is>
          <t>补足LQ除地址/状态之外的返回配对风险，与MSHR target错配形成端到端对照</t>
        </is>
      </c>
      <c r="O296" s="31" t="inlineStr">
        <is>
          <t>无直接字段级文献；与MSHR/ROB目标错配机制类比</t>
        </is>
      </c>
      <c r="P296" s="33" t="n"/>
      <c r="Q296" s="33" t="n"/>
      <c r="R296" s="33" t="n"/>
      <c r="S296" s="33" t="n"/>
      <c r="T296" s="33" t="n"/>
      <c r="U296" s="33" t="n"/>
      <c r="V296" s="33" t="n"/>
      <c r="W296" s="33" t="n"/>
      <c r="X296" s="36">
        <f>IF(OR(R296="",R296-AP296&lt;=0),"",AB296/(R296-AP296))</f>
        <v/>
      </c>
      <c r="Y296" s="36">
        <f>IF(OR(AR296="",AR296=0),"",R296/AR296)</f>
        <v/>
      </c>
      <c r="Z296" s="34" t="inlineStr">
        <is>
          <t>待执行</t>
        </is>
      </c>
      <c r="AA296" s="33" t="n"/>
      <c r="AB296" s="38" t="n"/>
      <c r="AC296" s="38" t="n"/>
      <c r="AD296" s="38" t="n"/>
      <c r="AE296" s="38" t="n"/>
      <c r="AF296" s="38" t="n"/>
      <c r="AG296" s="38" t="n"/>
      <c r="AH296" s="38" t="n"/>
      <c r="AI296" s="38" t="n"/>
      <c r="AJ296" s="38" t="n"/>
      <c r="AK296" s="39" t="n"/>
      <c r="AL296" s="40">
        <f>IF(OR(R296="",R296-AP296&lt;=0),"",AO296/(R296-AP296))</f>
        <v/>
      </c>
      <c r="AM296" s="41">
        <f>IF(R296="","",SUM(AC296:AF296)-(R296-AP296))</f>
        <v/>
      </c>
      <c r="AN296" s="41">
        <f>IF(R296="","",SUM(S296:W296)+AP296-R296)</f>
        <v/>
      </c>
      <c r="AO296" s="44" t="n"/>
      <c r="AP296" s="45" t="n"/>
      <c r="AQ296" s="47" t="inlineStr">
        <is>
          <t>L04-a response transaction ID替换；L04-b 同周期load返回目标互换</t>
        </is>
      </c>
      <c r="AR296" s="33" t="n"/>
      <c r="AS296" s="36">
        <f>IF(OR(Q296="",Q296=0),"",AR296/Q296)</f>
        <v/>
      </c>
      <c r="AT296" s="62" t="n">
        <v>30</v>
      </c>
      <c r="AU296" s="62" t="n">
        <v>385</v>
      </c>
      <c r="AV296" s="62" t="inlineStr">
        <is>
          <t>常规</t>
        </is>
      </c>
      <c r="AW296" s="62" t="inlineStr">
        <is>
          <t>累计至少385，不机械扩展到2401</t>
        </is>
      </c>
    </row>
    <row r="297" ht="94.15000000000001" customHeight="1" s="58">
      <c r="A297" s="32" t="inlineStr">
        <is>
          <t>L04-F2-W12</t>
        </is>
      </c>
      <c r="B297" s="32" t="inlineStr">
        <is>
          <t>L04</t>
        </is>
      </c>
      <c r="C297" s="32" t="inlineStr">
        <is>
          <t>Load Queue</t>
        </is>
      </c>
      <c r="D297" s="31" t="inlineStr">
        <is>
          <t>cache 返回到 LSU/LQ 的 load response transaction ID、目标动态指令和目的寄存器路由。多个在途 load 返回时必须与原请求一一配对。</t>
        </is>
      </c>
      <c r="E297" s="31" t="inlineStr">
        <is>
          <t>换值</t>
        </is>
      </c>
      <c r="F297"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7" s="31" t="inlineStr">
        <is>
          <t>F2</t>
        </is>
      </c>
      <c r="H297" s="31" t="inlineStr">
        <is>
          <t>平均每 100,000 个 eligible events 注入 1 次，间隔加入 ±50% 抖动</t>
        </is>
      </c>
      <c r="I297" s="31" t="inlineStr">
        <is>
          <t>SQLite-Speedtest1 真实应用（B树、事务与完整性检查）</t>
        </is>
      </c>
      <c r="J297" s="31" t="inlineStr">
        <is>
          <t>SQLite-Speedtest1 真实应用（B树、事务与完整性检查）
执行定义与 oracle：SQLite speedtest1 固定数据库与事务脚本；用 PRAGMA integrity_check、查询结果和数据库文件哈希作为 oracle</t>
        </is>
      </c>
      <c r="K297" s="31" t="inlineStr">
        <is>
          <t>同时存在至少两个在途load且发生cache response</t>
        </is>
      </c>
      <c r="L297" s="31" t="inlineStr">
        <is>
          <t>L1 LQ目标与response ID；L2请求-响应配对；L3返回line；L4目的寄存器、首个错误commit及扇出；L5结局</t>
        </is>
      </c>
      <c r="M297" s="31" t="inlineStr">
        <is>
          <t>两个响应数据各自合法但送错消费者，异常检测较弱，可能形成高SDC路径</t>
        </is>
      </c>
      <c r="N297" s="31" t="inlineStr">
        <is>
          <t>补足LQ除地址/状态之外的返回配对风险，与MSHR target错配形成端到端对照</t>
        </is>
      </c>
      <c r="O297" s="31" t="inlineStr">
        <is>
          <t>无直接字段级文献；与MSHR/ROB目标错配机制类比</t>
        </is>
      </c>
      <c r="P297" s="33" t="n"/>
      <c r="Q297" s="33" t="n"/>
      <c r="R297" s="33" t="n"/>
      <c r="S297" s="33" t="n"/>
      <c r="T297" s="33" t="n"/>
      <c r="U297" s="33" t="n"/>
      <c r="V297" s="33" t="n"/>
      <c r="W297" s="33" t="n"/>
      <c r="X297" s="36">
        <f>IF(OR(R297="",R297-AP297&lt;=0),"",AB297/(R297-AP297))</f>
        <v/>
      </c>
      <c r="Y297" s="36">
        <f>IF(OR(AR297="",AR297=0),"",R297/AR297)</f>
        <v/>
      </c>
      <c r="Z297" s="34" t="inlineStr">
        <is>
          <t>待执行</t>
        </is>
      </c>
      <c r="AA297" s="33" t="n"/>
      <c r="AB297" s="38" t="n"/>
      <c r="AC297" s="38" t="n"/>
      <c r="AD297" s="38" t="n"/>
      <c r="AE297" s="38" t="n"/>
      <c r="AF297" s="38" t="n"/>
      <c r="AG297" s="38" t="n"/>
      <c r="AH297" s="38" t="n"/>
      <c r="AI297" s="38" t="n"/>
      <c r="AJ297" s="38" t="n"/>
      <c r="AK297" s="39" t="n"/>
      <c r="AL297" s="40">
        <f>IF(OR(R297="",R297-AP297&lt;=0),"",AO297/(R297-AP297))</f>
        <v/>
      </c>
      <c r="AM297" s="41">
        <f>IF(R297="","",SUM(AC297:AF297)-(R297-AP297))</f>
        <v/>
      </c>
      <c r="AN297" s="41">
        <f>IF(R297="","",SUM(S297:W297)+AP297-R297)</f>
        <v/>
      </c>
      <c r="AO297" s="44" t="n"/>
      <c r="AP297" s="45" t="n"/>
      <c r="AQ297" s="47" t="inlineStr">
        <is>
          <t>L04-a response transaction ID替换；L04-b 同周期load返回目标互换</t>
        </is>
      </c>
      <c r="AR297" s="33" t="n"/>
      <c r="AS297" s="36">
        <f>IF(OR(Q297="",Q297=0),"",AR297/Q297)</f>
        <v/>
      </c>
      <c r="AT297" s="62" t="n">
        <v>30</v>
      </c>
      <c r="AU297" s="62" t="n">
        <v>385</v>
      </c>
      <c r="AV297" s="62" t="inlineStr">
        <is>
          <t>常规</t>
        </is>
      </c>
      <c r="AW297" s="62" t="inlineStr">
        <is>
          <t>累计至少385，不机械扩展到2401</t>
        </is>
      </c>
    </row>
    <row r="298" ht="94.15000000000001" customHeight="1" s="58">
      <c r="A298" s="32" t="inlineStr">
        <is>
          <t>L04-F6-W5</t>
        </is>
      </c>
      <c r="B298" s="32" t="inlineStr">
        <is>
          <t>L04</t>
        </is>
      </c>
      <c r="C298" s="32" t="inlineStr">
        <is>
          <t>Load Queue</t>
        </is>
      </c>
      <c r="D298" s="31" t="inlineStr">
        <is>
          <t>cache 返回到 LSU/LQ 的 load response transaction ID、目标动态指令和目的寄存器路由。多个在途 load 返回时必须与原请求一一配对。</t>
        </is>
      </c>
      <c r="E298" s="31" t="inlineStr">
        <is>
          <t>换值</t>
        </is>
      </c>
      <c r="F298"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8" s="31" t="inlineStr">
        <is>
          <t>F6</t>
        </is>
      </c>
      <c r="H298" s="31" t="inlineStr">
        <is>
          <t>首次出现指定事件时注入一次；仍以故障值被下游消费作为 activated 判据</t>
        </is>
      </c>
      <c r="I298" s="31" t="inlineStr">
        <is>
          <t>SQ-Forward 转发探针（同地址/部分重叠 store-to-load forwarding、字节掩码、alias、replay）</t>
        </is>
      </c>
      <c r="J298" s="31" t="inlineStr">
        <is>
          <t>SQ-Forward 转发探针（同地址/部分重叠 store-to-load forwarding、字节掩码、alias、replay）
执行定义与 oracle：同地址与部分重叠 store-to-load forwarding、不同字节掩码、地址晚到/数据晚到、alias、replay</t>
        </is>
      </c>
      <c r="K298" s="31" t="inlineStr">
        <is>
          <t>同时存在至少两个在途load且发生cache response</t>
        </is>
      </c>
      <c r="L298" s="31" t="inlineStr">
        <is>
          <t>L1 LQ目标与response ID；L2请求-响应配对；L3返回line；L4目的寄存器、首个错误commit及扇出；L5结局</t>
        </is>
      </c>
      <c r="M298" s="31" t="inlineStr">
        <is>
          <t>两个响应数据各自合法但送错消费者，异常检测较弱，可能形成高SDC路径</t>
        </is>
      </c>
      <c r="N298" s="31" t="inlineStr">
        <is>
          <t>补足LQ除地址/状态之外的返回配对风险，与MSHR target错配形成端到端对照</t>
        </is>
      </c>
      <c r="O298" s="31" t="inlineStr">
        <is>
          <t>无直接字段级文献；与MSHR/ROB目标错配机制类比</t>
        </is>
      </c>
      <c r="P298" s="33" t="n"/>
      <c r="Q298" s="33" t="n"/>
      <c r="R298" s="33" t="n"/>
      <c r="S298" s="33" t="n"/>
      <c r="T298" s="33" t="n"/>
      <c r="U298" s="33" t="n"/>
      <c r="V298" s="33" t="n"/>
      <c r="W298" s="33" t="n"/>
      <c r="X298" s="36">
        <f>IF(OR(R298="",R298-AP298&lt;=0),"",AB298/(R298-AP298))</f>
        <v/>
      </c>
      <c r="Y298" s="36">
        <f>IF(OR(AR298="",AR298=0),"",R298/AR298)</f>
        <v/>
      </c>
      <c r="Z298" s="34" t="inlineStr">
        <is>
          <t>待执行</t>
        </is>
      </c>
      <c r="AA298" s="33" t="n"/>
      <c r="AB298" s="38" t="n"/>
      <c r="AC298" s="38" t="n"/>
      <c r="AD298" s="38" t="n"/>
      <c r="AE298" s="38" t="n"/>
      <c r="AF298" s="38" t="n"/>
      <c r="AG298" s="38" t="n"/>
      <c r="AH298" s="38" t="n"/>
      <c r="AI298" s="38" t="n"/>
      <c r="AJ298" s="38" t="n"/>
      <c r="AK298" s="39" t="n"/>
      <c r="AL298" s="40">
        <f>IF(OR(R298="",R298-AP298&lt;=0),"",AO298/(R298-AP298))</f>
        <v/>
      </c>
      <c r="AM298" s="41">
        <f>IF(R298="","",SUM(AC298:AF298)-(R298-AP298))</f>
        <v/>
      </c>
      <c r="AN298" s="41">
        <f>IF(R298="","",SUM(S298:W298)+AP298-R298)</f>
        <v/>
      </c>
      <c r="AO298" s="44" t="n"/>
      <c r="AP298" s="45" t="n"/>
      <c r="AQ298" s="47" t="inlineStr">
        <is>
          <t>L04-a response transaction ID替换；L04-b 同周期load返回目标互换</t>
        </is>
      </c>
      <c r="AR298" s="33" t="n"/>
      <c r="AS298" s="36">
        <f>IF(OR(Q298="",Q298=0),"",AR298/Q298)</f>
        <v/>
      </c>
      <c r="AT298" s="62" t="n">
        <v>30</v>
      </c>
      <c r="AU298" s="62" t="n">
        <v>385</v>
      </c>
      <c r="AV298" s="62" t="inlineStr">
        <is>
          <t>常规</t>
        </is>
      </c>
      <c r="AW298" s="62" t="inlineStr">
        <is>
          <t>累计至少385，不机械扩展到2401</t>
        </is>
      </c>
    </row>
    <row r="299" ht="94.15000000000001" customHeight="1" s="58">
      <c r="A299" s="32" t="inlineStr">
        <is>
          <t>L04-F6-W11</t>
        </is>
      </c>
      <c r="B299" s="32" t="inlineStr">
        <is>
          <t>L04</t>
        </is>
      </c>
      <c r="C299" s="32" t="inlineStr">
        <is>
          <t>Load Queue</t>
        </is>
      </c>
      <c r="D299" s="31" t="inlineStr">
        <is>
          <t>cache 返回到 LSU/LQ 的 load response transaction ID、目标动态指令和目的寄存器路由。多个在途 load 返回时必须与原请求一一配对。</t>
        </is>
      </c>
      <c r="E299" s="31" t="inlineStr">
        <is>
          <t>换值</t>
        </is>
      </c>
      <c r="F299"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9" s="31" t="inlineStr">
        <is>
          <t>F6</t>
        </is>
      </c>
      <c r="H299" s="31" t="inlineStr">
        <is>
          <t>首次出现指定事件时注入一次；仍以故障值被下游消费作为 activated 判据</t>
        </is>
      </c>
      <c r="I299" s="31" t="inlineStr">
        <is>
          <t>SPEC CPU2017 采样区间</t>
        </is>
      </c>
      <c r="J299" s="31" t="inlineStr">
        <is>
          <t>SPEC CPU2017 采样区间
执行定义与 oracle：mcf、omnetpp、xalancbmk、lbm 的固定 SimPoint/checkpoint；使用参考输出或结果哈希</t>
        </is>
      </c>
      <c r="K299" s="31" t="inlineStr">
        <is>
          <t>同时存在至少两个在途load且发生cache response</t>
        </is>
      </c>
      <c r="L299" s="31" t="inlineStr">
        <is>
          <t>L1 LQ目标与response ID；L2请求-响应配对；L3返回line；L4目的寄存器、首个错误commit及扇出；L5结局</t>
        </is>
      </c>
      <c r="M299" s="31" t="inlineStr">
        <is>
          <t>两个响应数据各自合法但送错消费者，异常检测较弱，可能形成高SDC路径</t>
        </is>
      </c>
      <c r="N299" s="31" t="inlineStr">
        <is>
          <t>补足LQ除地址/状态之外的返回配对风险，与MSHR target错配形成端到端对照</t>
        </is>
      </c>
      <c r="O299" s="31" t="inlineStr">
        <is>
          <t>无直接字段级文献；与MSHR/ROB目标错配机制类比</t>
        </is>
      </c>
      <c r="P299" s="33" t="n"/>
      <c r="Q299" s="33" t="n"/>
      <c r="R299" s="33" t="n"/>
      <c r="S299" s="33" t="n"/>
      <c r="T299" s="33" t="n"/>
      <c r="U299" s="33" t="n"/>
      <c r="V299" s="33" t="n"/>
      <c r="W299" s="33" t="n"/>
      <c r="X299" s="36">
        <f>IF(OR(R299="",R299-AP299&lt;=0),"",AB299/(R299-AP299))</f>
        <v/>
      </c>
      <c r="Y299" s="36">
        <f>IF(OR(AR299="",AR299=0),"",R299/AR299)</f>
        <v/>
      </c>
      <c r="Z299" s="34" t="inlineStr">
        <is>
          <t>待执行</t>
        </is>
      </c>
      <c r="AA299" s="33" t="n"/>
      <c r="AB299" s="38" t="n"/>
      <c r="AC299" s="38" t="n"/>
      <c r="AD299" s="38" t="n"/>
      <c r="AE299" s="38" t="n"/>
      <c r="AF299" s="38" t="n"/>
      <c r="AG299" s="38" t="n"/>
      <c r="AH299" s="38" t="n"/>
      <c r="AI299" s="38" t="n"/>
      <c r="AJ299" s="38" t="n"/>
      <c r="AK299" s="39" t="n"/>
      <c r="AL299" s="40">
        <f>IF(OR(R299="",R299-AP299&lt;=0),"",AO299/(R299-AP299))</f>
        <v/>
      </c>
      <c r="AM299" s="41">
        <f>IF(R299="","",SUM(AC299:AF299)-(R299-AP299))</f>
        <v/>
      </c>
      <c r="AN299" s="41">
        <f>IF(R299="","",SUM(S299:W299)+AP299-R299)</f>
        <v/>
      </c>
      <c r="AO299" s="44" t="n"/>
      <c r="AP299" s="45" t="n"/>
      <c r="AQ299" s="47" t="inlineStr">
        <is>
          <t>L04-a response transaction ID替换；L04-b 同周期load返回目标互换</t>
        </is>
      </c>
      <c r="AR299" s="33" t="n"/>
      <c r="AS299" s="36">
        <f>IF(OR(Q299="",Q299=0),"",AR299/Q299)</f>
        <v/>
      </c>
      <c r="AT299" s="62" t="n">
        <v>30</v>
      </c>
      <c r="AU299" s="62" t="n">
        <v>385</v>
      </c>
      <c r="AV299" s="62" t="inlineStr">
        <is>
          <t>常规</t>
        </is>
      </c>
      <c r="AW299" s="62" t="inlineStr">
        <is>
          <t>累计至少385，不机械扩展到2401</t>
        </is>
      </c>
    </row>
    <row r="300" ht="94.15000000000001" customHeight="1" s="58">
      <c r="A300" s="32" t="inlineStr">
        <is>
          <t>L04-F6-W12</t>
        </is>
      </c>
      <c r="B300" s="32" t="inlineStr">
        <is>
          <t>L04</t>
        </is>
      </c>
      <c r="C300" s="32" t="inlineStr">
        <is>
          <t>Load Queue</t>
        </is>
      </c>
      <c r="D300" s="31" t="inlineStr">
        <is>
          <t>cache 返回到 LSU/LQ 的 load response transaction ID、目标动态指令和目的寄存器路由。多个在途 load 返回时必须与原请求一一配对。</t>
        </is>
      </c>
      <c r="E300" s="31" t="inlineStr">
        <is>
          <t>换值</t>
        </is>
      </c>
      <c r="F300"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300" s="31" t="inlineStr">
        <is>
          <t>F6</t>
        </is>
      </c>
      <c r="H300" s="31" t="inlineStr">
        <is>
          <t>首次出现指定事件时注入一次；仍以故障值被下游消费作为 activated 判据</t>
        </is>
      </c>
      <c r="I300" s="31" t="inlineStr">
        <is>
          <t>SQLite-Speedtest1 真实应用（B树、事务与完整性检查）</t>
        </is>
      </c>
      <c r="J300" s="31" t="inlineStr">
        <is>
          <t>SQLite-Speedtest1 真实应用（B树、事务与完整性检查）
执行定义与 oracle：SQLite speedtest1 固定数据库与事务脚本；用 PRAGMA integrity_check、查询结果和数据库文件哈希作为 oracle</t>
        </is>
      </c>
      <c r="K300" s="31" t="inlineStr">
        <is>
          <t>同时存在至少两个在途load且发生cache response</t>
        </is>
      </c>
      <c r="L300" s="31" t="inlineStr">
        <is>
          <t>L1 LQ目标与response ID；L2请求-响应配对；L3返回line；L4目的寄存器、首个错误commit及扇出；L5结局</t>
        </is>
      </c>
      <c r="M300" s="31" t="inlineStr">
        <is>
          <t>两个响应数据各自合法但送错消费者，异常检测较弱，可能形成高SDC路径</t>
        </is>
      </c>
      <c r="N300" s="31" t="inlineStr">
        <is>
          <t>补足LQ除地址/状态之外的返回配对风险，与MSHR target错配形成端到端对照</t>
        </is>
      </c>
      <c r="O300" s="31" t="inlineStr">
        <is>
          <t>无直接字段级文献；与MSHR/ROB目标错配机制类比</t>
        </is>
      </c>
      <c r="P300" s="33" t="n"/>
      <c r="Q300" s="33" t="n"/>
      <c r="R300" s="33" t="n"/>
      <c r="S300" s="33" t="n"/>
      <c r="T300" s="33" t="n"/>
      <c r="U300" s="33" t="n"/>
      <c r="V300" s="33" t="n"/>
      <c r="W300" s="33" t="n"/>
      <c r="X300" s="36">
        <f>IF(OR(R300="",R300-AP300&lt;=0),"",AB300/(R300-AP300))</f>
        <v/>
      </c>
      <c r="Y300" s="36">
        <f>IF(OR(AR300="",AR300=0),"",R300/AR300)</f>
        <v/>
      </c>
      <c r="Z300" s="34" t="inlineStr">
        <is>
          <t>待执行</t>
        </is>
      </c>
      <c r="AA300" s="33" t="n"/>
      <c r="AB300" s="38" t="n"/>
      <c r="AC300" s="38" t="n"/>
      <c r="AD300" s="38" t="n"/>
      <c r="AE300" s="38" t="n"/>
      <c r="AF300" s="38" t="n"/>
      <c r="AG300" s="38" t="n"/>
      <c r="AH300" s="38" t="n"/>
      <c r="AI300" s="38" t="n"/>
      <c r="AJ300" s="38" t="n"/>
      <c r="AK300" s="39" t="n"/>
      <c r="AL300" s="40">
        <f>IF(OR(R300="",R300-AP300&lt;=0),"",AO300/(R300-AP300))</f>
        <v/>
      </c>
      <c r="AM300" s="41">
        <f>IF(R300="","",SUM(AC300:AF300)-(R300-AP300))</f>
        <v/>
      </c>
      <c r="AN300" s="41">
        <f>IF(R300="","",SUM(S300:W300)+AP300-R300)</f>
        <v/>
      </c>
      <c r="AO300" s="44" t="n"/>
      <c r="AP300" s="45" t="n"/>
      <c r="AQ300" s="47" t="inlineStr">
        <is>
          <t>L04-a response transaction ID替换；L04-b 同周期load返回目标互换</t>
        </is>
      </c>
      <c r="AR300" s="33" t="n"/>
      <c r="AS300" s="36">
        <f>IF(OR(Q300="",Q300=0),"",AR300/Q300)</f>
        <v/>
      </c>
      <c r="AT300" s="62" t="n">
        <v>30</v>
      </c>
      <c r="AU300" s="62" t="n">
        <v>385</v>
      </c>
      <c r="AV300" s="62" t="inlineStr">
        <is>
          <t>常规</t>
        </is>
      </c>
      <c r="AW300" s="62" t="inlineStr">
        <is>
          <t>累计至少385，不机械扩展到2401</t>
        </is>
      </c>
    </row>
    <row r="301" ht="94.15000000000001" customHeight="1" s="58">
      <c r="A301" s="32" t="inlineStr">
        <is>
          <t>C14-F5-W6</t>
        </is>
      </c>
      <c r="B301" s="32" t="inlineStr">
        <is>
          <t>C14</t>
        </is>
      </c>
      <c r="C301" s="32" t="inlineStr">
        <is>
          <t>L1d-Cache</t>
        </is>
      </c>
      <c r="D301" s="31" t="inlineStr">
        <is>
          <t>L1D MSHR 表项的 busy/occupied 状态和释放路径。请求完成后表项应准确释放；状态卡死会逐步耗尽可用 MSHR。</t>
        </is>
      </c>
      <c r="E301" s="31" t="inlineStr">
        <is>
          <t>卡死</t>
        </is>
      </c>
      <c r="F301" s="31" t="inlineStr">
        <is>
          <t>warm-up 后选择一个 MSHR 表项，使 busy/occupied stuck-at-1；对应 miss 正常完成，但表项不回到 free list。每次运行只固定一个表项，并记录实际可用容量、排队长度和是否形成死锁。</t>
        </is>
      </c>
      <c r="G301" s="31" t="inlineStr">
        <is>
          <t>F5</t>
        </is>
      </c>
      <c r="H301" s="31" t="inlineStr">
        <is>
          <t>warm-up 后第一个 eligible event 起持续到运行结束；每次运行仅选一个 bit/字段</t>
        </is>
      </c>
      <c r="I301" s="31" t="inlineStr">
        <is>
          <t>Cache-DirtyEvict 缓存探针（0.5×/1×/2×L1D working set、conflict set、dirty eviction、writeback）</t>
        </is>
      </c>
      <c r="J301" s="31" t="inlineStr">
        <is>
          <t>Cache-DirtyEvict 缓存探针（0.5×/1×/2×L1D working set、conflict set、dirty eviction、writeback）
执行定义与 oracle：working set=0.5×/1×/2×L1D；读改写、dirty eviction、writeback、conflict set、共享行 false sharing</t>
        </is>
      </c>
      <c r="K301" s="31" t="inlineStr">
        <is>
          <t>目标MSHR首次完成并应释放后持续</t>
        </is>
      </c>
      <c r="L301" s="31" t="inlineStr">
        <is>
          <t>L1 MSHR占用与free list；L2 miss发射/阻塞；L3fill完成；L4提交进度；L5性能、Timeout和结局</t>
        </is>
      </c>
      <c r="M301" s="31" t="inlineStr">
        <is>
          <t>主要表现为容量退化和Timeout；若实现错误复用被占用表项，则可能升级为数据错配</t>
        </is>
      </c>
      <c r="N301" s="31" t="inlineStr">
        <is>
          <t>恢复旧版已有的MSHR资源泄漏模型，与C11的数据/target错配分开归因</t>
        </is>
      </c>
      <c r="O301" s="31" t="inlineStr">
        <is>
          <t>无直接文献；资源状态机制推理</t>
        </is>
      </c>
      <c r="P301" s="33" t="n"/>
      <c r="Q301" s="33" t="n"/>
      <c r="R301" s="33" t="n"/>
      <c r="S301" s="33" t="n"/>
      <c r="T301" s="33" t="n"/>
      <c r="U301" s="33" t="n"/>
      <c r="V301" s="33" t="n"/>
      <c r="W301" s="33" t="n"/>
      <c r="X301" s="36">
        <f>IF(OR(R301="",R301-AP301&lt;=0),"",AB301/(R301-AP301))</f>
        <v/>
      </c>
      <c r="Y301" s="36">
        <f>IF(OR(AR301="",AR301=0),"",R301/AR301)</f>
        <v/>
      </c>
      <c r="Z301" s="34" t="inlineStr">
        <is>
          <t>待执行</t>
        </is>
      </c>
      <c r="AA301" s="33" t="n"/>
      <c r="AB301" s="38" t="n"/>
      <c r="AC301" s="38" t="n"/>
      <c r="AD301" s="38" t="n"/>
      <c r="AE301" s="38" t="n"/>
      <c r="AF301" s="38" t="n"/>
      <c r="AG301" s="38" t="n"/>
      <c r="AH301" s="38" t="n"/>
      <c r="AI301" s="38" t="n"/>
      <c r="AJ301" s="38" t="n"/>
      <c r="AK301" s="39" t="n"/>
      <c r="AL301" s="40">
        <f>IF(OR(R301="",R301-AP301&lt;=0),"",AO301/(R301-AP301))</f>
        <v/>
      </c>
      <c r="AM301" s="41">
        <f>IF(R301="","",SUM(AC301:AF301)-(R301-AP301))</f>
        <v/>
      </c>
      <c r="AN301" s="41">
        <f>IF(R301="","",SUM(S301:W301)+AP301-R301)</f>
        <v/>
      </c>
      <c r="AO301" s="44" t="n"/>
      <c r="AP301" s="45" t="n"/>
      <c r="AQ301" s="47" t="inlineStr">
        <is>
          <t>C14-a MSHR busy stuck-at-1</t>
        </is>
      </c>
      <c r="AR301" s="33" t="n"/>
      <c r="AS301" s="36">
        <f>IF(OR(Q301="",Q301=0),"",AR301/Q301)</f>
        <v/>
      </c>
      <c r="AT301" s="62" t="n">
        <v>30</v>
      </c>
      <c r="AU301" s="62" t="n">
        <v>385</v>
      </c>
      <c r="AV301" s="62" t="inlineStr">
        <is>
          <t>常规</t>
        </is>
      </c>
      <c r="AW301" s="62" t="inlineStr">
        <is>
          <t>累计至少385，不机械扩展到2401</t>
        </is>
      </c>
    </row>
    <row r="302" ht="94.15000000000001" customHeight="1" s="58">
      <c r="A302" s="32" t="inlineStr">
        <is>
          <t>C14-F5-W10</t>
        </is>
      </c>
      <c r="B302" s="32" t="inlineStr">
        <is>
          <t>C14</t>
        </is>
      </c>
      <c r="C302" s="32" t="inlineStr">
        <is>
          <t>L1d-Cache</t>
        </is>
      </c>
      <c r="D302" s="31" t="inlineStr">
        <is>
          <t>L1D MSHR 表项的 busy/occupied 状态和释放路径。请求完成后表项应准确释放；状态卡死会逐步耗尽可用 MSHR。</t>
        </is>
      </c>
      <c r="E302" s="31" t="inlineStr">
        <is>
          <t>卡死</t>
        </is>
      </c>
      <c r="F302" s="31" t="inlineStr">
        <is>
          <t>warm-up 后选择一个 MSHR 表项，使 busy/occupied stuck-at-1；对应 miss 正常完成，但表项不回到 free list。每次运行只固定一个表项，并记录实际可用容量、排队长度和是否形成死锁。</t>
        </is>
      </c>
      <c r="G302" s="31" t="inlineStr">
        <is>
          <t>F5</t>
        </is>
      </c>
      <c r="H302" s="31" t="inlineStr">
        <is>
          <t>warm-up 后第一个 eligible event 起持续到运行结束；每次运行仅选一个 bit/字段</t>
        </is>
      </c>
      <c r="I302" s="31" t="inlineStr">
        <is>
          <t>STREAM+PointerChase（Copy、Scale、Add、Triad 与随机指针链）</t>
        </is>
      </c>
      <c r="J302" s="31" t="inlineStr">
        <is>
          <t>STREAM+PointerChase（Copy、Scale、Add、Triad 与随机指针链）
执行定义与 oracle：STREAM Copy/Scale/Add/Triad 加随机 pointer chase；检查数组 hash 与遍历节点数</t>
        </is>
      </c>
      <c r="K302" s="31" t="inlineStr">
        <is>
          <t>目标MSHR首次完成并应释放后持续</t>
        </is>
      </c>
      <c r="L302" s="31" t="inlineStr">
        <is>
          <t>L1 MSHR占用与free list；L2 miss发射/阻塞；L3fill完成；L4提交进度；L5性能、Timeout和结局</t>
        </is>
      </c>
      <c r="M302" s="31" t="inlineStr">
        <is>
          <t>主要表现为容量退化和Timeout；若实现错误复用被占用表项，则可能升级为数据错配</t>
        </is>
      </c>
      <c r="N302" s="31" t="inlineStr">
        <is>
          <t>恢复旧版已有的MSHR资源泄漏模型，与C11的数据/target错配分开归因</t>
        </is>
      </c>
      <c r="O302" s="31" t="inlineStr">
        <is>
          <t>无直接文献；资源状态机制推理</t>
        </is>
      </c>
      <c r="P302" s="33" t="n"/>
      <c r="Q302" s="33" t="n"/>
      <c r="R302" s="33" t="n"/>
      <c r="S302" s="33" t="n"/>
      <c r="T302" s="33" t="n"/>
      <c r="U302" s="33" t="n"/>
      <c r="V302" s="33" t="n"/>
      <c r="W302" s="33" t="n"/>
      <c r="X302" s="36">
        <f>IF(OR(R302="",R302-AP302&lt;=0),"",AB302/(R302-AP302))</f>
        <v/>
      </c>
      <c r="Y302" s="36">
        <f>IF(OR(AR302="",AR302=0),"",R302/AR302)</f>
        <v/>
      </c>
      <c r="Z302" s="34" t="inlineStr">
        <is>
          <t>待执行</t>
        </is>
      </c>
      <c r="AA302" s="33" t="n"/>
      <c r="AB302" s="38" t="n"/>
      <c r="AC302" s="38" t="n"/>
      <c r="AD302" s="38" t="n"/>
      <c r="AE302" s="38" t="n"/>
      <c r="AF302" s="38" t="n"/>
      <c r="AG302" s="38" t="n"/>
      <c r="AH302" s="38" t="n"/>
      <c r="AI302" s="38" t="n"/>
      <c r="AJ302" s="38" t="n"/>
      <c r="AK302" s="39" t="n"/>
      <c r="AL302" s="40">
        <f>IF(OR(R302="",R302-AP302&lt;=0),"",AO302/(R302-AP302))</f>
        <v/>
      </c>
      <c r="AM302" s="41">
        <f>IF(R302="","",SUM(AC302:AF302)-(R302-AP302))</f>
        <v/>
      </c>
      <c r="AN302" s="41">
        <f>IF(R302="","",SUM(S302:W302)+AP302-R302)</f>
        <v/>
      </c>
      <c r="AO302" s="44" t="n"/>
      <c r="AP302" s="45" t="n"/>
      <c r="AQ302" s="47" t="inlineStr">
        <is>
          <t>C14-a MSHR busy stuck-at-1</t>
        </is>
      </c>
      <c r="AR302" s="33" t="n"/>
      <c r="AS302" s="36">
        <f>IF(OR(Q302="",Q302=0),"",AR302/Q302)</f>
        <v/>
      </c>
      <c r="AT302" s="62" t="n">
        <v>30</v>
      </c>
      <c r="AU302" s="62" t="n">
        <v>385</v>
      </c>
      <c r="AV302" s="62" t="inlineStr">
        <is>
          <t>常规</t>
        </is>
      </c>
      <c r="AW302" s="62" t="inlineStr">
        <is>
          <t>累计至少385，不机械扩展到2401</t>
        </is>
      </c>
    </row>
    <row r="303" ht="94.15000000000001" customHeight="1" s="58">
      <c r="A303" s="32" t="inlineStr">
        <is>
          <t>C15-F0-W6</t>
        </is>
      </c>
      <c r="B303" s="32" t="inlineStr">
        <is>
          <t>C15</t>
        </is>
      </c>
      <c r="C303" s="32" t="inlineStr">
        <is>
          <t>L1d-Cache</t>
        </is>
      </c>
      <c r="D303" s="31" t="inlineStr">
        <is>
          <t>L1D MSHR occupancy counter、free-list 和容量仲裁逻辑。它决定是否允许新 miss 分配以及选择哪个空闲表项。</t>
        </is>
      </c>
      <c r="E303" s="31" t="inlineStr">
        <is>
          <t>状态/换值</t>
        </is>
      </c>
      <c r="F303" s="31" t="inlineStr">
        <is>
          <t>独立执行三种子模型：占用计数±1、在容量已满时伪造空位、free-list选择另一在用表项。仅在仲裁结果真正允许/阻止一次miss分配时计为 activated；不得与C11 target错配同时注入。</t>
        </is>
      </c>
      <c r="G303" s="31" t="inlineStr">
        <is>
          <t>F0</t>
        </is>
      </c>
      <c r="H303" s="31" t="inlineStr">
        <is>
          <t>每次运行只注入 1 次；在 warm-up 后的 eligible event 中均匀抽样</t>
        </is>
      </c>
      <c r="I303" s="31" t="inlineStr">
        <is>
          <t>Cache-DirtyEvict 缓存探针（0.5×/1×/2×L1D working set、conflict set、dirty eviction、writeback）</t>
        </is>
      </c>
      <c r="J303" s="31" t="inlineStr">
        <is>
          <t>Cache-DirtyEvict 缓存探针（0.5×/1×/2×L1D working set、conflict set、dirty eviction、writeback）
执行定义与 oracle：working set=0.5×/1×/2×L1D；读改写、dirty eviction、writeback、conflict set、共享行 false sharing</t>
        </is>
      </c>
      <c r="K303" s="31" t="inlineStr">
        <is>
          <t>MSHR接近或达到容量上限时发生新miss分配</t>
        </is>
      </c>
      <c r="L303" s="31" t="inlineStr">
        <is>
          <t>L1 occupancy/free-list守恒；L2分配、阻塞和覆盖对象；L3fill transaction ID；L4错误load值/停顿；L5结局</t>
        </is>
      </c>
      <c r="M303" s="31" t="inlineStr">
        <is>
          <t>少计可能覆盖在用表项并造成响应错配或SDC；多计主要降低并发度并增加Timeout风险</t>
        </is>
      </c>
      <c r="N303" s="31" t="inlineStr">
        <is>
          <t>补回旧版容量计数逻辑，并显式区分资源记账错误与MSHR内容错误</t>
        </is>
      </c>
      <c r="O303" s="31" t="inlineStr">
        <is>
          <t>无直接文献；MSHR容量和并发miss机制推理</t>
        </is>
      </c>
      <c r="P303" s="33" t="n"/>
      <c r="Q303" s="33" t="n"/>
      <c r="R303" s="33" t="n"/>
      <c r="S303" s="33" t="n"/>
      <c r="T303" s="33" t="n"/>
      <c r="U303" s="33" t="n"/>
      <c r="V303" s="33" t="n"/>
      <c r="W303" s="33" t="n"/>
      <c r="X303" s="36">
        <f>IF(OR(R303="",R303-AP303&lt;=0),"",AB303/(R303-AP303))</f>
        <v/>
      </c>
      <c r="Y303" s="36">
        <f>IF(OR(AR303="",AR303=0),"",R303/AR303)</f>
        <v/>
      </c>
      <c r="Z303" s="34" t="inlineStr">
        <is>
          <t>待执行</t>
        </is>
      </c>
      <c r="AA303" s="33" t="n"/>
      <c r="AB303" s="38" t="n"/>
      <c r="AC303" s="38" t="n"/>
      <c r="AD303" s="38" t="n"/>
      <c r="AE303" s="38" t="n"/>
      <c r="AF303" s="38" t="n"/>
      <c r="AG303" s="38" t="n"/>
      <c r="AH303" s="38" t="n"/>
      <c r="AI303" s="38" t="n"/>
      <c r="AJ303" s="38" t="n"/>
      <c r="AK303" s="39" t="n"/>
      <c r="AL303" s="40">
        <f>IF(OR(R303="",R303-AP303&lt;=0),"",AO303/(R303-AP303))</f>
        <v/>
      </c>
      <c r="AM303" s="41">
        <f>IF(R303="","",SUM(AC303:AF303)-(R303-AP303))</f>
        <v/>
      </c>
      <c r="AN303" s="41">
        <f>IF(R303="","",SUM(S303:W303)+AP303-R303)</f>
        <v/>
      </c>
      <c r="AO303" s="44" t="n"/>
      <c r="AP303" s="45" t="n"/>
      <c r="AQ303" s="47" t="inlineStr">
        <is>
          <t>C15-a occupancy计数±1；C15-b 伪free/full；C15-c 选择错误used entry</t>
        </is>
      </c>
      <c r="AR303" s="33" t="n"/>
      <c r="AS303" s="36">
        <f>IF(OR(Q303="",Q303=0),"",AR303/Q303)</f>
        <v/>
      </c>
      <c r="AT303" s="62" t="n">
        <v>30</v>
      </c>
      <c r="AU303" s="62" t="n">
        <v>385</v>
      </c>
      <c r="AV303" s="62" t="inlineStr">
        <is>
          <t>常规</t>
        </is>
      </c>
      <c r="AW303" s="62" t="inlineStr">
        <is>
          <t>累计至少385，不机械扩展到2401</t>
        </is>
      </c>
    </row>
    <row r="304" ht="94.15000000000001" customHeight="1" s="58">
      <c r="A304" s="32" t="inlineStr">
        <is>
          <t>C15-F0-W10</t>
        </is>
      </c>
      <c r="B304" s="32" t="inlineStr">
        <is>
          <t>C15</t>
        </is>
      </c>
      <c r="C304" s="32" t="inlineStr">
        <is>
          <t>L1d-Cache</t>
        </is>
      </c>
      <c r="D304" s="31" t="inlineStr">
        <is>
          <t>L1D MSHR occupancy counter、free-list 和容量仲裁逻辑。它决定是否允许新 miss 分配以及选择哪个空闲表项。</t>
        </is>
      </c>
      <c r="E304" s="31" t="inlineStr">
        <is>
          <t>状态/换值</t>
        </is>
      </c>
      <c r="F304" s="31" t="inlineStr">
        <is>
          <t>独立执行三种子模型：占用计数±1、在容量已满时伪造空位、free-list选择另一在用表项。仅在仲裁结果真正允许/阻止一次miss分配时计为 activated；不得与C11 target错配同时注入。</t>
        </is>
      </c>
      <c r="G304" s="31" t="inlineStr">
        <is>
          <t>F0</t>
        </is>
      </c>
      <c r="H304" s="31" t="inlineStr">
        <is>
          <t>每次运行只注入 1 次；在 warm-up 后的 eligible event 中均匀抽样</t>
        </is>
      </c>
      <c r="I304" s="31" t="inlineStr">
        <is>
          <t>STREAM+PointerChase（Copy、Scale、Add、Triad 与随机指针链）</t>
        </is>
      </c>
      <c r="J304" s="31" t="inlineStr">
        <is>
          <t>STREAM+PointerChase（Copy、Scale、Add、Triad 与随机指针链）
执行定义与 oracle：STREAM Copy/Scale/Add/Triad 加随机 pointer chase；检查数组 hash 与遍历节点数</t>
        </is>
      </c>
      <c r="K304" s="31" t="inlineStr">
        <is>
          <t>MSHR接近或达到容量上限时发生新miss分配</t>
        </is>
      </c>
      <c r="L304" s="31" t="inlineStr">
        <is>
          <t>L1 occupancy/free-list守恒；L2分配、阻塞和覆盖对象；L3fill transaction ID；L4错误load值/停顿；L5结局</t>
        </is>
      </c>
      <c r="M304" s="31" t="inlineStr">
        <is>
          <t>少计可能覆盖在用表项并造成响应错配或SDC；多计主要降低并发度并增加Timeout风险</t>
        </is>
      </c>
      <c r="N304" s="31" t="inlineStr">
        <is>
          <t>补回旧版容量计数逻辑，并显式区分资源记账错误与MSHR内容错误</t>
        </is>
      </c>
      <c r="O304" s="31" t="inlineStr">
        <is>
          <t>无直接文献；MSHR容量和并发miss机制推理</t>
        </is>
      </c>
      <c r="P304" s="33" t="n"/>
      <c r="Q304" s="33" t="n"/>
      <c r="R304" s="33" t="n"/>
      <c r="S304" s="33" t="n"/>
      <c r="T304" s="33" t="n"/>
      <c r="U304" s="33" t="n"/>
      <c r="V304" s="33" t="n"/>
      <c r="W304" s="33" t="n"/>
      <c r="X304" s="36">
        <f>IF(OR(R304="",R304-AP304&lt;=0),"",AB304/(R304-AP304))</f>
        <v/>
      </c>
      <c r="Y304" s="36">
        <f>IF(OR(AR304="",AR304=0),"",R304/AR304)</f>
        <v/>
      </c>
      <c r="Z304" s="34" t="inlineStr">
        <is>
          <t>待执行</t>
        </is>
      </c>
      <c r="AA304" s="33" t="n"/>
      <c r="AB304" s="38" t="n"/>
      <c r="AC304" s="38" t="n"/>
      <c r="AD304" s="38" t="n"/>
      <c r="AE304" s="38" t="n"/>
      <c r="AF304" s="38" t="n"/>
      <c r="AG304" s="38" t="n"/>
      <c r="AH304" s="38" t="n"/>
      <c r="AI304" s="38" t="n"/>
      <c r="AJ304" s="38" t="n"/>
      <c r="AK304" s="39" t="n"/>
      <c r="AL304" s="40">
        <f>IF(OR(R304="",R304-AP304&lt;=0),"",AO304/(R304-AP304))</f>
        <v/>
      </c>
      <c r="AM304" s="41">
        <f>IF(R304="","",SUM(AC304:AF304)-(R304-AP304))</f>
        <v/>
      </c>
      <c r="AN304" s="41">
        <f>IF(R304="","",SUM(S304:W304)+AP304-R304)</f>
        <v/>
      </c>
      <c r="AO304" s="44" t="n"/>
      <c r="AP304" s="45" t="n"/>
      <c r="AQ304" s="47" t="inlineStr">
        <is>
          <t>C15-a occupancy计数±1；C15-b 伪free/full；C15-c 选择错误used entry</t>
        </is>
      </c>
      <c r="AR304" s="33" t="n"/>
      <c r="AS304" s="36">
        <f>IF(OR(Q304="",Q304=0),"",AR304/Q304)</f>
        <v/>
      </c>
      <c r="AT304" s="62" t="n">
        <v>30</v>
      </c>
      <c r="AU304" s="62" t="n">
        <v>385</v>
      </c>
      <c r="AV304" s="62" t="inlineStr">
        <is>
          <t>常规</t>
        </is>
      </c>
      <c r="AW304" s="62" t="inlineStr">
        <is>
          <t>累计至少385，不机械扩展到2401</t>
        </is>
      </c>
    </row>
    <row r="305" ht="94.15000000000001" customHeight="1" s="58">
      <c r="A305" s="32" t="inlineStr">
        <is>
          <t>C15-F0-W11</t>
        </is>
      </c>
      <c r="B305" s="32" t="inlineStr">
        <is>
          <t>C15</t>
        </is>
      </c>
      <c r="C305" s="32" t="inlineStr">
        <is>
          <t>L1d-Cache</t>
        </is>
      </c>
      <c r="D305" s="31" t="inlineStr">
        <is>
          <t>L1D MSHR occupancy counter、free-list 和容量仲裁逻辑。它决定是否允许新 miss 分配以及选择哪个空闲表项。</t>
        </is>
      </c>
      <c r="E305" s="31" t="inlineStr">
        <is>
          <t>状态/换值</t>
        </is>
      </c>
      <c r="F305" s="31" t="inlineStr">
        <is>
          <t>独立执行三种子模型：占用计数±1、在容量已满时伪造空位、free-list选择另一在用表项。仅在仲裁结果真正允许/阻止一次miss分配时计为 activated；不得与C11 target错配同时注入。</t>
        </is>
      </c>
      <c r="G305" s="31" t="inlineStr">
        <is>
          <t>F0</t>
        </is>
      </c>
      <c r="H305" s="31" t="inlineStr">
        <is>
          <t>每次运行只注入 1 次；在 warm-up 后的 eligible event 中均匀抽样</t>
        </is>
      </c>
      <c r="I305" s="31" t="inlineStr">
        <is>
          <t>SPEC CPU2017 采样区间</t>
        </is>
      </c>
      <c r="J305" s="31" t="inlineStr">
        <is>
          <t>SPEC CPU2017 采样区间
执行定义与 oracle：mcf、omnetpp、xalancbmk、lbm 的固定 SimPoint/checkpoint；使用参考输出或结果哈希</t>
        </is>
      </c>
      <c r="K305" s="31" t="inlineStr">
        <is>
          <t>MSHR接近或达到容量上限时发生新miss分配</t>
        </is>
      </c>
      <c r="L305" s="31" t="inlineStr">
        <is>
          <t>L1 occupancy/free-list守恒；L2分配、阻塞和覆盖对象；L3fill transaction ID；L4错误load值/停顿；L5结局</t>
        </is>
      </c>
      <c r="M305" s="31" t="inlineStr">
        <is>
          <t>少计可能覆盖在用表项并造成响应错配或SDC；多计主要降低并发度并增加Timeout风险</t>
        </is>
      </c>
      <c r="N305" s="31" t="inlineStr">
        <is>
          <t>补回旧版容量计数逻辑，并显式区分资源记账错误与MSHR内容错误</t>
        </is>
      </c>
      <c r="O305" s="31" t="inlineStr">
        <is>
          <t>无直接文献；MSHR容量和并发miss机制推理</t>
        </is>
      </c>
      <c r="P305" s="33" t="n"/>
      <c r="Q305" s="33" t="n"/>
      <c r="R305" s="33" t="n"/>
      <c r="S305" s="33" t="n"/>
      <c r="T305" s="33" t="n"/>
      <c r="U305" s="33" t="n"/>
      <c r="V305" s="33" t="n"/>
      <c r="W305" s="33" t="n"/>
      <c r="X305" s="36">
        <f>IF(OR(R305="",R305-AP305&lt;=0),"",AB305/(R305-AP305))</f>
        <v/>
      </c>
      <c r="Y305" s="36">
        <f>IF(OR(AR305="",AR305=0),"",R305/AR305)</f>
        <v/>
      </c>
      <c r="Z305" s="34" t="inlineStr">
        <is>
          <t>待执行</t>
        </is>
      </c>
      <c r="AA305" s="33" t="n"/>
      <c r="AB305" s="38" t="n"/>
      <c r="AC305" s="38" t="n"/>
      <c r="AD305" s="38" t="n"/>
      <c r="AE305" s="38" t="n"/>
      <c r="AF305" s="38" t="n"/>
      <c r="AG305" s="38" t="n"/>
      <c r="AH305" s="38" t="n"/>
      <c r="AI305" s="38" t="n"/>
      <c r="AJ305" s="38" t="n"/>
      <c r="AK305" s="39" t="n"/>
      <c r="AL305" s="40">
        <f>IF(OR(R305="",R305-AP305&lt;=0),"",AO305/(R305-AP305))</f>
        <v/>
      </c>
      <c r="AM305" s="41">
        <f>IF(R305="","",SUM(AC305:AF305)-(R305-AP305))</f>
        <v/>
      </c>
      <c r="AN305" s="41">
        <f>IF(R305="","",SUM(S305:W305)+AP305-R305)</f>
        <v/>
      </c>
      <c r="AO305" s="44" t="n"/>
      <c r="AP305" s="45" t="n"/>
      <c r="AQ305" s="47" t="inlineStr">
        <is>
          <t>C15-a occupancy计数±1；C15-b 伪free/full；C15-c 选择错误used entry</t>
        </is>
      </c>
      <c r="AR305" s="33" t="n"/>
      <c r="AS305" s="36">
        <f>IF(OR(Q305="",Q305=0),"",AR305/Q305)</f>
        <v/>
      </c>
      <c r="AT305" s="62" t="n">
        <v>30</v>
      </c>
      <c r="AU305" s="62" t="n">
        <v>385</v>
      </c>
      <c r="AV305" s="62" t="inlineStr">
        <is>
          <t>常规</t>
        </is>
      </c>
      <c r="AW305" s="62" t="inlineStr">
        <is>
          <t>累计至少385，不机械扩展到2401</t>
        </is>
      </c>
    </row>
    <row r="306" ht="94.15000000000001" customHeight="1" s="58">
      <c r="A306" s="32" t="inlineStr">
        <is>
          <t>C15-F4-W6</t>
        </is>
      </c>
      <c r="B306" s="32" t="inlineStr">
        <is>
          <t>C15</t>
        </is>
      </c>
      <c r="C306" s="32" t="inlineStr">
        <is>
          <t>L1d-Cache</t>
        </is>
      </c>
      <c r="D306" s="31" t="inlineStr">
        <is>
          <t>L1D MSHR occupancy counter、free-list 和容量仲裁逻辑。它决定是否允许新 miss 分配以及选择哪个空闲表项。</t>
        </is>
      </c>
      <c r="E306" s="31" t="inlineStr">
        <is>
          <t>状态/换值</t>
        </is>
      </c>
      <c r="F306" s="31" t="inlineStr">
        <is>
          <t>独立执行三种子模型：占用计数±1、在容量已满时伪造空位、free-list选择另一在用表项。仅在仲裁结果真正允许/阻止一次miss分配时计为 activated；不得与C11 target错配同时注入。</t>
        </is>
      </c>
      <c r="G306" s="31" t="inlineStr">
        <is>
          <t>F4</t>
        </is>
      </c>
      <c r="H306" s="31" t="inlineStr">
        <is>
          <t>每 100,000 个 eligible events 触发一次，连续污染 2-4 个 eligible events</t>
        </is>
      </c>
      <c r="I306" s="31" t="inlineStr">
        <is>
          <t>Cache-DirtyEvict 缓存探针（0.5×/1×/2×L1D working set、conflict set、dirty eviction、writeback）</t>
        </is>
      </c>
      <c r="J306" s="31" t="inlineStr">
        <is>
          <t>Cache-DirtyEvict 缓存探针（0.5×/1×/2×L1D working set、conflict set、dirty eviction、writeback）
执行定义与 oracle：working set=0.5×/1×/2×L1D；读改写、dirty eviction、writeback、conflict set、共享行 false sharing</t>
        </is>
      </c>
      <c r="K306" s="31" t="inlineStr">
        <is>
          <t>MSHR接近或达到容量上限时发生新miss分配</t>
        </is>
      </c>
      <c r="L306" s="31" t="inlineStr">
        <is>
          <t>L1 occupancy/free-list守恒；L2分配、阻塞和覆盖对象；L3fill transaction ID；L4错误load值/停顿；L5结局</t>
        </is>
      </c>
      <c r="M306" s="31" t="inlineStr">
        <is>
          <t>少计可能覆盖在用表项并造成响应错配或SDC；多计主要降低并发度并增加Timeout风险</t>
        </is>
      </c>
      <c r="N306" s="31" t="inlineStr">
        <is>
          <t>补回旧版容量计数逻辑，并显式区分资源记账错误与MSHR内容错误</t>
        </is>
      </c>
      <c r="O306" s="31" t="inlineStr">
        <is>
          <t>无直接文献；MSHR容量和并发miss机制推理</t>
        </is>
      </c>
      <c r="P306" s="33" t="n"/>
      <c r="Q306" s="33" t="n"/>
      <c r="R306" s="33" t="n"/>
      <c r="S306" s="33" t="n"/>
      <c r="T306" s="33" t="n"/>
      <c r="U306" s="33" t="n"/>
      <c r="V306" s="33" t="n"/>
      <c r="W306" s="33" t="n"/>
      <c r="X306" s="36">
        <f>IF(OR(R306="",R306-AP306&lt;=0),"",AB306/(R306-AP306))</f>
        <v/>
      </c>
      <c r="Y306" s="36">
        <f>IF(OR(AR306="",AR306=0),"",R306/AR306)</f>
        <v/>
      </c>
      <c r="Z306" s="34" t="inlineStr">
        <is>
          <t>待执行</t>
        </is>
      </c>
      <c r="AA306" s="33" t="n"/>
      <c r="AB306" s="38" t="n"/>
      <c r="AC306" s="38" t="n"/>
      <c r="AD306" s="38" t="n"/>
      <c r="AE306" s="38" t="n"/>
      <c r="AF306" s="38" t="n"/>
      <c r="AG306" s="38" t="n"/>
      <c r="AH306" s="38" t="n"/>
      <c r="AI306" s="38" t="n"/>
      <c r="AJ306" s="38" t="n"/>
      <c r="AK306" s="39" t="n"/>
      <c r="AL306" s="40">
        <f>IF(OR(R306="",R306-AP306&lt;=0),"",AO306/(R306-AP306))</f>
        <v/>
      </c>
      <c r="AM306" s="41">
        <f>IF(R306="","",SUM(AC306:AF306)-(R306-AP306))</f>
        <v/>
      </c>
      <c r="AN306" s="41">
        <f>IF(R306="","",SUM(S306:W306)+AP306-R306)</f>
        <v/>
      </c>
      <c r="AO306" s="44" t="n"/>
      <c r="AP306" s="45" t="n"/>
      <c r="AQ306" s="47" t="inlineStr">
        <is>
          <t>C15-a occupancy计数±1；C15-b 伪free/full；C15-c 选择错误used entry</t>
        </is>
      </c>
      <c r="AR306" s="33" t="n"/>
      <c r="AS306" s="36">
        <f>IF(OR(Q306="",Q306=0),"",AR306/Q306)</f>
        <v/>
      </c>
      <c r="AT306" s="62" t="n">
        <v>30</v>
      </c>
      <c r="AU306" s="62" t="n">
        <v>385</v>
      </c>
      <c r="AV306" s="62" t="inlineStr">
        <is>
          <t>常规</t>
        </is>
      </c>
      <c r="AW306" s="62" t="inlineStr">
        <is>
          <t>累计至少385，不机械扩展到2401</t>
        </is>
      </c>
    </row>
    <row r="307" ht="94.15000000000001" customHeight="1" s="58">
      <c r="A307" s="32" t="inlineStr">
        <is>
          <t>C15-F4-W10</t>
        </is>
      </c>
      <c r="B307" s="32" t="inlineStr">
        <is>
          <t>C15</t>
        </is>
      </c>
      <c r="C307" s="32" t="inlineStr">
        <is>
          <t>L1d-Cache</t>
        </is>
      </c>
      <c r="D307" s="31" t="inlineStr">
        <is>
          <t>L1D MSHR occupancy counter、free-list 和容量仲裁逻辑。它决定是否允许新 miss 分配以及选择哪个空闲表项。</t>
        </is>
      </c>
      <c r="E307" s="31" t="inlineStr">
        <is>
          <t>状态/换值</t>
        </is>
      </c>
      <c r="F307" s="31" t="inlineStr">
        <is>
          <t>独立执行三种子模型：占用计数±1、在容量已满时伪造空位、free-list选择另一在用表项。仅在仲裁结果真正允许/阻止一次miss分配时计为 activated；不得与C11 target错配同时注入。</t>
        </is>
      </c>
      <c r="G307" s="31" t="inlineStr">
        <is>
          <t>F4</t>
        </is>
      </c>
      <c r="H307" s="31" t="inlineStr">
        <is>
          <t>每 100,000 个 eligible events 触发一次，连续污染 2-4 个 eligible events</t>
        </is>
      </c>
      <c r="I307" s="31" t="inlineStr">
        <is>
          <t>STREAM+PointerChase（Copy、Scale、Add、Triad 与随机指针链）</t>
        </is>
      </c>
      <c r="J307" s="31" t="inlineStr">
        <is>
          <t>STREAM+PointerChase（Copy、Scale、Add、Triad 与随机指针链）
执行定义与 oracle：STREAM Copy/Scale/Add/Triad 加随机 pointer chase；检查数组 hash 与遍历节点数</t>
        </is>
      </c>
      <c r="K307" s="31" t="inlineStr">
        <is>
          <t>MSHR接近或达到容量上限时发生新miss分配</t>
        </is>
      </c>
      <c r="L307" s="31" t="inlineStr">
        <is>
          <t>L1 occupancy/free-list守恒；L2分配、阻塞和覆盖对象；L3fill transaction ID；L4错误load值/停顿；L5结局</t>
        </is>
      </c>
      <c r="M307" s="31" t="inlineStr">
        <is>
          <t>少计可能覆盖在用表项并造成响应错配或SDC；多计主要降低并发度并增加Timeout风险</t>
        </is>
      </c>
      <c r="N307" s="31" t="inlineStr">
        <is>
          <t>补回旧版容量计数逻辑，并显式区分资源记账错误与MSHR内容错误</t>
        </is>
      </c>
      <c r="O307" s="31" t="inlineStr">
        <is>
          <t>无直接文献；MSHR容量和并发miss机制推理</t>
        </is>
      </c>
      <c r="P307" s="33" t="n"/>
      <c r="Q307" s="33" t="n"/>
      <c r="R307" s="33" t="n"/>
      <c r="S307" s="33" t="n"/>
      <c r="T307" s="33" t="n"/>
      <c r="U307" s="33" t="n"/>
      <c r="V307" s="33" t="n"/>
      <c r="W307" s="33" t="n"/>
      <c r="X307" s="36">
        <f>IF(OR(R307="",R307-AP307&lt;=0),"",AB307/(R307-AP307))</f>
        <v/>
      </c>
      <c r="Y307" s="36">
        <f>IF(OR(AR307="",AR307=0),"",R307/AR307)</f>
        <v/>
      </c>
      <c r="Z307" s="34" t="inlineStr">
        <is>
          <t>待执行</t>
        </is>
      </c>
      <c r="AA307" s="33" t="n"/>
      <c r="AB307" s="38" t="n"/>
      <c r="AC307" s="38" t="n"/>
      <c r="AD307" s="38" t="n"/>
      <c r="AE307" s="38" t="n"/>
      <c r="AF307" s="38" t="n"/>
      <c r="AG307" s="38" t="n"/>
      <c r="AH307" s="38" t="n"/>
      <c r="AI307" s="38" t="n"/>
      <c r="AJ307" s="38" t="n"/>
      <c r="AK307" s="39" t="n"/>
      <c r="AL307" s="40">
        <f>IF(OR(R307="",R307-AP307&lt;=0),"",AO307/(R307-AP307))</f>
        <v/>
      </c>
      <c r="AM307" s="41">
        <f>IF(R307="","",SUM(AC307:AF307)-(R307-AP307))</f>
        <v/>
      </c>
      <c r="AN307" s="41">
        <f>IF(R307="","",SUM(S307:W307)+AP307-R307)</f>
        <v/>
      </c>
      <c r="AO307" s="44" t="n"/>
      <c r="AP307" s="45" t="n"/>
      <c r="AQ307" s="47" t="inlineStr">
        <is>
          <t>C15-a occupancy计数±1；C15-b 伪free/full；C15-c 选择错误used entry</t>
        </is>
      </c>
      <c r="AR307" s="33" t="n"/>
      <c r="AS307" s="36">
        <f>IF(OR(Q307="",Q307=0),"",AR307/Q307)</f>
        <v/>
      </c>
      <c r="AT307" s="62" t="n">
        <v>30</v>
      </c>
      <c r="AU307" s="62" t="n">
        <v>385</v>
      </c>
      <c r="AV307" s="62" t="inlineStr">
        <is>
          <t>常规</t>
        </is>
      </c>
      <c r="AW307" s="62" t="inlineStr">
        <is>
          <t>累计至少385，不机械扩展到2401</t>
        </is>
      </c>
    </row>
    <row r="308" ht="94.15000000000001" customHeight="1" s="58">
      <c r="A308" s="32" t="inlineStr">
        <is>
          <t>C15-F4-W11</t>
        </is>
      </c>
      <c r="B308" s="32" t="inlineStr">
        <is>
          <t>C15</t>
        </is>
      </c>
      <c r="C308" s="32" t="inlineStr">
        <is>
          <t>L1d-Cache</t>
        </is>
      </c>
      <c r="D308" s="31" t="inlineStr">
        <is>
          <t>L1D MSHR occupancy counter、free-list 和容量仲裁逻辑。它决定是否允许新 miss 分配以及选择哪个空闲表项。</t>
        </is>
      </c>
      <c r="E308" s="31" t="inlineStr">
        <is>
          <t>状态/换值</t>
        </is>
      </c>
      <c r="F308" s="31" t="inlineStr">
        <is>
          <t>独立执行三种子模型：占用计数±1、在容量已满时伪造空位、free-list选择另一在用表项。仅在仲裁结果真正允许/阻止一次miss分配时计为 activated；不得与C11 target错配同时注入。</t>
        </is>
      </c>
      <c r="G308" s="31" t="inlineStr">
        <is>
          <t>F4</t>
        </is>
      </c>
      <c r="H308" s="31" t="inlineStr">
        <is>
          <t>每 100,000 个 eligible events 触发一次，连续污染 2-4 个 eligible events</t>
        </is>
      </c>
      <c r="I308" s="31" t="inlineStr">
        <is>
          <t>SPEC CPU2017 采样区间</t>
        </is>
      </c>
      <c r="J308" s="31" t="inlineStr">
        <is>
          <t>SPEC CPU2017 采样区间
执行定义与 oracle：mcf、omnetpp、xalancbmk、lbm 的固定 SimPoint/checkpoint；使用参考输出或结果哈希</t>
        </is>
      </c>
      <c r="K308" s="31" t="inlineStr">
        <is>
          <t>MSHR接近或达到容量上限时发生新miss分配</t>
        </is>
      </c>
      <c r="L308" s="31" t="inlineStr">
        <is>
          <t>L1 occupancy/free-list守恒；L2分配、阻塞和覆盖对象；L3fill transaction ID；L4错误load值/停顿；L5结局</t>
        </is>
      </c>
      <c r="M308" s="31" t="inlineStr">
        <is>
          <t>少计可能覆盖在用表项并造成响应错配或SDC；多计主要降低并发度并增加Timeout风险</t>
        </is>
      </c>
      <c r="N308" s="31" t="inlineStr">
        <is>
          <t>补回旧版容量计数逻辑，并显式区分资源记账错误与MSHR内容错误</t>
        </is>
      </c>
      <c r="O308" s="31" t="inlineStr">
        <is>
          <t>无直接文献；MSHR容量和并发miss机制推理</t>
        </is>
      </c>
      <c r="P308" s="33" t="n"/>
      <c r="Q308" s="33" t="n"/>
      <c r="R308" s="33" t="n"/>
      <c r="S308" s="33" t="n"/>
      <c r="T308" s="33" t="n"/>
      <c r="U308" s="33" t="n"/>
      <c r="V308" s="33" t="n"/>
      <c r="W308" s="33" t="n"/>
      <c r="X308" s="36">
        <f>IF(OR(R308="",R308-AP308&lt;=0),"",AB308/(R308-AP308))</f>
        <v/>
      </c>
      <c r="Y308" s="36">
        <f>IF(OR(AR308="",AR308=0),"",R308/AR308)</f>
        <v/>
      </c>
      <c r="Z308" s="34" t="inlineStr">
        <is>
          <t>待执行</t>
        </is>
      </c>
      <c r="AA308" s="33" t="n"/>
      <c r="AB308" s="38" t="n"/>
      <c r="AC308" s="38" t="n"/>
      <c r="AD308" s="38" t="n"/>
      <c r="AE308" s="38" t="n"/>
      <c r="AF308" s="38" t="n"/>
      <c r="AG308" s="38" t="n"/>
      <c r="AH308" s="38" t="n"/>
      <c r="AI308" s="38" t="n"/>
      <c r="AJ308" s="38" t="n"/>
      <c r="AK308" s="39" t="n"/>
      <c r="AL308" s="40">
        <f>IF(OR(R308="",R308-AP308&lt;=0),"",AO308/(R308-AP308))</f>
        <v/>
      </c>
      <c r="AM308" s="41">
        <f>IF(R308="","",SUM(AC308:AF308)-(R308-AP308))</f>
        <v/>
      </c>
      <c r="AN308" s="41">
        <f>IF(R308="","",SUM(S308:W308)+AP308-R308)</f>
        <v/>
      </c>
      <c r="AO308" s="44" t="n"/>
      <c r="AP308" s="45" t="n"/>
      <c r="AQ308" s="47" t="inlineStr">
        <is>
          <t>C15-a occupancy计数±1；C15-b 伪free/full；C15-c 选择错误used entry</t>
        </is>
      </c>
      <c r="AR308" s="33" t="n"/>
      <c r="AS308" s="36">
        <f>IF(OR(Q308="",Q308=0),"",AR308/Q308)</f>
        <v/>
      </c>
      <c r="AT308" s="62" t="n">
        <v>30</v>
      </c>
      <c r="AU308" s="62" t="n">
        <v>385</v>
      </c>
      <c r="AV308" s="62" t="inlineStr">
        <is>
          <t>常规</t>
        </is>
      </c>
      <c r="AW308" s="62" t="inlineStr">
        <is>
          <t>累计至少385，不机械扩展到2401</t>
        </is>
      </c>
    </row>
    <row r="309" ht="94.15000000000001" customHeight="1" s="58">
      <c r="A309" s="32" t="inlineStr">
        <is>
          <t>C15-F6-W6</t>
        </is>
      </c>
      <c r="B309" s="32" t="inlineStr">
        <is>
          <t>C15</t>
        </is>
      </c>
      <c r="C309" s="32" t="inlineStr">
        <is>
          <t>L1d-Cache</t>
        </is>
      </c>
      <c r="D309" s="31" t="inlineStr">
        <is>
          <t>L1D MSHR occupancy counter、free-list 和容量仲裁逻辑。它决定是否允许新 miss 分配以及选择哪个空闲表项。</t>
        </is>
      </c>
      <c r="E309" s="31" t="inlineStr">
        <is>
          <t>状态/换值</t>
        </is>
      </c>
      <c r="F309" s="31" t="inlineStr">
        <is>
          <t>独立执行三种子模型：占用计数±1、在容量已满时伪造空位、free-list选择另一在用表项。仅在仲裁结果真正允许/阻止一次miss分配时计为 activated；不得与C11 target错配同时注入。</t>
        </is>
      </c>
      <c r="G309" s="31" t="inlineStr">
        <is>
          <t>F6</t>
        </is>
      </c>
      <c r="H309" s="31" t="inlineStr">
        <is>
          <t>首次出现指定事件时注入一次；仍以故障值被下游消费作为 activated 判据</t>
        </is>
      </c>
      <c r="I309" s="31" t="inlineStr">
        <is>
          <t>Cache-DirtyEvict 缓存探针（0.5×/1×/2×L1D working set、conflict set、dirty eviction、writeback）</t>
        </is>
      </c>
      <c r="J309" s="31" t="inlineStr">
        <is>
          <t>Cache-DirtyEvict 缓存探针（0.5×/1×/2×L1D working set、conflict set、dirty eviction、writeback）
执行定义与 oracle：working set=0.5×/1×/2×L1D；读改写、dirty eviction、writeback、conflict set、共享行 false sharing</t>
        </is>
      </c>
      <c r="K309" s="31" t="inlineStr">
        <is>
          <t>MSHR接近或达到容量上限时发生新miss分配</t>
        </is>
      </c>
      <c r="L309" s="31" t="inlineStr">
        <is>
          <t>L1 occupancy/free-list守恒；L2分配、阻塞和覆盖对象；L3fill transaction ID；L4错误load值/停顿；L5结局</t>
        </is>
      </c>
      <c r="M309" s="31" t="inlineStr">
        <is>
          <t>少计可能覆盖在用表项并造成响应错配或SDC；多计主要降低并发度并增加Timeout风险</t>
        </is>
      </c>
      <c r="N309" s="31" t="inlineStr">
        <is>
          <t>补回旧版容量计数逻辑，并显式区分资源记账错误与MSHR内容错误</t>
        </is>
      </c>
      <c r="O309" s="31" t="inlineStr">
        <is>
          <t>无直接文献；MSHR容量和并发miss机制推理</t>
        </is>
      </c>
      <c r="P309" s="33" t="n"/>
      <c r="Q309" s="33" t="n"/>
      <c r="R309" s="33" t="n"/>
      <c r="S309" s="33" t="n"/>
      <c r="T309" s="33" t="n"/>
      <c r="U309" s="33" t="n"/>
      <c r="V309" s="33" t="n"/>
      <c r="W309" s="33" t="n"/>
      <c r="X309" s="36">
        <f>IF(OR(R309="",R309-AP309&lt;=0),"",AB309/(R309-AP309))</f>
        <v/>
      </c>
      <c r="Y309" s="36">
        <f>IF(OR(AR309="",AR309=0),"",R309/AR309)</f>
        <v/>
      </c>
      <c r="Z309" s="34" t="inlineStr">
        <is>
          <t>待执行</t>
        </is>
      </c>
      <c r="AA309" s="33" t="n"/>
      <c r="AB309" s="38" t="n"/>
      <c r="AC309" s="38" t="n"/>
      <c r="AD309" s="38" t="n"/>
      <c r="AE309" s="38" t="n"/>
      <c r="AF309" s="38" t="n"/>
      <c r="AG309" s="38" t="n"/>
      <c r="AH309" s="38" t="n"/>
      <c r="AI309" s="38" t="n"/>
      <c r="AJ309" s="38" t="n"/>
      <c r="AK309" s="39" t="n"/>
      <c r="AL309" s="40">
        <f>IF(OR(R309="",R309-AP309&lt;=0),"",AO309/(R309-AP309))</f>
        <v/>
      </c>
      <c r="AM309" s="41">
        <f>IF(R309="","",SUM(AC309:AF309)-(R309-AP309))</f>
        <v/>
      </c>
      <c r="AN309" s="41">
        <f>IF(R309="","",SUM(S309:W309)+AP309-R309)</f>
        <v/>
      </c>
      <c r="AO309" s="44" t="n"/>
      <c r="AP309" s="45" t="n"/>
      <c r="AQ309" s="47" t="inlineStr">
        <is>
          <t>C15-a occupancy计数±1；C15-b 伪free/full；C15-c 选择错误used entry</t>
        </is>
      </c>
      <c r="AR309" s="33" t="n"/>
      <c r="AS309" s="36">
        <f>IF(OR(Q309="",Q309=0),"",AR309/Q309)</f>
        <v/>
      </c>
      <c r="AT309" s="62" t="n">
        <v>30</v>
      </c>
      <c r="AU309" s="62" t="n">
        <v>385</v>
      </c>
      <c r="AV309" s="62" t="inlineStr">
        <is>
          <t>常规</t>
        </is>
      </c>
      <c r="AW309" s="62" t="inlineStr">
        <is>
          <t>累计至少385，不机械扩展到2401</t>
        </is>
      </c>
    </row>
    <row r="310" ht="94.15000000000001" customHeight="1" s="58">
      <c r="A310" s="32" t="inlineStr">
        <is>
          <t>C15-F6-W10</t>
        </is>
      </c>
      <c r="B310" s="32" t="inlineStr">
        <is>
          <t>C15</t>
        </is>
      </c>
      <c r="C310" s="32" t="inlineStr">
        <is>
          <t>L1d-Cache</t>
        </is>
      </c>
      <c r="D310" s="31" t="inlineStr">
        <is>
          <t>L1D MSHR occupancy counter、free-list 和容量仲裁逻辑。它决定是否允许新 miss 分配以及选择哪个空闲表项。</t>
        </is>
      </c>
      <c r="E310" s="31" t="inlineStr">
        <is>
          <t>状态/换值</t>
        </is>
      </c>
      <c r="F310" s="31" t="inlineStr">
        <is>
          <t>独立执行三种子模型：占用计数±1、在容量已满时伪造空位、free-list选择另一在用表项。仅在仲裁结果真正允许/阻止一次miss分配时计为 activated；不得与C11 target错配同时注入。</t>
        </is>
      </c>
      <c r="G310" s="31" t="inlineStr">
        <is>
          <t>F6</t>
        </is>
      </c>
      <c r="H310" s="31" t="inlineStr">
        <is>
          <t>首次出现指定事件时注入一次；仍以故障值被下游消费作为 activated 判据</t>
        </is>
      </c>
      <c r="I310" s="31" t="inlineStr">
        <is>
          <t>STREAM+PointerChase（Copy、Scale、Add、Triad 与随机指针链）</t>
        </is>
      </c>
      <c r="J310" s="31" t="inlineStr">
        <is>
          <t>STREAM+PointerChase（Copy、Scale、Add、Triad 与随机指针链）
执行定义与 oracle：STREAM Copy/Scale/Add/Triad 加随机 pointer chase；检查数组 hash 与遍历节点数</t>
        </is>
      </c>
      <c r="K310" s="31" t="inlineStr">
        <is>
          <t>MSHR接近或达到容量上限时发生新miss分配</t>
        </is>
      </c>
      <c r="L310" s="31" t="inlineStr">
        <is>
          <t>L1 occupancy/free-list守恒；L2分配、阻塞和覆盖对象；L3fill transaction ID；L4错误load值/停顿；L5结局</t>
        </is>
      </c>
      <c r="M310" s="31" t="inlineStr">
        <is>
          <t>少计可能覆盖在用表项并造成响应错配或SDC；多计主要降低并发度并增加Timeout风险</t>
        </is>
      </c>
      <c r="N310" s="31" t="inlineStr">
        <is>
          <t>补回旧版容量计数逻辑，并显式区分资源记账错误与MSHR内容错误</t>
        </is>
      </c>
      <c r="O310" s="31" t="inlineStr">
        <is>
          <t>无直接文献；MSHR容量和并发miss机制推理</t>
        </is>
      </c>
      <c r="P310" s="33" t="n"/>
      <c r="Q310" s="33" t="n"/>
      <c r="R310" s="33" t="n"/>
      <c r="S310" s="33" t="n"/>
      <c r="T310" s="33" t="n"/>
      <c r="U310" s="33" t="n"/>
      <c r="V310" s="33" t="n"/>
      <c r="W310" s="33" t="n"/>
      <c r="X310" s="36">
        <f>IF(OR(R310="",R310-AP310&lt;=0),"",AB310/(R310-AP310))</f>
        <v/>
      </c>
      <c r="Y310" s="36">
        <f>IF(OR(AR310="",AR310=0),"",R310/AR310)</f>
        <v/>
      </c>
      <c r="Z310" s="34" t="inlineStr">
        <is>
          <t>待执行</t>
        </is>
      </c>
      <c r="AA310" s="33" t="n"/>
      <c r="AB310" s="38" t="n"/>
      <c r="AC310" s="38" t="n"/>
      <c r="AD310" s="38" t="n"/>
      <c r="AE310" s="38" t="n"/>
      <c r="AF310" s="38" t="n"/>
      <c r="AG310" s="38" t="n"/>
      <c r="AH310" s="38" t="n"/>
      <c r="AI310" s="38" t="n"/>
      <c r="AJ310" s="38" t="n"/>
      <c r="AK310" s="39" t="n"/>
      <c r="AL310" s="40">
        <f>IF(OR(R310="",R310-AP310&lt;=0),"",AO310/(R310-AP310))</f>
        <v/>
      </c>
      <c r="AM310" s="41">
        <f>IF(R310="","",SUM(AC310:AF310)-(R310-AP310))</f>
        <v/>
      </c>
      <c r="AN310" s="41">
        <f>IF(R310="","",SUM(S310:W310)+AP310-R310)</f>
        <v/>
      </c>
      <c r="AO310" s="44" t="n"/>
      <c r="AP310" s="45" t="n"/>
      <c r="AQ310" s="47" t="inlineStr">
        <is>
          <t>C15-a occupancy计数±1；C15-b 伪free/full；C15-c 选择错误used entry</t>
        </is>
      </c>
      <c r="AR310" s="33" t="n"/>
      <c r="AS310" s="36">
        <f>IF(OR(Q310="",Q310=0),"",AR310/Q310)</f>
        <v/>
      </c>
      <c r="AT310" s="62" t="n">
        <v>30</v>
      </c>
      <c r="AU310" s="62" t="n">
        <v>385</v>
      </c>
      <c r="AV310" s="62" t="inlineStr">
        <is>
          <t>常规</t>
        </is>
      </c>
      <c r="AW310" s="62" t="inlineStr">
        <is>
          <t>累计至少385，不机械扩展到2401</t>
        </is>
      </c>
    </row>
    <row r="311" ht="94.15000000000001" customHeight="1" s="58">
      <c r="A311" s="32" t="inlineStr">
        <is>
          <t>C15-F6-W11</t>
        </is>
      </c>
      <c r="B311" s="32" t="inlineStr">
        <is>
          <t>C15</t>
        </is>
      </c>
      <c r="C311" s="32" t="inlineStr">
        <is>
          <t>L1d-Cache</t>
        </is>
      </c>
      <c r="D311" s="31" t="inlineStr">
        <is>
          <t>L1D MSHR occupancy counter、free-list 和容量仲裁逻辑。它决定是否允许新 miss 分配以及选择哪个空闲表项。</t>
        </is>
      </c>
      <c r="E311" s="31" t="inlineStr">
        <is>
          <t>状态/换值</t>
        </is>
      </c>
      <c r="F311" s="31" t="inlineStr">
        <is>
          <t>独立执行三种子模型：占用计数±1、在容量已满时伪造空位、free-list选择另一在用表项。仅在仲裁结果真正允许/阻止一次miss分配时计为 activated；不得与C11 target错配同时注入。</t>
        </is>
      </c>
      <c r="G311" s="31" t="inlineStr">
        <is>
          <t>F6</t>
        </is>
      </c>
      <c r="H311" s="31" t="inlineStr">
        <is>
          <t>首次出现指定事件时注入一次；仍以故障值被下游消费作为 activated 判据</t>
        </is>
      </c>
      <c r="I311" s="31" t="inlineStr">
        <is>
          <t>SPEC CPU2017 采样区间</t>
        </is>
      </c>
      <c r="J311" s="31" t="inlineStr">
        <is>
          <t>SPEC CPU2017 采样区间
执行定义与 oracle：mcf、omnetpp、xalancbmk、lbm 的固定 SimPoint/checkpoint；使用参考输出或结果哈希</t>
        </is>
      </c>
      <c r="K311" s="31" t="inlineStr">
        <is>
          <t>MSHR接近或达到容量上限时发生新miss分配</t>
        </is>
      </c>
      <c r="L311" s="31" t="inlineStr">
        <is>
          <t>L1 occupancy/free-list守恒；L2分配、阻塞和覆盖对象；L3fill transaction ID；L4错误load值/停顿；L5结局</t>
        </is>
      </c>
      <c r="M311" s="31" t="inlineStr">
        <is>
          <t>少计可能覆盖在用表项并造成响应错配或SDC；多计主要降低并发度并增加Timeout风险</t>
        </is>
      </c>
      <c r="N311" s="31" t="inlineStr">
        <is>
          <t>补回旧版容量计数逻辑，并显式区分资源记账错误与MSHR内容错误</t>
        </is>
      </c>
      <c r="O311" s="31" t="inlineStr">
        <is>
          <t>无直接文献；MSHR容量和并发miss机制推理</t>
        </is>
      </c>
      <c r="P311" s="33" t="n"/>
      <c r="Q311" s="33" t="n"/>
      <c r="R311" s="33" t="n"/>
      <c r="S311" s="33" t="n"/>
      <c r="T311" s="33" t="n"/>
      <c r="U311" s="33" t="n"/>
      <c r="V311" s="33" t="n"/>
      <c r="W311" s="33" t="n"/>
      <c r="X311" s="36">
        <f>IF(OR(R311="",R311-AP311&lt;=0),"",AB311/(R311-AP311))</f>
        <v/>
      </c>
      <c r="Y311" s="36">
        <f>IF(OR(AR311="",AR311=0),"",R311/AR311)</f>
        <v/>
      </c>
      <c r="Z311" s="34" t="inlineStr">
        <is>
          <t>待执行</t>
        </is>
      </c>
      <c r="AA311" s="33" t="n"/>
      <c r="AB311" s="38" t="n"/>
      <c r="AC311" s="38" t="n"/>
      <c r="AD311" s="38" t="n"/>
      <c r="AE311" s="38" t="n"/>
      <c r="AF311" s="38" t="n"/>
      <c r="AG311" s="38" t="n"/>
      <c r="AH311" s="38" t="n"/>
      <c r="AI311" s="38" t="n"/>
      <c r="AJ311" s="38" t="n"/>
      <c r="AK311" s="39" t="n"/>
      <c r="AL311" s="40">
        <f>IF(OR(R311="",R311-AP311&lt;=0),"",AO311/(R311-AP311))</f>
        <v/>
      </c>
      <c r="AM311" s="41">
        <f>IF(R311="","",SUM(AC311:AF311)-(R311-AP311))</f>
        <v/>
      </c>
      <c r="AN311" s="41">
        <f>IF(R311="","",SUM(S311:W311)+AP311-R311)</f>
        <v/>
      </c>
      <c r="AO311" s="44" t="n"/>
      <c r="AP311" s="45" t="n"/>
      <c r="AQ311" s="47" t="inlineStr">
        <is>
          <t>C15-a occupancy计数±1；C15-b 伪free/full；C15-c 选择错误used entry</t>
        </is>
      </c>
      <c r="AR311" s="33" t="n"/>
      <c r="AS311" s="36">
        <f>IF(OR(Q311="",Q311=0),"",AR311/Q311)</f>
        <v/>
      </c>
      <c r="AT311" s="62" t="n">
        <v>30</v>
      </c>
      <c r="AU311" s="62" t="n">
        <v>385</v>
      </c>
      <c r="AV311" s="62" t="inlineStr">
        <is>
          <t>常规</t>
        </is>
      </c>
      <c r="AW311" s="62" t="inlineStr">
        <is>
          <t>累计至少385，不机械扩展到2401</t>
        </is>
      </c>
    </row>
    <row r="312" ht="94.15000000000001" customHeight="1" s="58">
      <c r="A312" s="32" t="inlineStr">
        <is>
          <t>O09-F0-W7</t>
        </is>
      </c>
      <c r="B312" s="32" t="inlineStr">
        <is>
          <t>O09</t>
        </is>
      </c>
      <c r="C312" s="32" t="inlineStr">
        <is>
          <t>原子与同步</t>
        </is>
      </c>
      <c r="D312" s="31" t="inlineStr">
        <is>
          <t>LSE 原子 RMW 指令的 compare、replacement、addend、old-value 或 result 数据锁存器。该位置保存原子操作真实参与计算或返回软件的数据。</t>
        </is>
      </c>
      <c r="E312" s="31" t="inlineStr">
        <is>
          <t>单比特翻转</t>
        </is>
      </c>
      <c r="F312"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2" s="31" t="inlineStr">
        <is>
          <t>F0</t>
        </is>
      </c>
      <c r="H312" s="31" t="inlineStr">
        <is>
          <t>每次运行只注入 1 次；在 warm-up 后的 eligible event 中均匀抽样</t>
        </is>
      </c>
      <c r="I312" s="31" t="inlineStr">
        <is>
          <t>Atomic-Litmus 并发探针（MP、SB、LB、IRIW、Dekker、ticket lock、CAS counter、LDXR/STXR）</t>
        </is>
      </c>
      <c r="J312" s="31" t="inlineStr">
        <is>
          <t>Atomic-Litmus 并发探针（MP、SB、LB、IRIW、Dekker、ticket lock、CAS counter、LDXR/STXR）
执行定义与 oracle：MP、SB、LB、IRIW、Dekker、ticket lock、CAS counter、LDXR/STXR 竞争；每轮检查禁出现结果</t>
        </is>
      </c>
      <c r="K312" s="31" t="inlineStr">
        <is>
          <t>CAS/SWP/LDADD 等原子操作进入执行或返回阶段</t>
        </is>
      </c>
      <c r="L312" s="31" t="inlineStr">
        <is>
          <t>L1正确/故障操作数；L2原子请求和成功判定；L3内存更新与全局可见序；L4返回寄存器、共享变量和锁状态；L5结局</t>
        </is>
      </c>
      <c r="M312" s="31" t="inlineStr">
        <is>
          <t>可能造成错误比较、错误更新或错误返回，通常不触发地址异常；在复杂同步负载中可表现为lost update、死锁或SDC</t>
        </is>
      </c>
      <c r="N312" s="31" t="inlineStr">
        <is>
          <t>恢复旧版最基本的原子数据瞬态基线，使O04结构化MUX错选有可比较对象</t>
        </is>
      </c>
      <c r="O312" s="31" t="inlineStr">
        <is>
          <t>本地论文缺少原子单元直接结果；属于必要基础故障模型</t>
        </is>
      </c>
      <c r="P312" s="33" t="n"/>
      <c r="Q312" s="33" t="n"/>
      <c r="R312" s="33" t="n"/>
      <c r="S312" s="33" t="n"/>
      <c r="T312" s="33" t="n"/>
      <c r="U312" s="33" t="n"/>
      <c r="V312" s="33" t="n"/>
      <c r="W312" s="33" t="n"/>
      <c r="X312" s="36">
        <f>IF(OR(R312="",R312-AP312&lt;=0),"",AB312/(R312-AP312))</f>
        <v/>
      </c>
      <c r="Y312" s="36">
        <f>IF(OR(AR312="",AR312=0),"",R312/AR312)</f>
        <v/>
      </c>
      <c r="Z312" s="34" t="inlineStr">
        <is>
          <t>待执行</t>
        </is>
      </c>
      <c r="AA312" s="33" t="n"/>
      <c r="AB312" s="38" t="n"/>
      <c r="AC312" s="38" t="n"/>
      <c r="AD312" s="38" t="n"/>
      <c r="AE312" s="38" t="n"/>
      <c r="AF312" s="38" t="n"/>
      <c r="AG312" s="38" t="n"/>
      <c r="AH312" s="38" t="n"/>
      <c r="AI312" s="38" t="n"/>
      <c r="AJ312" s="38" t="n"/>
      <c r="AK312" s="39" t="n"/>
      <c r="AL312" s="40">
        <f>IF(OR(R312="",R312-AP312&lt;=0),"",AO312/(R312-AP312))</f>
        <v/>
      </c>
      <c r="AM312" s="41">
        <f>IF(R312="","",SUM(AC312:AF312)-(R312-AP312))</f>
        <v/>
      </c>
      <c r="AN312" s="41">
        <f>IF(R312="","",SUM(S312:W312)+AP312-R312)</f>
        <v/>
      </c>
      <c r="AO312" s="44" t="n"/>
      <c r="AP312" s="45" t="n"/>
      <c r="AQ312" s="47" t="inlineStr">
        <is>
          <t>O09-a compare操作数单bit；O09-b replacement/addend单bit；O09-c old value单bit</t>
        </is>
      </c>
      <c r="AR312" s="33" t="n"/>
      <c r="AS312" s="36">
        <f>IF(OR(Q312="",Q312=0),"",AR312/Q312)</f>
        <v/>
      </c>
      <c r="AT312" s="62" t="n">
        <v>30</v>
      </c>
      <c r="AU312" s="62" t="n">
        <v>385</v>
      </c>
      <c r="AV312" s="62" t="inlineStr">
        <is>
          <t>常规</t>
        </is>
      </c>
      <c r="AW312" s="62" t="inlineStr">
        <is>
          <t>累计至少385，不机械扩展到2401</t>
        </is>
      </c>
    </row>
    <row r="313" ht="94.15000000000001" customHeight="1" s="58">
      <c r="A313" s="32" t="inlineStr">
        <is>
          <t>O09-F0-W13</t>
        </is>
      </c>
      <c r="B313" s="32" t="inlineStr">
        <is>
          <t>O09</t>
        </is>
      </c>
      <c r="C313" s="32" t="inlineStr">
        <is>
          <t>原子与同步</t>
        </is>
      </c>
      <c r="D313" s="31" t="inlineStr">
        <is>
          <t>LSE 原子 RMW 指令的 compare、replacement、addend、old-value 或 result 数据锁存器。该位置保存原子操作真实参与计算或返回软件的数据。</t>
        </is>
      </c>
      <c r="E313" s="31" t="inlineStr">
        <is>
          <t>单比特翻转</t>
        </is>
      </c>
      <c r="F313"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3" s="31" t="inlineStr">
        <is>
          <t>F0</t>
        </is>
      </c>
      <c r="H313" s="31" t="inlineStr">
        <is>
          <t>每次运行只注入 1 次；在 warm-up 后的 eligible event 中均匀抽样</t>
        </is>
      </c>
      <c r="I313" s="31" t="inlineStr">
        <is>
          <t>PARSEC-Selected 多线程应用（共享队列、锁与任务并行）</t>
        </is>
      </c>
      <c r="J313" s="31" t="inlineStr">
        <is>
          <t>PARSEC-Selected 多线程应用（共享队列、锁与任务并行）
执行定义与 oracle：PARSEC 中选 dedup、ferret、streamcluster 等共享队列/锁密集程序；固定线程数与输入，核对参考输出和结果哈希</t>
        </is>
      </c>
      <c r="K313" s="31" t="inlineStr">
        <is>
          <t>CAS/SWP/LDADD 等原子操作进入执行或返回阶段</t>
        </is>
      </c>
      <c r="L313" s="31" t="inlineStr">
        <is>
          <t>L1正确/故障操作数；L2原子请求和成功判定；L3内存更新与全局可见序；L4返回寄存器、共享变量和锁状态；L5结局</t>
        </is>
      </c>
      <c r="M313" s="31" t="inlineStr">
        <is>
          <t>可能造成错误比较、错误更新或错误返回，通常不触发地址异常；在复杂同步负载中可表现为lost update、死锁或SDC</t>
        </is>
      </c>
      <c r="N313" s="31" t="inlineStr">
        <is>
          <t>恢复旧版最基本的原子数据瞬态基线，使O04结构化MUX错选有可比较对象</t>
        </is>
      </c>
      <c r="O313" s="31" t="inlineStr">
        <is>
          <t>本地论文缺少原子单元直接结果；属于必要基础故障模型</t>
        </is>
      </c>
      <c r="P313" s="33" t="n"/>
      <c r="Q313" s="33" t="n"/>
      <c r="R313" s="33" t="n"/>
      <c r="S313" s="33" t="n"/>
      <c r="T313" s="33" t="n"/>
      <c r="U313" s="33" t="n"/>
      <c r="V313" s="33" t="n"/>
      <c r="W313" s="33" t="n"/>
      <c r="X313" s="36">
        <f>IF(OR(R313="",R313-AP313&lt;=0),"",AB313/(R313-AP313))</f>
        <v/>
      </c>
      <c r="Y313" s="36">
        <f>IF(OR(AR313="",AR313=0),"",R313/AR313)</f>
        <v/>
      </c>
      <c r="Z313" s="34" t="inlineStr">
        <is>
          <t>待执行</t>
        </is>
      </c>
      <c r="AA313" s="33" t="n"/>
      <c r="AB313" s="38" t="n"/>
      <c r="AC313" s="38" t="n"/>
      <c r="AD313" s="38" t="n"/>
      <c r="AE313" s="38" t="n"/>
      <c r="AF313" s="38" t="n"/>
      <c r="AG313" s="38" t="n"/>
      <c r="AH313" s="38" t="n"/>
      <c r="AI313" s="38" t="n"/>
      <c r="AJ313" s="38" t="n"/>
      <c r="AK313" s="39" t="n"/>
      <c r="AL313" s="40">
        <f>IF(OR(R313="",R313-AP313&lt;=0),"",AO313/(R313-AP313))</f>
        <v/>
      </c>
      <c r="AM313" s="41">
        <f>IF(R313="","",SUM(AC313:AF313)-(R313-AP313))</f>
        <v/>
      </c>
      <c r="AN313" s="41">
        <f>IF(R313="","",SUM(S313:W313)+AP313-R313)</f>
        <v/>
      </c>
      <c r="AO313" s="44" t="n"/>
      <c r="AP313" s="45" t="n"/>
      <c r="AQ313" s="47" t="inlineStr">
        <is>
          <t>O09-a compare操作数单bit；O09-b replacement/addend单bit；O09-c old value单bit</t>
        </is>
      </c>
      <c r="AR313" s="33" t="n"/>
      <c r="AS313" s="36">
        <f>IF(OR(Q313="",Q313=0),"",AR313/Q313)</f>
        <v/>
      </c>
      <c r="AT313" s="62" t="n">
        <v>30</v>
      </c>
      <c r="AU313" s="62" t="n">
        <v>2401</v>
      </c>
      <c r="AV313" s="62" t="inlineStr">
        <is>
          <t>重点（预登记21项）</t>
        </is>
      </c>
      <c r="AW313" s="62" t="inlineStr">
        <is>
          <t>累计到2401（含前385）</t>
        </is>
      </c>
    </row>
    <row r="314" ht="94.15000000000001" customHeight="1" s="58">
      <c r="A314" s="32" t="inlineStr">
        <is>
          <t>O09-F1-W7</t>
        </is>
      </c>
      <c r="B314" s="32" t="inlineStr">
        <is>
          <t>O09</t>
        </is>
      </c>
      <c r="C314" s="32" t="inlineStr">
        <is>
          <t>原子与同步</t>
        </is>
      </c>
      <c r="D314" s="31" t="inlineStr">
        <is>
          <t>LSE 原子 RMW 指令的 compare、replacement、addend、old-value 或 result 数据锁存器。该位置保存原子操作真实参与计算或返回软件的数据。</t>
        </is>
      </c>
      <c r="E314" s="31" t="inlineStr">
        <is>
          <t>单比特翻转</t>
        </is>
      </c>
      <c r="F314"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4" s="31" t="inlineStr">
        <is>
          <t>F1</t>
        </is>
      </c>
      <c r="H314" s="31" t="inlineStr">
        <is>
          <t>平均每 1,000,000 个 eligible events 注入 1 次，间隔加入 ±50% 抖动</t>
        </is>
      </c>
      <c r="I314" s="31" t="inlineStr">
        <is>
          <t>Atomic-Litmus 并发探针（MP、SB、LB、IRIW、Dekker、ticket lock、CAS counter、LDXR/STXR）</t>
        </is>
      </c>
      <c r="J314" s="31" t="inlineStr">
        <is>
          <t>Atomic-Litmus 并发探针（MP、SB、LB、IRIW、Dekker、ticket lock、CAS counter、LDXR/STXR）
执行定义与 oracle：MP、SB、LB、IRIW、Dekker、ticket lock、CAS counter、LDXR/STXR 竞争；每轮检查禁出现结果</t>
        </is>
      </c>
      <c r="K314" s="31" t="inlineStr">
        <is>
          <t>CAS/SWP/LDADD 等原子操作进入执行或返回阶段</t>
        </is>
      </c>
      <c r="L314" s="31" t="inlineStr">
        <is>
          <t>L1正确/故障操作数；L2原子请求和成功判定；L3内存更新与全局可见序；L4返回寄存器、共享变量和锁状态；L5结局</t>
        </is>
      </c>
      <c r="M314" s="31" t="inlineStr">
        <is>
          <t>可能造成错误比较、错误更新或错误返回，通常不触发地址异常；在复杂同步负载中可表现为lost update、死锁或SDC</t>
        </is>
      </c>
      <c r="N314" s="31" t="inlineStr">
        <is>
          <t>恢复旧版最基本的原子数据瞬态基线，使O04结构化MUX错选有可比较对象</t>
        </is>
      </c>
      <c r="O314" s="31" t="inlineStr">
        <is>
          <t>本地论文缺少原子单元直接结果；属于必要基础故障模型</t>
        </is>
      </c>
      <c r="P314" s="33" t="n"/>
      <c r="Q314" s="33" t="n"/>
      <c r="R314" s="33" t="n"/>
      <c r="S314" s="33" t="n"/>
      <c r="T314" s="33" t="n"/>
      <c r="U314" s="33" t="n"/>
      <c r="V314" s="33" t="n"/>
      <c r="W314" s="33" t="n"/>
      <c r="X314" s="36">
        <f>IF(OR(R314="",R314-AP314&lt;=0),"",AB314/(R314-AP314))</f>
        <v/>
      </c>
      <c r="Y314" s="36">
        <f>IF(OR(AR314="",AR314=0),"",R314/AR314)</f>
        <v/>
      </c>
      <c r="Z314" s="34" t="inlineStr">
        <is>
          <t>待执行</t>
        </is>
      </c>
      <c r="AA314" s="33" t="n"/>
      <c r="AB314" s="38" t="n"/>
      <c r="AC314" s="38" t="n"/>
      <c r="AD314" s="38" t="n"/>
      <c r="AE314" s="38" t="n"/>
      <c r="AF314" s="38" t="n"/>
      <c r="AG314" s="38" t="n"/>
      <c r="AH314" s="38" t="n"/>
      <c r="AI314" s="38" t="n"/>
      <c r="AJ314" s="38" t="n"/>
      <c r="AK314" s="39" t="n"/>
      <c r="AL314" s="40">
        <f>IF(OR(R314="",R314-AP314&lt;=0),"",AO314/(R314-AP314))</f>
        <v/>
      </c>
      <c r="AM314" s="41">
        <f>IF(R314="","",SUM(AC314:AF314)-(R314-AP314))</f>
        <v/>
      </c>
      <c r="AN314" s="41">
        <f>IF(R314="","",SUM(S314:W314)+AP314-R314)</f>
        <v/>
      </c>
      <c r="AO314" s="44" t="n"/>
      <c r="AP314" s="45" t="n"/>
      <c r="AQ314" s="47" t="inlineStr">
        <is>
          <t>O09-a compare操作数单bit；O09-b replacement/addend单bit；O09-c old value单bit</t>
        </is>
      </c>
      <c r="AR314" s="33" t="n"/>
      <c r="AS314" s="36">
        <f>IF(OR(Q314="",Q314=0),"",AR314/Q314)</f>
        <v/>
      </c>
      <c r="AT314" s="62" t="n">
        <v>30</v>
      </c>
      <c r="AU314" s="62" t="n">
        <v>385</v>
      </c>
      <c r="AV314" s="62" t="inlineStr">
        <is>
          <t>常规</t>
        </is>
      </c>
      <c r="AW314" s="62" t="inlineStr">
        <is>
          <t>累计至少385，不机械扩展到2401</t>
        </is>
      </c>
    </row>
    <row r="315" ht="94.15000000000001" customHeight="1" s="58">
      <c r="A315" s="32" t="inlineStr">
        <is>
          <t>O09-F1-W13</t>
        </is>
      </c>
      <c r="B315" s="32" t="inlineStr">
        <is>
          <t>O09</t>
        </is>
      </c>
      <c r="C315" s="32" t="inlineStr">
        <is>
          <t>原子与同步</t>
        </is>
      </c>
      <c r="D315" s="31" t="inlineStr">
        <is>
          <t>LSE 原子 RMW 指令的 compare、replacement、addend、old-value 或 result 数据锁存器。该位置保存原子操作真实参与计算或返回软件的数据。</t>
        </is>
      </c>
      <c r="E315" s="31" t="inlineStr">
        <is>
          <t>单比特翻转</t>
        </is>
      </c>
      <c r="F315"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5" s="31" t="inlineStr">
        <is>
          <t>F1</t>
        </is>
      </c>
      <c r="H315" s="31" t="inlineStr">
        <is>
          <t>平均每 1,000,000 个 eligible events 注入 1 次，间隔加入 ±50% 抖动</t>
        </is>
      </c>
      <c r="I315" s="31" t="inlineStr">
        <is>
          <t>PARSEC-Selected 多线程应用（共享队列、锁与任务并行）</t>
        </is>
      </c>
      <c r="J315" s="31" t="inlineStr">
        <is>
          <t>PARSEC-Selected 多线程应用（共享队列、锁与任务并行）
执行定义与 oracle：PARSEC 中选 dedup、ferret、streamcluster 等共享队列/锁密集程序；固定线程数与输入，核对参考输出和结果哈希</t>
        </is>
      </c>
      <c r="K315" s="31" t="inlineStr">
        <is>
          <t>CAS/SWP/LDADD 等原子操作进入执行或返回阶段</t>
        </is>
      </c>
      <c r="L315" s="31" t="inlineStr">
        <is>
          <t>L1正确/故障操作数；L2原子请求和成功判定；L3内存更新与全局可见序；L4返回寄存器、共享变量和锁状态；L5结局</t>
        </is>
      </c>
      <c r="M315" s="31" t="inlineStr">
        <is>
          <t>可能造成错误比较、错误更新或错误返回，通常不触发地址异常；在复杂同步负载中可表现为lost update、死锁或SDC</t>
        </is>
      </c>
      <c r="N315" s="31" t="inlineStr">
        <is>
          <t>恢复旧版最基本的原子数据瞬态基线，使O04结构化MUX错选有可比较对象</t>
        </is>
      </c>
      <c r="O315" s="31" t="inlineStr">
        <is>
          <t>本地论文缺少原子单元直接结果；属于必要基础故障模型</t>
        </is>
      </c>
      <c r="P315" s="33" t="n"/>
      <c r="Q315" s="33" t="n"/>
      <c r="R315" s="33" t="n"/>
      <c r="S315" s="33" t="n"/>
      <c r="T315" s="33" t="n"/>
      <c r="U315" s="33" t="n"/>
      <c r="V315" s="33" t="n"/>
      <c r="W315" s="33" t="n"/>
      <c r="X315" s="36">
        <f>IF(OR(R315="",R315-AP315&lt;=0),"",AB315/(R315-AP315))</f>
        <v/>
      </c>
      <c r="Y315" s="36">
        <f>IF(OR(AR315="",AR315=0),"",R315/AR315)</f>
        <v/>
      </c>
      <c r="Z315" s="34" t="inlineStr">
        <is>
          <t>待执行</t>
        </is>
      </c>
      <c r="AA315" s="33" t="n"/>
      <c r="AB315" s="38" t="n"/>
      <c r="AC315" s="38" t="n"/>
      <c r="AD315" s="38" t="n"/>
      <c r="AE315" s="38" t="n"/>
      <c r="AF315" s="38" t="n"/>
      <c r="AG315" s="38" t="n"/>
      <c r="AH315" s="38" t="n"/>
      <c r="AI315" s="38" t="n"/>
      <c r="AJ315" s="38" t="n"/>
      <c r="AK315" s="39" t="n"/>
      <c r="AL315" s="40">
        <f>IF(OR(R315="",R315-AP315&lt;=0),"",AO315/(R315-AP315))</f>
        <v/>
      </c>
      <c r="AM315" s="41">
        <f>IF(R315="","",SUM(AC315:AF315)-(R315-AP315))</f>
        <v/>
      </c>
      <c r="AN315" s="41">
        <f>IF(R315="","",SUM(S315:W315)+AP315-R315)</f>
        <v/>
      </c>
      <c r="AO315" s="44" t="n"/>
      <c r="AP315" s="45" t="n"/>
      <c r="AQ315" s="47" t="inlineStr">
        <is>
          <t>O09-a compare操作数单bit；O09-b replacement/addend单bit；O09-c old value单bit</t>
        </is>
      </c>
      <c r="AR315" s="33" t="n"/>
      <c r="AS315" s="36">
        <f>IF(OR(Q315="",Q315=0),"",AR315/Q315)</f>
        <v/>
      </c>
      <c r="AT315" s="62" t="n">
        <v>30</v>
      </c>
      <c r="AU315" s="62" t="n">
        <v>385</v>
      </c>
      <c r="AV315" s="62" t="inlineStr">
        <is>
          <t>常规</t>
        </is>
      </c>
      <c r="AW315" s="62" t="inlineStr">
        <is>
          <t>累计至少385，不机械扩展到2401</t>
        </is>
      </c>
    </row>
    <row r="316" ht="94.15000000000001" customHeight="1" s="58">
      <c r="A316" s="32" t="inlineStr">
        <is>
          <t>O09-F2-W7</t>
        </is>
      </c>
      <c r="B316" s="32" t="inlineStr">
        <is>
          <t>O09</t>
        </is>
      </c>
      <c r="C316" s="32" t="inlineStr">
        <is>
          <t>原子与同步</t>
        </is>
      </c>
      <c r="D316" s="31" t="inlineStr">
        <is>
          <t>LSE 原子 RMW 指令的 compare、replacement、addend、old-value 或 result 数据锁存器。该位置保存原子操作真实参与计算或返回软件的数据。</t>
        </is>
      </c>
      <c r="E316" s="31" t="inlineStr">
        <is>
          <t>单比特翻转</t>
        </is>
      </c>
      <c r="F316"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6" s="31" t="inlineStr">
        <is>
          <t>F2</t>
        </is>
      </c>
      <c r="H316" s="31" t="inlineStr">
        <is>
          <t>平均每 100,000 个 eligible events 注入 1 次，间隔加入 ±50% 抖动</t>
        </is>
      </c>
      <c r="I316" s="31" t="inlineStr">
        <is>
          <t>Atomic-Litmus 并发探针（MP、SB、LB、IRIW、Dekker、ticket lock、CAS counter、LDXR/STXR）</t>
        </is>
      </c>
      <c r="J316" s="31" t="inlineStr">
        <is>
          <t>Atomic-Litmus 并发探针（MP、SB、LB、IRIW、Dekker、ticket lock、CAS counter、LDXR/STXR）
执行定义与 oracle：MP、SB、LB、IRIW、Dekker、ticket lock、CAS counter、LDXR/STXR 竞争；每轮检查禁出现结果</t>
        </is>
      </c>
      <c r="K316" s="31" t="inlineStr">
        <is>
          <t>CAS/SWP/LDADD 等原子操作进入执行或返回阶段</t>
        </is>
      </c>
      <c r="L316" s="31" t="inlineStr">
        <is>
          <t>L1正确/故障操作数；L2原子请求和成功判定；L3内存更新与全局可见序；L4返回寄存器、共享变量和锁状态；L5结局</t>
        </is>
      </c>
      <c r="M316" s="31" t="inlineStr">
        <is>
          <t>可能造成错误比较、错误更新或错误返回，通常不触发地址异常；在复杂同步负载中可表现为lost update、死锁或SDC</t>
        </is>
      </c>
      <c r="N316" s="31" t="inlineStr">
        <is>
          <t>恢复旧版最基本的原子数据瞬态基线，使O04结构化MUX错选有可比较对象</t>
        </is>
      </c>
      <c r="O316" s="31" t="inlineStr">
        <is>
          <t>本地论文缺少原子单元直接结果；属于必要基础故障模型</t>
        </is>
      </c>
      <c r="P316" s="33" t="n"/>
      <c r="Q316" s="33" t="n"/>
      <c r="R316" s="33" t="n"/>
      <c r="S316" s="33" t="n"/>
      <c r="T316" s="33" t="n"/>
      <c r="U316" s="33" t="n"/>
      <c r="V316" s="33" t="n"/>
      <c r="W316" s="33" t="n"/>
      <c r="X316" s="36">
        <f>IF(OR(R316="",R316-AP316&lt;=0),"",AB316/(R316-AP316))</f>
        <v/>
      </c>
      <c r="Y316" s="36">
        <f>IF(OR(AR316="",AR316=0),"",R316/AR316)</f>
        <v/>
      </c>
      <c r="Z316" s="34" t="inlineStr">
        <is>
          <t>待执行</t>
        </is>
      </c>
      <c r="AA316" s="33" t="n"/>
      <c r="AB316" s="38" t="n"/>
      <c r="AC316" s="38" t="n"/>
      <c r="AD316" s="38" t="n"/>
      <c r="AE316" s="38" t="n"/>
      <c r="AF316" s="38" t="n"/>
      <c r="AG316" s="38" t="n"/>
      <c r="AH316" s="38" t="n"/>
      <c r="AI316" s="38" t="n"/>
      <c r="AJ316" s="38" t="n"/>
      <c r="AK316" s="39" t="n"/>
      <c r="AL316" s="40">
        <f>IF(OR(R316="",R316-AP316&lt;=0),"",AO316/(R316-AP316))</f>
        <v/>
      </c>
      <c r="AM316" s="41">
        <f>IF(R316="","",SUM(AC316:AF316)-(R316-AP316))</f>
        <v/>
      </c>
      <c r="AN316" s="41">
        <f>IF(R316="","",SUM(S316:W316)+AP316-R316)</f>
        <v/>
      </c>
      <c r="AO316" s="44" t="n"/>
      <c r="AP316" s="45" t="n"/>
      <c r="AQ316" s="47" t="inlineStr">
        <is>
          <t>O09-a compare操作数单bit；O09-b replacement/addend单bit；O09-c old value单bit</t>
        </is>
      </c>
      <c r="AR316" s="33" t="n"/>
      <c r="AS316" s="36">
        <f>IF(OR(Q316="",Q316=0),"",AR316/Q316)</f>
        <v/>
      </c>
      <c r="AT316" s="62" t="n">
        <v>30</v>
      </c>
      <c r="AU316" s="62" t="n">
        <v>385</v>
      </c>
      <c r="AV316" s="62" t="inlineStr">
        <is>
          <t>常规</t>
        </is>
      </c>
      <c r="AW316" s="62" t="inlineStr">
        <is>
          <t>累计至少385，不机械扩展到2401</t>
        </is>
      </c>
    </row>
    <row r="317" ht="94.15000000000001" customHeight="1" s="58">
      <c r="A317" s="32" t="inlineStr">
        <is>
          <t>O09-F2-W13</t>
        </is>
      </c>
      <c r="B317" s="32" t="inlineStr">
        <is>
          <t>O09</t>
        </is>
      </c>
      <c r="C317" s="32" t="inlineStr">
        <is>
          <t>原子与同步</t>
        </is>
      </c>
      <c r="D317" s="31" t="inlineStr">
        <is>
          <t>LSE 原子 RMW 指令的 compare、replacement、addend、old-value 或 result 数据锁存器。该位置保存原子操作真实参与计算或返回软件的数据。</t>
        </is>
      </c>
      <c r="E317" s="31" t="inlineStr">
        <is>
          <t>单比特翻转</t>
        </is>
      </c>
      <c r="F317"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7" s="31" t="inlineStr">
        <is>
          <t>F2</t>
        </is>
      </c>
      <c r="H317" s="31" t="inlineStr">
        <is>
          <t>平均每 100,000 个 eligible events 注入 1 次，间隔加入 ±50% 抖动</t>
        </is>
      </c>
      <c r="I317" s="31" t="inlineStr">
        <is>
          <t>PARSEC-Selected 多线程应用（共享队列、锁与任务并行）</t>
        </is>
      </c>
      <c r="J317" s="31" t="inlineStr">
        <is>
          <t>PARSEC-Selected 多线程应用（共享队列、锁与任务并行）
执行定义与 oracle：PARSEC 中选 dedup、ferret、streamcluster 等共享队列/锁密集程序；固定线程数与输入，核对参考输出和结果哈希</t>
        </is>
      </c>
      <c r="K317" s="31" t="inlineStr">
        <is>
          <t>CAS/SWP/LDADD 等原子操作进入执行或返回阶段</t>
        </is>
      </c>
      <c r="L317" s="31" t="inlineStr">
        <is>
          <t>L1正确/故障操作数；L2原子请求和成功判定；L3内存更新与全局可见序；L4返回寄存器、共享变量和锁状态；L5结局</t>
        </is>
      </c>
      <c r="M317" s="31" t="inlineStr">
        <is>
          <t>可能造成错误比较、错误更新或错误返回，通常不触发地址异常；在复杂同步负载中可表现为lost update、死锁或SDC</t>
        </is>
      </c>
      <c r="N317" s="31" t="inlineStr">
        <is>
          <t>恢复旧版最基本的原子数据瞬态基线，使O04结构化MUX错选有可比较对象</t>
        </is>
      </c>
      <c r="O317" s="31" t="inlineStr">
        <is>
          <t>本地论文缺少原子单元直接结果；属于必要基础故障模型</t>
        </is>
      </c>
      <c r="P317" s="33" t="n"/>
      <c r="Q317" s="33" t="n"/>
      <c r="R317" s="33" t="n"/>
      <c r="S317" s="33" t="n"/>
      <c r="T317" s="33" t="n"/>
      <c r="U317" s="33" t="n"/>
      <c r="V317" s="33" t="n"/>
      <c r="W317" s="33" t="n"/>
      <c r="X317" s="36">
        <f>IF(OR(R317="",R317-AP317&lt;=0),"",AB317/(R317-AP317))</f>
        <v/>
      </c>
      <c r="Y317" s="36">
        <f>IF(OR(AR317="",AR317=0),"",R317/AR317)</f>
        <v/>
      </c>
      <c r="Z317" s="34" t="inlineStr">
        <is>
          <t>待执行</t>
        </is>
      </c>
      <c r="AA317" s="33" t="n"/>
      <c r="AB317" s="38" t="n"/>
      <c r="AC317" s="38" t="n"/>
      <c r="AD317" s="38" t="n"/>
      <c r="AE317" s="38" t="n"/>
      <c r="AF317" s="38" t="n"/>
      <c r="AG317" s="38" t="n"/>
      <c r="AH317" s="38" t="n"/>
      <c r="AI317" s="38" t="n"/>
      <c r="AJ317" s="38" t="n"/>
      <c r="AK317" s="39" t="n"/>
      <c r="AL317" s="40">
        <f>IF(OR(R317="",R317-AP317&lt;=0),"",AO317/(R317-AP317))</f>
        <v/>
      </c>
      <c r="AM317" s="41">
        <f>IF(R317="","",SUM(AC317:AF317)-(R317-AP317))</f>
        <v/>
      </c>
      <c r="AN317" s="41">
        <f>IF(R317="","",SUM(S317:W317)+AP317-R317)</f>
        <v/>
      </c>
      <c r="AO317" s="44" t="n"/>
      <c r="AP317" s="45" t="n"/>
      <c r="AQ317" s="47" t="inlineStr">
        <is>
          <t>O09-a compare操作数单bit；O09-b replacement/addend单bit；O09-c old value单bit</t>
        </is>
      </c>
      <c r="AR317" s="33" t="n"/>
      <c r="AS317" s="36">
        <f>IF(OR(Q317="",Q317=0),"",AR317/Q317)</f>
        <v/>
      </c>
      <c r="AT317" s="62" t="n">
        <v>30</v>
      </c>
      <c r="AU317" s="62" t="n">
        <v>385</v>
      </c>
      <c r="AV317" s="62" t="inlineStr">
        <is>
          <t>常规</t>
        </is>
      </c>
      <c r="AW317" s="62" t="inlineStr">
        <is>
          <t>累计至少385，不机械扩展到2401</t>
        </is>
      </c>
    </row>
    <row r="318" ht="94.15000000000001" customHeight="1" s="58">
      <c r="A318" s="32" t="inlineStr">
        <is>
          <t>P09-F0-W6</t>
        </is>
      </c>
      <c r="B318" s="32" t="inlineStr">
        <is>
          <t>P09</t>
        </is>
      </c>
      <c r="C318" s="32" t="inlineStr">
        <is>
          <t>数据预取器</t>
        </is>
      </c>
      <c r="D318" s="31" t="inlineStr">
        <is>
          <t>由预取请求触发的 cache victim 选择、dirty victim writeback 请求及完成握手。该路径与需求miss共享底层写回资源，但触发来源明确标记为prefetch。</t>
        </is>
      </c>
      <c r="E318" s="31" t="inlineStr">
        <is>
          <t>时序/状态</t>
        </is>
      </c>
      <c r="F318" s="31" t="inlineStr">
        <is>
          <t>仅在预取分配导致 dirty line 驱逐时，独立执行：丢失writeback request、提前报告writeback done、或把dirty状态错误清除。victim tag/data 保持不变；记录prefetch transaction和victim line。</t>
        </is>
      </c>
      <c r="G318" s="31" t="inlineStr">
        <is>
          <t>F0</t>
        </is>
      </c>
      <c r="H318" s="31" t="inlineStr">
        <is>
          <t>每次运行只注入 1 次；在 warm-up 后的 eligible event 中均匀抽样</t>
        </is>
      </c>
      <c r="I318" s="31" t="inlineStr">
        <is>
          <t>Cache-DirtyEvict 缓存探针（0.5×/1×/2×L1D working set、conflict set、dirty eviction、writeback）</t>
        </is>
      </c>
      <c r="J318" s="31" t="inlineStr">
        <is>
          <t>Cache-DirtyEvict 缓存探针（0.5×/1×/2×L1D working set、conflict set、dirty eviction、writeback）
执行定义与 oracle：working set=0.5×/1×/2×L1D；读改写、dirty eviction、writeback、conflict set、共享行 false sharing</t>
        </is>
      </c>
      <c r="K318" s="31" t="inlineStr">
        <is>
          <t>prefetch分配cache line并驱逐dirty victim</t>
        </is>
      </c>
      <c r="L318" s="31" t="inlineStr">
        <is>
          <t>L1预取来源与victim选择；L2prefetch/demand分类和request ID；L3dirty、writeback地址/数据及后续重读；L4共享变量/输出；L5结局</t>
        </is>
      </c>
      <c r="M318" s="31" t="inlineStr">
        <is>
          <t>跳过脏行写回会静默丢失最新数据；与普通预取地址错误不同，预期可产生非零SDC</t>
        </is>
      </c>
      <c r="N318" s="31" t="inlineStr">
        <is>
          <t>恢复旧版对预取触发脏驱逐的独立问题定义，用事件标签检验预取激进度是否放大正确性风险</t>
        </is>
      </c>
      <c r="O318" s="31" t="inlineStr">
        <is>
          <t>无直接预取器文献；与L1D dirty/writeback故障共享机制但触发来源不同</t>
        </is>
      </c>
      <c r="P318" s="33" t="n"/>
      <c r="Q318" s="33" t="n"/>
      <c r="R318" s="33" t="n"/>
      <c r="S318" s="33" t="n"/>
      <c r="T318" s="33" t="n"/>
      <c r="U318" s="33" t="n"/>
      <c r="V318" s="33" t="n"/>
      <c r="W318" s="33" t="n"/>
      <c r="X318" s="36">
        <f>IF(OR(R318="",R318-AP318&lt;=0),"",AB318/(R318-AP318))</f>
        <v/>
      </c>
      <c r="Y318" s="36">
        <f>IF(OR(AR318="",AR318=0),"",R318/AR318)</f>
        <v/>
      </c>
      <c r="Z318" s="34" t="inlineStr">
        <is>
          <t>待执行</t>
        </is>
      </c>
      <c r="AA318" s="33" t="n"/>
      <c r="AB318" s="38" t="n"/>
      <c r="AC318" s="38" t="n"/>
      <c r="AD318" s="38" t="n"/>
      <c r="AE318" s="38" t="n"/>
      <c r="AF318" s="38" t="n"/>
      <c r="AG318" s="38" t="n"/>
      <c r="AH318" s="38" t="n"/>
      <c r="AI318" s="38" t="n"/>
      <c r="AJ318" s="38" t="n"/>
      <c r="AK318" s="39" t="n"/>
      <c r="AL318" s="40">
        <f>IF(OR(R318="",R318-AP318&lt;=0),"",AO318/(R318-AP318))</f>
        <v/>
      </c>
      <c r="AM318" s="41">
        <f>IF(R318="","",SUM(AC318:AF318)-(R318-AP318))</f>
        <v/>
      </c>
      <c r="AN318" s="41">
        <f>IF(R318="","",SUM(S318:W318)+AP318-R318)</f>
        <v/>
      </c>
      <c r="AO318" s="44" t="n"/>
      <c r="AP318" s="45" t="n"/>
      <c r="AQ318" s="47" t="inlineStr">
        <is>
          <t>P09-a dirty eviction writeback请求丢失；P09-b done过早；P09-c dirty过早清除</t>
        </is>
      </c>
      <c r="AR318" s="33" t="n"/>
      <c r="AS318" s="36">
        <f>IF(OR(Q318="",Q318=0),"",AR318/Q318)</f>
        <v/>
      </c>
      <c r="AT318" s="62" t="n">
        <v>30</v>
      </c>
      <c r="AU318" s="62" t="n">
        <v>2401</v>
      </c>
      <c r="AV318" s="62" t="inlineStr">
        <is>
          <t>重点（预登记21项）</t>
        </is>
      </c>
      <c r="AW318" s="62" t="inlineStr">
        <is>
          <t>累计到2401（含前385）</t>
        </is>
      </c>
    </row>
    <row r="319" ht="94.15000000000001" customHeight="1" s="58">
      <c r="A319" s="32" t="inlineStr">
        <is>
          <t>P09-F0-W8</t>
        </is>
      </c>
      <c r="B319" s="32" t="inlineStr">
        <is>
          <t>P09</t>
        </is>
      </c>
      <c r="C319" s="32" t="inlineStr">
        <is>
          <t>数据预取器</t>
        </is>
      </c>
      <c r="D319" s="31" t="inlineStr">
        <is>
          <t>由预取请求触发的 cache victim 选择、dirty victim writeback 请求及完成握手。该路径与需求miss共享底层写回资源，但触发来源明确标记为prefetch。</t>
        </is>
      </c>
      <c r="E319" s="31" t="inlineStr">
        <is>
          <t>时序/状态</t>
        </is>
      </c>
      <c r="F319" s="31" t="inlineStr">
        <is>
          <t>仅在预取分配导致 dirty line 驱逐时，独立执行：丢失writeback request、提前报告writeback done、或把dirty状态错误清除。victim tag/data 保持不变；记录prefetch transaction和victim line。</t>
        </is>
      </c>
      <c r="G319" s="31" t="inlineStr">
        <is>
          <t>F0</t>
        </is>
      </c>
      <c r="H319" s="31" t="inlineStr">
        <is>
          <t>每次运行只注入 1 次；在 warm-up 后的 eligible event 中均匀抽样</t>
        </is>
      </c>
      <c r="I319" s="31" t="inlineStr">
        <is>
          <t>Prefetch-Stride 预取探针（正/负/交错 stride、pointer chase、跨页 stride、训练后变步长）</t>
        </is>
      </c>
      <c r="J319" s="31" t="inlineStr">
        <is>
          <t>Prefetch-Stride 预取探针（正/负/交错 stride、pointer chase、跨页 stride、训练后变步长）
执行定义与 oracle：正/负/交错 stride、随机 pointer chase、跨页 stride、训练后变步长、需求/预取竞争</t>
        </is>
      </c>
      <c r="K319" s="31" t="inlineStr">
        <is>
          <t>prefetch分配cache line并驱逐dirty victim</t>
        </is>
      </c>
      <c r="L319" s="31" t="inlineStr">
        <is>
          <t>L1预取来源与victim选择；L2prefetch/demand分类和request ID；L3dirty、writeback地址/数据及后续重读；L4共享变量/输出；L5结局</t>
        </is>
      </c>
      <c r="M319" s="31" t="inlineStr">
        <is>
          <t>跳过脏行写回会静默丢失最新数据；与普通预取地址错误不同，预期可产生非零SDC</t>
        </is>
      </c>
      <c r="N319" s="31" t="inlineStr">
        <is>
          <t>恢复旧版对预取触发脏驱逐的独立问题定义，用事件标签检验预取激进度是否放大正确性风险</t>
        </is>
      </c>
      <c r="O319" s="31" t="inlineStr">
        <is>
          <t>无直接预取器文献；与L1D dirty/writeback故障共享机制但触发来源不同</t>
        </is>
      </c>
      <c r="P319" s="33" t="n"/>
      <c r="Q319" s="33" t="n"/>
      <c r="R319" s="33" t="n"/>
      <c r="S319" s="33" t="n"/>
      <c r="T319" s="33" t="n"/>
      <c r="U319" s="33" t="n"/>
      <c r="V319" s="33" t="n"/>
      <c r="W319" s="33" t="n"/>
      <c r="X319" s="36">
        <f>IF(OR(R319="",R319-AP319&lt;=0),"",AB319/(R319-AP319))</f>
        <v/>
      </c>
      <c r="Y319" s="36">
        <f>IF(OR(AR319="",AR319=0),"",R319/AR319)</f>
        <v/>
      </c>
      <c r="Z319" s="34" t="inlineStr">
        <is>
          <t>待执行</t>
        </is>
      </c>
      <c r="AA319" s="33" t="n"/>
      <c r="AB319" s="38" t="n"/>
      <c r="AC319" s="38" t="n"/>
      <c r="AD319" s="38" t="n"/>
      <c r="AE319" s="38" t="n"/>
      <c r="AF319" s="38" t="n"/>
      <c r="AG319" s="38" t="n"/>
      <c r="AH319" s="38" t="n"/>
      <c r="AI319" s="38" t="n"/>
      <c r="AJ319" s="38" t="n"/>
      <c r="AK319" s="39" t="n"/>
      <c r="AL319" s="40">
        <f>IF(OR(R319="",R319-AP319&lt;=0),"",AO319/(R319-AP319))</f>
        <v/>
      </c>
      <c r="AM319" s="41">
        <f>IF(R319="","",SUM(AC319:AF319)-(R319-AP319))</f>
        <v/>
      </c>
      <c r="AN319" s="41">
        <f>IF(R319="","",SUM(S319:W319)+AP319-R319)</f>
        <v/>
      </c>
      <c r="AO319" s="44" t="n"/>
      <c r="AP319" s="45" t="n"/>
      <c r="AQ319" s="47" t="inlineStr">
        <is>
          <t>P09-a dirty eviction writeback请求丢失；P09-b done过早；P09-c dirty过早清除</t>
        </is>
      </c>
      <c r="AR319" s="33" t="n"/>
      <c r="AS319" s="36">
        <f>IF(OR(Q319="",Q319=0),"",AR319/Q319)</f>
        <v/>
      </c>
      <c r="AT319" s="62" t="n">
        <v>30</v>
      </c>
      <c r="AU319" s="62" t="n">
        <v>385</v>
      </c>
      <c r="AV319" s="62" t="inlineStr">
        <is>
          <t>常规</t>
        </is>
      </c>
      <c r="AW319" s="62" t="inlineStr">
        <is>
          <t>累计至少385，不机械扩展到2401</t>
        </is>
      </c>
    </row>
    <row r="320" ht="94.15000000000001" customHeight="1" s="58">
      <c r="A320" s="32" t="inlineStr">
        <is>
          <t>P09-F0-W13</t>
        </is>
      </c>
      <c r="B320" s="32" t="inlineStr">
        <is>
          <t>P09</t>
        </is>
      </c>
      <c r="C320" s="32" t="inlineStr">
        <is>
          <t>数据预取器</t>
        </is>
      </c>
      <c r="D320" s="31" t="inlineStr">
        <is>
          <t>由预取请求触发的 cache victim 选择、dirty victim writeback 请求及完成握手。该路径与需求miss共享底层写回资源，但触发来源明确标记为prefetch。</t>
        </is>
      </c>
      <c r="E320" s="31" t="inlineStr">
        <is>
          <t>时序/状态</t>
        </is>
      </c>
      <c r="F320" s="31" t="inlineStr">
        <is>
          <t>仅在预取分配导致 dirty line 驱逐时，独立执行：丢失writeback request、提前报告writeback done、或把dirty状态错误清除。victim tag/data 保持不变；记录prefetch transaction和victim line。</t>
        </is>
      </c>
      <c r="G320" s="31" t="inlineStr">
        <is>
          <t>F0</t>
        </is>
      </c>
      <c r="H320" s="31" t="inlineStr">
        <is>
          <t>每次运行只注入 1 次；在 warm-up 后的 eligible event 中均匀抽样</t>
        </is>
      </c>
      <c r="I320" s="31" t="inlineStr">
        <is>
          <t>PARSEC-Selected 多线程应用（共享队列、锁与任务并行）</t>
        </is>
      </c>
      <c r="J320" s="31" t="inlineStr">
        <is>
          <t>PARSEC-Selected 多线程应用（共享队列、锁与任务并行）
执行定义与 oracle：PARSEC 中选 dedup、ferret、streamcluster 等共享队列/锁密集程序；固定线程数与输入，核对参考输出和结果哈希</t>
        </is>
      </c>
      <c r="K320" s="31" t="inlineStr">
        <is>
          <t>prefetch分配cache line并驱逐dirty victim</t>
        </is>
      </c>
      <c r="L320" s="31" t="inlineStr">
        <is>
          <t>L1预取来源与victim选择；L2prefetch/demand分类和request ID；L3dirty、writeback地址/数据及后续重读；L4共享变量/输出；L5结局</t>
        </is>
      </c>
      <c r="M320" s="31" t="inlineStr">
        <is>
          <t>跳过脏行写回会静默丢失最新数据；与普通预取地址错误不同，预期可产生非零SDC</t>
        </is>
      </c>
      <c r="N320" s="31" t="inlineStr">
        <is>
          <t>恢复旧版对预取触发脏驱逐的独立问题定义，用事件标签检验预取激进度是否放大正确性风险</t>
        </is>
      </c>
      <c r="O320" s="31" t="inlineStr">
        <is>
          <t>无直接预取器文献；与L1D dirty/writeback故障共享机制但触发来源不同</t>
        </is>
      </c>
      <c r="P320" s="33" t="n"/>
      <c r="Q320" s="33" t="n"/>
      <c r="R320" s="33" t="n"/>
      <c r="S320" s="33" t="n"/>
      <c r="T320" s="33" t="n"/>
      <c r="U320" s="33" t="n"/>
      <c r="V320" s="33" t="n"/>
      <c r="W320" s="33" t="n"/>
      <c r="X320" s="36">
        <f>IF(OR(R320="",R320-AP320&lt;=0),"",AB320/(R320-AP320))</f>
        <v/>
      </c>
      <c r="Y320" s="36">
        <f>IF(OR(AR320="",AR320=0),"",R320/AR320)</f>
        <v/>
      </c>
      <c r="Z320" s="34" t="inlineStr">
        <is>
          <t>待执行</t>
        </is>
      </c>
      <c r="AA320" s="33" t="n"/>
      <c r="AB320" s="38" t="n"/>
      <c r="AC320" s="38" t="n"/>
      <c r="AD320" s="38" t="n"/>
      <c r="AE320" s="38" t="n"/>
      <c r="AF320" s="38" t="n"/>
      <c r="AG320" s="38" t="n"/>
      <c r="AH320" s="38" t="n"/>
      <c r="AI320" s="38" t="n"/>
      <c r="AJ320" s="38" t="n"/>
      <c r="AK320" s="39" t="n"/>
      <c r="AL320" s="40">
        <f>IF(OR(R320="",R320-AP320&lt;=0),"",AO320/(R320-AP320))</f>
        <v/>
      </c>
      <c r="AM320" s="41">
        <f>IF(R320="","",SUM(AC320:AF320)-(R320-AP320))</f>
        <v/>
      </c>
      <c r="AN320" s="41">
        <f>IF(R320="","",SUM(S320:W320)+AP320-R320)</f>
        <v/>
      </c>
      <c r="AO320" s="44" t="n"/>
      <c r="AP320" s="45" t="n"/>
      <c r="AQ320" s="47" t="inlineStr">
        <is>
          <t>P09-a dirty eviction writeback请求丢失；P09-b done过早；P09-c dirty过早清除</t>
        </is>
      </c>
      <c r="AR320" s="33" t="n"/>
      <c r="AS320" s="36">
        <f>IF(OR(Q320="",Q320=0),"",AR320/Q320)</f>
        <v/>
      </c>
      <c r="AT320" s="62" t="n">
        <v>30</v>
      </c>
      <c r="AU320" s="62" t="n">
        <v>2401</v>
      </c>
      <c r="AV320" s="62" t="inlineStr">
        <is>
          <t>重点（预登记21项）</t>
        </is>
      </c>
      <c r="AW320" s="62" t="inlineStr">
        <is>
          <t>累计到2401（含前385）</t>
        </is>
      </c>
    </row>
    <row r="321" ht="94.15000000000001" customHeight="1" s="58">
      <c r="A321" s="32" t="inlineStr">
        <is>
          <t>P09-F4-W6</t>
        </is>
      </c>
      <c r="B321" s="32" t="inlineStr">
        <is>
          <t>P09</t>
        </is>
      </c>
      <c r="C321" s="32" t="inlineStr">
        <is>
          <t>数据预取器</t>
        </is>
      </c>
      <c r="D321" s="31" t="inlineStr">
        <is>
          <t>由预取请求触发的 cache victim 选择、dirty victim writeback 请求及完成握手。该路径与需求miss共享底层写回资源，但触发来源明确标记为prefetch。</t>
        </is>
      </c>
      <c r="E321" s="31" t="inlineStr">
        <is>
          <t>时序/状态</t>
        </is>
      </c>
      <c r="F321" s="31" t="inlineStr">
        <is>
          <t>仅在预取分配导致 dirty line 驱逐时，独立执行：丢失writeback request、提前报告writeback done、或把dirty状态错误清除。victim tag/data 保持不变；记录prefetch transaction和victim line。</t>
        </is>
      </c>
      <c r="G321" s="31" t="inlineStr">
        <is>
          <t>F4</t>
        </is>
      </c>
      <c r="H321" s="31" t="inlineStr">
        <is>
          <t>每 100,000 个 eligible events 触发一次，连续污染 2-4 个 eligible events</t>
        </is>
      </c>
      <c r="I321" s="31" t="inlineStr">
        <is>
          <t>Cache-DirtyEvict 缓存探针（0.5×/1×/2×L1D working set、conflict set、dirty eviction、writeback）</t>
        </is>
      </c>
      <c r="J321" s="31" t="inlineStr">
        <is>
          <t>Cache-DirtyEvict 缓存探针（0.5×/1×/2×L1D working set、conflict set、dirty eviction、writeback）
执行定义与 oracle：working set=0.5×/1×/2×L1D；读改写、dirty eviction、writeback、conflict set、共享行 false sharing</t>
        </is>
      </c>
      <c r="K321" s="31" t="inlineStr">
        <is>
          <t>prefetch分配cache line并驱逐dirty victim</t>
        </is>
      </c>
      <c r="L321" s="31" t="inlineStr">
        <is>
          <t>L1预取来源与victim选择；L2prefetch/demand分类和request ID；L3dirty、writeback地址/数据及后续重读；L4共享变量/输出；L5结局</t>
        </is>
      </c>
      <c r="M321" s="31" t="inlineStr">
        <is>
          <t>跳过脏行写回会静默丢失最新数据；与普通预取地址错误不同，预期可产生非零SDC</t>
        </is>
      </c>
      <c r="N321" s="31" t="inlineStr">
        <is>
          <t>恢复旧版对预取触发脏驱逐的独立问题定义，用事件标签检验预取激进度是否放大正确性风险</t>
        </is>
      </c>
      <c r="O321" s="31" t="inlineStr">
        <is>
          <t>无直接预取器文献；与L1D dirty/writeback故障共享机制但触发来源不同</t>
        </is>
      </c>
      <c r="P321" s="33" t="n"/>
      <c r="Q321" s="33" t="n"/>
      <c r="R321" s="33" t="n"/>
      <c r="S321" s="33" t="n"/>
      <c r="T321" s="33" t="n"/>
      <c r="U321" s="33" t="n"/>
      <c r="V321" s="33" t="n"/>
      <c r="W321" s="33" t="n"/>
      <c r="X321" s="36">
        <f>IF(OR(R321="",R321-AP321&lt;=0),"",AB321/(R321-AP321))</f>
        <v/>
      </c>
      <c r="Y321" s="36">
        <f>IF(OR(AR321="",AR321=0),"",R321/AR321)</f>
        <v/>
      </c>
      <c r="Z321" s="34" t="inlineStr">
        <is>
          <t>待执行</t>
        </is>
      </c>
      <c r="AA321" s="33" t="n"/>
      <c r="AB321" s="38" t="n"/>
      <c r="AC321" s="38" t="n"/>
      <c r="AD321" s="38" t="n"/>
      <c r="AE321" s="38" t="n"/>
      <c r="AF321" s="38" t="n"/>
      <c r="AG321" s="38" t="n"/>
      <c r="AH321" s="38" t="n"/>
      <c r="AI321" s="38" t="n"/>
      <c r="AJ321" s="38" t="n"/>
      <c r="AK321" s="39" t="n"/>
      <c r="AL321" s="40">
        <f>IF(OR(R321="",R321-AP321&lt;=0),"",AO321/(R321-AP321))</f>
        <v/>
      </c>
      <c r="AM321" s="41">
        <f>IF(R321="","",SUM(AC321:AF321)-(R321-AP321))</f>
        <v/>
      </c>
      <c r="AN321" s="41">
        <f>IF(R321="","",SUM(S321:W321)+AP321-R321)</f>
        <v/>
      </c>
      <c r="AO321" s="44" t="n"/>
      <c r="AP321" s="45" t="n"/>
      <c r="AQ321" s="47" t="inlineStr">
        <is>
          <t>P09-a dirty eviction writeback请求丢失；P09-b done过早；P09-c dirty过早清除</t>
        </is>
      </c>
      <c r="AR321" s="33" t="n"/>
      <c r="AS321" s="36">
        <f>IF(OR(Q321="",Q321=0),"",AR321/Q321)</f>
        <v/>
      </c>
      <c r="AT321" s="62" t="n">
        <v>30</v>
      </c>
      <c r="AU321" s="62" t="n">
        <v>385</v>
      </c>
      <c r="AV321" s="62" t="inlineStr">
        <is>
          <t>常规</t>
        </is>
      </c>
      <c r="AW321" s="62" t="inlineStr">
        <is>
          <t>累计至少385，不机械扩展到2401</t>
        </is>
      </c>
    </row>
    <row r="322" ht="94.15000000000001" customHeight="1" s="58">
      <c r="A322" s="32" t="inlineStr">
        <is>
          <t>P09-F4-W8</t>
        </is>
      </c>
      <c r="B322" s="32" t="inlineStr">
        <is>
          <t>P09</t>
        </is>
      </c>
      <c r="C322" s="32" t="inlineStr">
        <is>
          <t>数据预取器</t>
        </is>
      </c>
      <c r="D322" s="31" t="inlineStr">
        <is>
          <t>由预取请求触发的 cache victim 选择、dirty victim writeback 请求及完成握手。该路径与需求miss共享底层写回资源，但触发来源明确标记为prefetch。</t>
        </is>
      </c>
      <c r="E322" s="31" t="inlineStr">
        <is>
          <t>时序/状态</t>
        </is>
      </c>
      <c r="F322" s="31" t="inlineStr">
        <is>
          <t>仅在预取分配导致 dirty line 驱逐时，独立执行：丢失writeback request、提前报告writeback done、或把dirty状态错误清除。victim tag/data 保持不变；记录prefetch transaction和victim line。</t>
        </is>
      </c>
      <c r="G322" s="31" t="inlineStr">
        <is>
          <t>F4</t>
        </is>
      </c>
      <c r="H322" s="31" t="inlineStr">
        <is>
          <t>每 100,000 个 eligible events 触发一次，连续污染 2-4 个 eligible events</t>
        </is>
      </c>
      <c r="I322" s="31" t="inlineStr">
        <is>
          <t>Prefetch-Stride 预取探针（正/负/交错 stride、pointer chase、跨页 stride、训练后变步长）</t>
        </is>
      </c>
      <c r="J322" s="31" t="inlineStr">
        <is>
          <t>Prefetch-Stride 预取探针（正/负/交错 stride、pointer chase、跨页 stride、训练后变步长）
执行定义与 oracle：正/负/交错 stride、随机 pointer chase、跨页 stride、训练后变步长、需求/预取竞争</t>
        </is>
      </c>
      <c r="K322" s="31" t="inlineStr">
        <is>
          <t>prefetch分配cache line并驱逐dirty victim</t>
        </is>
      </c>
      <c r="L322" s="31" t="inlineStr">
        <is>
          <t>L1预取来源与victim选择；L2prefetch/demand分类和request ID；L3dirty、writeback地址/数据及后续重读；L4共享变量/输出；L5结局</t>
        </is>
      </c>
      <c r="M322" s="31" t="inlineStr">
        <is>
          <t>跳过脏行写回会静默丢失最新数据；与普通预取地址错误不同，预期可产生非零SDC</t>
        </is>
      </c>
      <c r="N322" s="31" t="inlineStr">
        <is>
          <t>恢复旧版对预取触发脏驱逐的独立问题定义，用事件标签检验预取激进度是否放大正确性风险</t>
        </is>
      </c>
      <c r="O322" s="31" t="inlineStr">
        <is>
          <t>无直接预取器文献；与L1D dirty/writeback故障共享机制但触发来源不同</t>
        </is>
      </c>
      <c r="P322" s="33" t="n"/>
      <c r="Q322" s="33" t="n"/>
      <c r="R322" s="33" t="n"/>
      <c r="S322" s="33" t="n"/>
      <c r="T322" s="33" t="n"/>
      <c r="U322" s="33" t="n"/>
      <c r="V322" s="33" t="n"/>
      <c r="W322" s="33" t="n"/>
      <c r="X322" s="36">
        <f>IF(OR(R322="",R322-AP322&lt;=0),"",AB322/(R322-AP322))</f>
        <v/>
      </c>
      <c r="Y322" s="36">
        <f>IF(OR(AR322="",AR322=0),"",R322/AR322)</f>
        <v/>
      </c>
      <c r="Z322" s="34" t="inlineStr">
        <is>
          <t>待执行</t>
        </is>
      </c>
      <c r="AA322" s="33" t="n"/>
      <c r="AB322" s="38" t="n"/>
      <c r="AC322" s="38" t="n"/>
      <c r="AD322" s="38" t="n"/>
      <c r="AE322" s="38" t="n"/>
      <c r="AF322" s="38" t="n"/>
      <c r="AG322" s="38" t="n"/>
      <c r="AH322" s="38" t="n"/>
      <c r="AI322" s="38" t="n"/>
      <c r="AJ322" s="38" t="n"/>
      <c r="AK322" s="39" t="n"/>
      <c r="AL322" s="40">
        <f>IF(OR(R322="",R322-AP322&lt;=0),"",AO322/(R322-AP322))</f>
        <v/>
      </c>
      <c r="AM322" s="41">
        <f>IF(R322="","",SUM(AC322:AF322)-(R322-AP322))</f>
        <v/>
      </c>
      <c r="AN322" s="41">
        <f>IF(R322="","",SUM(S322:W322)+AP322-R322)</f>
        <v/>
      </c>
      <c r="AO322" s="44" t="n"/>
      <c r="AP322" s="45" t="n"/>
      <c r="AQ322" s="47" t="inlineStr">
        <is>
          <t>P09-a dirty eviction writeback请求丢失；P09-b done过早；P09-c dirty过早清除</t>
        </is>
      </c>
      <c r="AR322" s="33" t="n"/>
      <c r="AS322" s="36">
        <f>IF(OR(Q322="",Q322=0),"",AR322/Q322)</f>
        <v/>
      </c>
      <c r="AT322" s="62" t="n">
        <v>30</v>
      </c>
      <c r="AU322" s="62" t="n">
        <v>385</v>
      </c>
      <c r="AV322" s="62" t="inlineStr">
        <is>
          <t>常规</t>
        </is>
      </c>
      <c r="AW322" s="62" t="inlineStr">
        <is>
          <t>累计至少385，不机械扩展到2401</t>
        </is>
      </c>
    </row>
    <row r="323" ht="94.15000000000001" customHeight="1" s="58">
      <c r="A323" s="32" t="inlineStr">
        <is>
          <t>P09-F4-W13</t>
        </is>
      </c>
      <c r="B323" s="32" t="inlineStr">
        <is>
          <t>P09</t>
        </is>
      </c>
      <c r="C323" s="32" t="inlineStr">
        <is>
          <t>数据预取器</t>
        </is>
      </c>
      <c r="D323" s="31" t="inlineStr">
        <is>
          <t>由预取请求触发的 cache victim 选择、dirty victim writeback 请求及完成握手。该路径与需求miss共享底层写回资源，但触发来源明确标记为prefetch。</t>
        </is>
      </c>
      <c r="E323" s="31" t="inlineStr">
        <is>
          <t>时序/状态</t>
        </is>
      </c>
      <c r="F323" s="31" t="inlineStr">
        <is>
          <t>仅在预取分配导致 dirty line 驱逐时，独立执行：丢失writeback request、提前报告writeback done、或把dirty状态错误清除。victim tag/data 保持不变；记录prefetch transaction和victim line。</t>
        </is>
      </c>
      <c r="G323" s="31" t="inlineStr">
        <is>
          <t>F4</t>
        </is>
      </c>
      <c r="H323" s="31" t="inlineStr">
        <is>
          <t>每 100,000 个 eligible events 触发一次，连续污染 2-4 个 eligible events</t>
        </is>
      </c>
      <c r="I323" s="31" t="inlineStr">
        <is>
          <t>PARSEC-Selected 多线程应用（共享队列、锁与任务并行）</t>
        </is>
      </c>
      <c r="J323" s="31" t="inlineStr">
        <is>
          <t>PARSEC-Selected 多线程应用（共享队列、锁与任务并行）
执行定义与 oracle：PARSEC 中选 dedup、ferret、streamcluster 等共享队列/锁密集程序；固定线程数与输入，核对参考输出和结果哈希</t>
        </is>
      </c>
      <c r="K323" s="31" t="inlineStr">
        <is>
          <t>prefetch分配cache line并驱逐dirty victim</t>
        </is>
      </c>
      <c r="L323" s="31" t="inlineStr">
        <is>
          <t>L1预取来源与victim选择；L2prefetch/demand分类和request ID；L3dirty、writeback地址/数据及后续重读；L4共享变量/输出；L5结局</t>
        </is>
      </c>
      <c r="M323" s="31" t="inlineStr">
        <is>
          <t>跳过脏行写回会静默丢失最新数据；与普通预取地址错误不同，预期可产生非零SDC</t>
        </is>
      </c>
      <c r="N323" s="31" t="inlineStr">
        <is>
          <t>恢复旧版对预取触发脏驱逐的独立问题定义，用事件标签检验预取激进度是否放大正确性风险</t>
        </is>
      </c>
      <c r="O323" s="31" t="inlineStr">
        <is>
          <t>无直接预取器文献；与L1D dirty/writeback故障共享机制但触发来源不同</t>
        </is>
      </c>
      <c r="P323" s="33" t="n"/>
      <c r="Q323" s="33" t="n"/>
      <c r="R323" s="33" t="n"/>
      <c r="S323" s="33" t="n"/>
      <c r="T323" s="33" t="n"/>
      <c r="U323" s="33" t="n"/>
      <c r="V323" s="33" t="n"/>
      <c r="W323" s="33" t="n"/>
      <c r="X323" s="36">
        <f>IF(OR(R323="",R323-AP323&lt;=0),"",AB323/(R323-AP323))</f>
        <v/>
      </c>
      <c r="Y323" s="36">
        <f>IF(OR(AR323="",AR323=0),"",R323/AR323)</f>
        <v/>
      </c>
      <c r="Z323" s="34" t="inlineStr">
        <is>
          <t>待执行</t>
        </is>
      </c>
      <c r="AA323" s="33" t="n"/>
      <c r="AB323" s="38" t="n"/>
      <c r="AC323" s="38" t="n"/>
      <c r="AD323" s="38" t="n"/>
      <c r="AE323" s="38" t="n"/>
      <c r="AF323" s="38" t="n"/>
      <c r="AG323" s="38" t="n"/>
      <c r="AH323" s="38" t="n"/>
      <c r="AI323" s="38" t="n"/>
      <c r="AJ323" s="38" t="n"/>
      <c r="AK323" s="39" t="n"/>
      <c r="AL323" s="40">
        <f>IF(OR(R323="",R323-AP323&lt;=0),"",AO323/(R323-AP323))</f>
        <v/>
      </c>
      <c r="AM323" s="41">
        <f>IF(R323="","",SUM(AC323:AF323)-(R323-AP323))</f>
        <v/>
      </c>
      <c r="AN323" s="41">
        <f>IF(R323="","",SUM(S323:W323)+AP323-R323)</f>
        <v/>
      </c>
      <c r="AO323" s="44" t="n"/>
      <c r="AP323" s="45" t="n"/>
      <c r="AQ323" s="47" t="inlineStr">
        <is>
          <t>P09-a dirty eviction writeback请求丢失；P09-b done过早；P09-c dirty过早清除</t>
        </is>
      </c>
      <c r="AR323" s="33" t="n"/>
      <c r="AS323" s="36">
        <f>IF(OR(Q323="",Q323=0),"",AR323/Q323)</f>
        <v/>
      </c>
      <c r="AT323" s="62" t="n">
        <v>30</v>
      </c>
      <c r="AU323" s="62" t="n">
        <v>385</v>
      </c>
      <c r="AV323" s="62" t="inlineStr">
        <is>
          <t>常规</t>
        </is>
      </c>
      <c r="AW323" s="62" t="inlineStr">
        <is>
          <t>累计至少385，不机械扩展到2401</t>
        </is>
      </c>
    </row>
    <row r="324" ht="94.15000000000001" customHeight="1" s="58">
      <c r="A324" s="32" t="inlineStr">
        <is>
          <t>P09-F6-W6</t>
        </is>
      </c>
      <c r="B324" s="32" t="inlineStr">
        <is>
          <t>P09</t>
        </is>
      </c>
      <c r="C324" s="32" t="inlineStr">
        <is>
          <t>数据预取器</t>
        </is>
      </c>
      <c r="D324" s="31" t="inlineStr">
        <is>
          <t>由预取请求触发的 cache victim 选择、dirty victim writeback 请求及完成握手。该路径与需求miss共享底层写回资源，但触发来源明确标记为prefetch。</t>
        </is>
      </c>
      <c r="E324" s="31" t="inlineStr">
        <is>
          <t>时序/状态</t>
        </is>
      </c>
      <c r="F324" s="31" t="inlineStr">
        <is>
          <t>仅在预取分配导致 dirty line 驱逐时，独立执行：丢失writeback request、提前报告writeback done、或把dirty状态错误清除。victim tag/data 保持不变；记录prefetch transaction和victim line。</t>
        </is>
      </c>
      <c r="G324" s="31" t="inlineStr">
        <is>
          <t>F6</t>
        </is>
      </c>
      <c r="H324" s="31" t="inlineStr">
        <is>
          <t>首次出现指定事件时注入一次；仍以故障值被下游消费作为 activated 判据</t>
        </is>
      </c>
      <c r="I324" s="31" t="inlineStr">
        <is>
          <t>Cache-DirtyEvict 缓存探针（0.5×/1×/2×L1D working set、conflict set、dirty eviction、writeback）</t>
        </is>
      </c>
      <c r="J324" s="31" t="inlineStr">
        <is>
          <t>Cache-DirtyEvict 缓存探针（0.5×/1×/2×L1D working set、conflict set、dirty eviction、writeback）
执行定义与 oracle：working set=0.5×/1×/2×L1D；读改写、dirty eviction、writeback、conflict set、共享行 false sharing</t>
        </is>
      </c>
      <c r="K324" s="31" t="inlineStr">
        <is>
          <t>prefetch分配cache line并驱逐dirty victim</t>
        </is>
      </c>
      <c r="L324" s="31" t="inlineStr">
        <is>
          <t>L1预取来源与victim选择；L2prefetch/demand分类和request ID；L3dirty、writeback地址/数据及后续重读；L4共享变量/输出；L5结局</t>
        </is>
      </c>
      <c r="M324" s="31" t="inlineStr">
        <is>
          <t>跳过脏行写回会静默丢失最新数据；与普通预取地址错误不同，预期可产生非零SDC</t>
        </is>
      </c>
      <c r="N324" s="31" t="inlineStr">
        <is>
          <t>恢复旧版对预取触发脏驱逐的独立问题定义，用事件标签检验预取激进度是否放大正确性风险</t>
        </is>
      </c>
      <c r="O324" s="31" t="inlineStr">
        <is>
          <t>无直接预取器文献；与L1D dirty/writeback故障共享机制但触发来源不同</t>
        </is>
      </c>
      <c r="P324" s="33" t="n"/>
      <c r="Q324" s="33" t="n"/>
      <c r="R324" s="33" t="n"/>
      <c r="S324" s="33" t="n"/>
      <c r="T324" s="33" t="n"/>
      <c r="U324" s="33" t="n"/>
      <c r="V324" s="33" t="n"/>
      <c r="W324" s="33" t="n"/>
      <c r="X324" s="36">
        <f>IF(OR(R324="",R324-AP324&lt;=0),"",AB324/(R324-AP324))</f>
        <v/>
      </c>
      <c r="Y324" s="36">
        <f>IF(OR(AR324="",AR324=0),"",R324/AR324)</f>
        <v/>
      </c>
      <c r="Z324" s="34" t="inlineStr">
        <is>
          <t>待执行</t>
        </is>
      </c>
      <c r="AA324" s="33" t="n"/>
      <c r="AB324" s="38" t="n"/>
      <c r="AC324" s="38" t="n"/>
      <c r="AD324" s="38" t="n"/>
      <c r="AE324" s="38" t="n"/>
      <c r="AF324" s="38" t="n"/>
      <c r="AG324" s="38" t="n"/>
      <c r="AH324" s="38" t="n"/>
      <c r="AI324" s="38" t="n"/>
      <c r="AJ324" s="38" t="n"/>
      <c r="AK324" s="39" t="n"/>
      <c r="AL324" s="40">
        <f>IF(OR(R324="",R324-AP324&lt;=0),"",AO324/(R324-AP324))</f>
        <v/>
      </c>
      <c r="AM324" s="41">
        <f>IF(R324="","",SUM(AC324:AF324)-(R324-AP324))</f>
        <v/>
      </c>
      <c r="AN324" s="41">
        <f>IF(R324="","",SUM(S324:W324)+AP324-R324)</f>
        <v/>
      </c>
      <c r="AO324" s="44" t="n"/>
      <c r="AP324" s="45" t="n"/>
      <c r="AQ324" s="47" t="inlineStr">
        <is>
          <t>P09-a dirty eviction writeback请求丢失；P09-b done过早；P09-c dirty过早清除</t>
        </is>
      </c>
      <c r="AR324" s="33" t="n"/>
      <c r="AS324" s="36">
        <f>IF(OR(Q324="",Q324=0),"",AR324/Q324)</f>
        <v/>
      </c>
      <c r="AT324" s="62" t="n">
        <v>30</v>
      </c>
      <c r="AU324" s="62" t="n">
        <v>385</v>
      </c>
      <c r="AV324" s="62" t="inlineStr">
        <is>
          <t>常规</t>
        </is>
      </c>
      <c r="AW324" s="62" t="inlineStr">
        <is>
          <t>累计至少385，不机械扩展到2401</t>
        </is>
      </c>
    </row>
    <row r="325" ht="94.15000000000001" customHeight="1" s="58">
      <c r="A325" s="32" t="inlineStr">
        <is>
          <t>P09-F6-W8</t>
        </is>
      </c>
      <c r="B325" s="32" t="inlineStr">
        <is>
          <t>P09</t>
        </is>
      </c>
      <c r="C325" s="32" t="inlineStr">
        <is>
          <t>数据预取器</t>
        </is>
      </c>
      <c r="D325" s="31" t="inlineStr">
        <is>
          <t>由预取请求触发的 cache victim 选择、dirty victim writeback 请求及完成握手。该路径与需求miss共享底层写回资源，但触发来源明确标记为prefetch。</t>
        </is>
      </c>
      <c r="E325" s="31" t="inlineStr">
        <is>
          <t>时序/状态</t>
        </is>
      </c>
      <c r="F325" s="31" t="inlineStr">
        <is>
          <t>仅在预取分配导致 dirty line 驱逐时，独立执行：丢失writeback request、提前报告writeback done、或把dirty状态错误清除。victim tag/data 保持不变；记录prefetch transaction和victim line。</t>
        </is>
      </c>
      <c r="G325" s="31" t="inlineStr">
        <is>
          <t>F6</t>
        </is>
      </c>
      <c r="H325" s="31" t="inlineStr">
        <is>
          <t>首次出现指定事件时注入一次；仍以故障值被下游消费作为 activated 判据</t>
        </is>
      </c>
      <c r="I325" s="31" t="inlineStr">
        <is>
          <t>Prefetch-Stride 预取探针（正/负/交错 stride、pointer chase、跨页 stride、训练后变步长）</t>
        </is>
      </c>
      <c r="J325" s="31" t="inlineStr">
        <is>
          <t>Prefetch-Stride 预取探针（正/负/交错 stride、pointer chase、跨页 stride、训练后变步长）
执行定义与 oracle：正/负/交错 stride、随机 pointer chase、跨页 stride、训练后变步长、需求/预取竞争</t>
        </is>
      </c>
      <c r="K325" s="31" t="inlineStr">
        <is>
          <t>prefetch分配cache line并驱逐dirty victim</t>
        </is>
      </c>
      <c r="L325" s="31" t="inlineStr">
        <is>
          <t>L1预取来源与victim选择；L2prefetch/demand分类和request ID；L3dirty、writeback地址/数据及后续重读；L4共享变量/输出；L5结局</t>
        </is>
      </c>
      <c r="M325" s="31" t="inlineStr">
        <is>
          <t>跳过脏行写回会静默丢失最新数据；与普通预取地址错误不同，预期可产生非零SDC</t>
        </is>
      </c>
      <c r="N325" s="31" t="inlineStr">
        <is>
          <t>恢复旧版对预取触发脏驱逐的独立问题定义，用事件标签检验预取激进度是否放大正确性风险</t>
        </is>
      </c>
      <c r="O325" s="31" t="inlineStr">
        <is>
          <t>无直接预取器文献；与L1D dirty/writeback故障共享机制但触发来源不同</t>
        </is>
      </c>
      <c r="P325" s="33" t="n"/>
      <c r="Q325" s="33" t="n"/>
      <c r="R325" s="33" t="n"/>
      <c r="S325" s="33" t="n"/>
      <c r="T325" s="33" t="n"/>
      <c r="U325" s="33" t="n"/>
      <c r="V325" s="33" t="n"/>
      <c r="W325" s="33" t="n"/>
      <c r="X325" s="36">
        <f>IF(OR(R325="",R325-AP325&lt;=0),"",AB325/(R325-AP325))</f>
        <v/>
      </c>
      <c r="Y325" s="36">
        <f>IF(OR(AR325="",AR325=0),"",R325/AR325)</f>
        <v/>
      </c>
      <c r="Z325" s="34" t="inlineStr">
        <is>
          <t>待执行</t>
        </is>
      </c>
      <c r="AA325" s="33" t="n"/>
      <c r="AB325" s="38" t="n"/>
      <c r="AC325" s="38" t="n"/>
      <c r="AD325" s="38" t="n"/>
      <c r="AE325" s="38" t="n"/>
      <c r="AF325" s="38" t="n"/>
      <c r="AG325" s="38" t="n"/>
      <c r="AH325" s="38" t="n"/>
      <c r="AI325" s="38" t="n"/>
      <c r="AJ325" s="38" t="n"/>
      <c r="AK325" s="39" t="n"/>
      <c r="AL325" s="40">
        <f>IF(OR(R325="",R325-AP325&lt;=0),"",AO325/(R325-AP325))</f>
        <v/>
      </c>
      <c r="AM325" s="41">
        <f>IF(R325="","",SUM(AC325:AF325)-(R325-AP325))</f>
        <v/>
      </c>
      <c r="AN325" s="41">
        <f>IF(R325="","",SUM(S325:W325)+AP325-R325)</f>
        <v/>
      </c>
      <c r="AO325" s="44" t="n"/>
      <c r="AP325" s="45" t="n"/>
      <c r="AQ325" s="47" t="inlineStr">
        <is>
          <t>P09-a dirty eviction writeback请求丢失；P09-b done过早；P09-c dirty过早清除</t>
        </is>
      </c>
      <c r="AR325" s="33" t="n"/>
      <c r="AS325" s="36">
        <f>IF(OR(Q325="",Q325=0),"",AR325/Q325)</f>
        <v/>
      </c>
      <c r="AT325" s="62" t="n">
        <v>30</v>
      </c>
      <c r="AU325" s="62" t="n">
        <v>385</v>
      </c>
      <c r="AV325" s="62" t="inlineStr">
        <is>
          <t>常规</t>
        </is>
      </c>
      <c r="AW325" s="62" t="inlineStr">
        <is>
          <t>累计至少385，不机械扩展到2401</t>
        </is>
      </c>
    </row>
    <row r="326" ht="94.15000000000001" customHeight="1" s="58">
      <c r="A326" s="32" t="inlineStr">
        <is>
          <t>P09-F6-W13</t>
        </is>
      </c>
      <c r="B326" s="32" t="inlineStr">
        <is>
          <t>P09</t>
        </is>
      </c>
      <c r="C326" s="32" t="inlineStr">
        <is>
          <t>数据预取器</t>
        </is>
      </c>
      <c r="D326" s="31" t="inlineStr">
        <is>
          <t>由预取请求触发的 cache victim 选择、dirty victim writeback 请求及完成握手。该路径与需求miss共享底层写回资源，但触发来源明确标记为prefetch。</t>
        </is>
      </c>
      <c r="E326" s="31" t="inlineStr">
        <is>
          <t>时序/状态</t>
        </is>
      </c>
      <c r="F326" s="31" t="inlineStr">
        <is>
          <t>仅在预取分配导致 dirty line 驱逐时，独立执行：丢失writeback request、提前报告writeback done、或把dirty状态错误清除。victim tag/data 保持不变；记录prefetch transaction和victim line。</t>
        </is>
      </c>
      <c r="G326" s="31" t="inlineStr">
        <is>
          <t>F6</t>
        </is>
      </c>
      <c r="H326" s="31" t="inlineStr">
        <is>
          <t>首次出现指定事件时注入一次；仍以故障值被下游消费作为 activated 判据</t>
        </is>
      </c>
      <c r="I326" s="31" t="inlineStr">
        <is>
          <t>PARSEC-Selected 多线程应用（共享队列、锁与任务并行）</t>
        </is>
      </c>
      <c r="J326" s="31" t="inlineStr">
        <is>
          <t>PARSEC-Selected 多线程应用（共享队列、锁与任务并行）
执行定义与 oracle：PARSEC 中选 dedup、ferret、streamcluster 等共享队列/锁密集程序；固定线程数与输入，核对参考输出和结果哈希</t>
        </is>
      </c>
      <c r="K326" s="31" t="inlineStr">
        <is>
          <t>prefetch分配cache line并驱逐dirty victim</t>
        </is>
      </c>
      <c r="L326" s="31" t="inlineStr">
        <is>
          <t>L1预取来源与victim选择；L2prefetch/demand分类和request ID；L3dirty、writeback地址/数据及后续重读；L4共享变量/输出；L5结局</t>
        </is>
      </c>
      <c r="M326" s="31" t="inlineStr">
        <is>
          <t>跳过脏行写回会静默丢失最新数据；与普通预取地址错误不同，预期可产生非零SDC</t>
        </is>
      </c>
      <c r="N326" s="31" t="inlineStr">
        <is>
          <t>恢复旧版对预取触发脏驱逐的独立问题定义，用事件标签检验预取激进度是否放大正确性风险</t>
        </is>
      </c>
      <c r="O326" s="31" t="inlineStr">
        <is>
          <t>无直接预取器文献；与L1D dirty/writeback故障共享机制但触发来源不同</t>
        </is>
      </c>
      <c r="P326" s="33" t="n"/>
      <c r="Q326" s="33" t="n"/>
      <c r="R326" s="33" t="n"/>
      <c r="S326" s="33" t="n"/>
      <c r="T326" s="33" t="n"/>
      <c r="U326" s="33" t="n"/>
      <c r="V326" s="33" t="n"/>
      <c r="W326" s="33" t="n"/>
      <c r="X326" s="36">
        <f>IF(OR(R326="",R326-AP326&lt;=0),"",AB326/(R326-AP326))</f>
        <v/>
      </c>
      <c r="Y326" s="36">
        <f>IF(OR(AR326="",AR326=0),"",R326/AR326)</f>
        <v/>
      </c>
      <c r="Z326" s="34" t="inlineStr">
        <is>
          <t>待执行</t>
        </is>
      </c>
      <c r="AA326" s="33" t="n"/>
      <c r="AB326" s="38" t="n"/>
      <c r="AC326" s="38" t="n"/>
      <c r="AD326" s="38" t="n"/>
      <c r="AE326" s="38" t="n"/>
      <c r="AF326" s="38" t="n"/>
      <c r="AG326" s="38" t="n"/>
      <c r="AH326" s="38" t="n"/>
      <c r="AI326" s="38" t="n"/>
      <c r="AJ326" s="38" t="n"/>
      <c r="AK326" s="39" t="n"/>
      <c r="AL326" s="40">
        <f>IF(OR(R326="",R326-AP326&lt;=0),"",AO326/(R326-AP326))</f>
        <v/>
      </c>
      <c r="AM326" s="41">
        <f>IF(R326="","",SUM(AC326:AF326)-(R326-AP326))</f>
        <v/>
      </c>
      <c r="AN326" s="41">
        <f>IF(R326="","",SUM(S326:W326)+AP326-R326)</f>
        <v/>
      </c>
      <c r="AO326" s="44" t="n"/>
      <c r="AP326" s="45" t="n"/>
      <c r="AQ326" s="47" t="inlineStr">
        <is>
          <t>P09-a dirty eviction writeback请求丢失；P09-b done过早；P09-c dirty过早清除</t>
        </is>
      </c>
      <c r="AR326" s="33" t="n"/>
      <c r="AS326" s="36">
        <f>IF(OR(Q326="",Q326=0),"",AR326/Q326)</f>
        <v/>
      </c>
      <c r="AT326" s="62" t="n">
        <v>30</v>
      </c>
      <c r="AU326" s="62" t="n">
        <v>385</v>
      </c>
      <c r="AV326" s="62" t="inlineStr">
        <is>
          <t>常规</t>
        </is>
      </c>
      <c r="AW326" s="62" t="inlineStr">
        <is>
          <t>累计至少385，不机械扩展到2401</t>
        </is>
      </c>
    </row>
    <row r="327" ht="94.15000000000001" customHeight="1" s="58">
      <c r="X327" s="0">
        <f>IF(OR(R327="",R327-AP327&lt;=0),"",AB327/(R327-AP327))</f>
        <v/>
      </c>
      <c r="Y327" s="0">
        <f>IF(OR(AR327="",AR327=0),"",R327/AR327)</f>
        <v/>
      </c>
      <c r="AQ327" s="47" t="n"/>
      <c r="AS327" s="0">
        <f>IF(OR(Q327="",Q327=0),"",AR327/Q327)</f>
        <v/>
      </c>
      <c r="AT327" s="0" t="n"/>
      <c r="AU327" s="0" t="n"/>
      <c r="AV327" s="0" t="n"/>
      <c r="AW327" s="0" t="n"/>
    </row>
    <row r="328" ht="94.15000000000001" customHeight="1" s="58">
      <c r="X328" s="0">
        <f>IF(OR(R328="",R328-AP328&lt;=0),"",AB328/(R328-AP328))</f>
        <v/>
      </c>
      <c r="Y328" s="0">
        <f>IF(OR(AR328="",AR328=0),"",R328/AR328)</f>
        <v/>
      </c>
      <c r="AQ328" s="47" t="n"/>
      <c r="AS328" s="0">
        <f>IF(OR(Q328="",Q328=0),"",AR328/Q328)</f>
        <v/>
      </c>
      <c r="AT328" s="0" t="n"/>
      <c r="AU328" s="0" t="n"/>
      <c r="AV328" s="0" t="n"/>
      <c r="AW328" s="0" t="n"/>
    </row>
    <row r="329" ht="94.15000000000001" customHeight="1" s="58">
      <c r="X329" s="0">
        <f>IF(OR(R329="",R329-AP329&lt;=0),"",AB329/(R329-AP329))</f>
        <v/>
      </c>
      <c r="Y329" s="0">
        <f>IF(OR(AR329="",AR329=0),"",R329/AR329)</f>
        <v/>
      </c>
      <c r="AQ329" s="47" t="n"/>
      <c r="AS329" s="0">
        <f>IF(OR(Q329="",Q329=0),"",AR329/Q329)</f>
        <v/>
      </c>
      <c r="AT329" s="0" t="n"/>
      <c r="AU329" s="0" t="n"/>
      <c r="AV329" s="0" t="n"/>
      <c r="AW329" s="0" t="n"/>
    </row>
    <row r="330" ht="94.15000000000001" customHeight="1" s="58">
      <c r="X330" s="0">
        <f>IF(OR(R330="",R330-AP330&lt;=0),"",AB330/(R330-AP330))</f>
        <v/>
      </c>
      <c r="Y330" s="0">
        <f>IF(OR(AR330="",AR330=0),"",R330/AR330)</f>
        <v/>
      </c>
      <c r="AQ330" s="47" t="n"/>
      <c r="AS330" s="0">
        <f>IF(OR(Q330="",Q330=0),"",AR330/Q330)</f>
        <v/>
      </c>
      <c r="AT330" s="0" t="n"/>
      <c r="AU330" s="0" t="n"/>
      <c r="AV330" s="0" t="n"/>
      <c r="AW330" s="0" t="n"/>
    </row>
    <row r="331" ht="94.15000000000001" customHeight="1" s="58">
      <c r="X331" s="0">
        <f>IF(OR(R331="",R331-AP331&lt;=0),"",AB331/(R331-AP331))</f>
        <v/>
      </c>
      <c r="Y331" s="0">
        <f>IF(OR(AR331="",AR331=0),"",R331/AR331)</f>
        <v/>
      </c>
      <c r="AQ331" s="47" t="n"/>
      <c r="AS331" s="0">
        <f>IF(OR(Q331="",Q331=0),"",AR331/Q331)</f>
        <v/>
      </c>
      <c r="AT331" s="0" t="n"/>
      <c r="AU331" s="0" t="n"/>
      <c r="AV331" s="0" t="n"/>
      <c r="AW331" s="0" t="n"/>
    </row>
    <row r="332" ht="94.15000000000001" customHeight="1" s="58">
      <c r="X332" s="0">
        <f>IF(OR(R332="",R332-AP332&lt;=0),"",AB332/(R332-AP332))</f>
        <v/>
      </c>
      <c r="Y332" s="0">
        <f>IF(OR(AR332="",AR332=0),"",R332/AR332)</f>
        <v/>
      </c>
      <c r="AQ332" s="47" t="n"/>
      <c r="AS332" s="0">
        <f>IF(OR(Q332="",Q332=0),"",AR332/Q332)</f>
        <v/>
      </c>
      <c r="AT332" s="0" t="n"/>
      <c r="AU332" s="0" t="n"/>
      <c r="AV332" s="0" t="n"/>
      <c r="AW332" s="0" t="n"/>
    </row>
    <row r="333" ht="94.15000000000001" customHeight="1" s="58">
      <c r="X333" s="0">
        <f>IF(OR(R333="",R333-AP333&lt;=0),"",AB333/(R333-AP333))</f>
        <v/>
      </c>
      <c r="Y333" s="0">
        <f>IF(OR(AR333="",AR333=0),"",R333/AR333)</f>
        <v/>
      </c>
      <c r="AQ333" s="47" t="n"/>
      <c r="AS333" s="0">
        <f>IF(OR(Q333="",Q333=0),"",AR333/Q333)</f>
        <v/>
      </c>
      <c r="AT333" s="0" t="n"/>
      <c r="AU333" s="0" t="n"/>
      <c r="AV333" s="0" t="n"/>
      <c r="AW333" s="0" t="n"/>
    </row>
    <row r="334" ht="94.15000000000001" customHeight="1" s="58">
      <c r="X334" s="0">
        <f>IF(OR(R334="",R334-AP334&lt;=0),"",AB334/(R334-AP334))</f>
        <v/>
      </c>
      <c r="Y334" s="0">
        <f>IF(OR(AR334="",AR334=0),"",R334/AR334)</f>
        <v/>
      </c>
      <c r="AQ334" s="47" t="n"/>
      <c r="AS334" s="0">
        <f>IF(OR(Q334="",Q334=0),"",AR334/Q334)</f>
        <v/>
      </c>
      <c r="AT334" s="0" t="n"/>
      <c r="AU334" s="0" t="n"/>
      <c r="AV334" s="0" t="n"/>
      <c r="AW334" s="0" t="n"/>
    </row>
    <row r="335" ht="94.15000000000001" customHeight="1" s="58">
      <c r="X335" s="0">
        <f>IF(OR(R335="",R335-AP335&lt;=0),"",AB335/(R335-AP335))</f>
        <v/>
      </c>
      <c r="Y335" s="0">
        <f>IF(OR(AR335="",AR335=0),"",R335/AR335)</f>
        <v/>
      </c>
      <c r="AQ335" s="47" t="n"/>
      <c r="AS335" s="0">
        <f>IF(OR(Q335="",Q335=0),"",AR335/Q335)</f>
        <v/>
      </c>
      <c r="AT335" s="0" t="n"/>
      <c r="AU335" s="0" t="n"/>
      <c r="AV335" s="0" t="n"/>
      <c r="AW335" s="0" t="n"/>
    </row>
    <row r="336" ht="94.15000000000001" customHeight="1" s="58">
      <c r="X336" s="0">
        <f>IF(OR(R336="",R336-AP336&lt;=0),"",AB336/(R336-AP336))</f>
        <v/>
      </c>
      <c r="Y336" s="0">
        <f>IF(OR(AR336="",AR336=0),"",R336/AR336)</f>
        <v/>
      </c>
      <c r="AQ336" s="47" t="n"/>
      <c r="AS336" s="0">
        <f>IF(OR(Q336="",Q336=0),"",AR336/Q336)</f>
        <v/>
      </c>
      <c r="AT336" s="0" t="n"/>
      <c r="AU336" s="0" t="n"/>
      <c r="AV336" s="0" t="n"/>
      <c r="AW336" s="0" t="n"/>
    </row>
    <row r="337" ht="94.15000000000001" customHeight="1" s="58">
      <c r="X337" s="0">
        <f>IF(OR(R337="",R337-AP337&lt;=0),"",AB337/(R337-AP337))</f>
        <v/>
      </c>
      <c r="Y337" s="0">
        <f>IF(OR(AR337="",AR337=0),"",R337/AR337)</f>
        <v/>
      </c>
      <c r="AQ337" s="47" t="n"/>
      <c r="AS337" s="0">
        <f>IF(OR(Q337="",Q337=0),"",AR337/Q337)</f>
        <v/>
      </c>
      <c r="AT337" s="0" t="n"/>
      <c r="AU337" s="0" t="n"/>
      <c r="AV337" s="0" t="n"/>
      <c r="AW337" s="0" t="n"/>
    </row>
    <row r="338" ht="94.15000000000001" customHeight="1" s="58">
      <c r="X338" s="0">
        <f>IF(OR(R338="",R338-AP338&lt;=0),"",AB338/(R338-AP338))</f>
        <v/>
      </c>
      <c r="Y338" s="0">
        <f>IF(OR(AR338="",AR338=0),"",R338/AR338)</f>
        <v/>
      </c>
      <c r="AQ338" s="47" t="n"/>
      <c r="AS338" s="0">
        <f>IF(OR(Q338="",Q338=0),"",AR338/Q338)</f>
        <v/>
      </c>
      <c r="AT338" s="0" t="n"/>
      <c r="AU338" s="0" t="n"/>
      <c r="AV338" s="0" t="n"/>
      <c r="AW338" s="0" t="n"/>
    </row>
  </sheetData>
  <autoFilter ref="A1:AW326"/>
  <conditionalFormatting sqref="Z2:Z261">
    <cfRule type="containsText" priority="1" operator="containsText" dxfId="1" text="核对计数"/>
    <cfRule type="containsText" priority="2" operator="containsText" dxfId="0" text="待执行"/>
  </conditionalFormatting>
  <dataValidations count="1">
    <dataValidation sqref="Q2:W338 AB2:AJ338" showDropDown="0" showInputMessage="0" showErrorMessage="0" allowBlank="0" type="whole">
      <formula1>0</formula1>
      <formula2>1000000000</formula2>
    </dataValidation>
  </dataValidations>
  <pageMargins left="0.7" right="0.7" top="0.75" bottom="0.75" header="0.3" footer="0.3"/>
</worksheet>
</file>

<file path=xl/worksheets/sheet9.xml><?xml version="1.0" encoding="utf-8"?>
<worksheet xmlns="http://schemas.openxmlformats.org/spreadsheetml/2006/main">
  <sheetPr>
    <tabColor rgb="FF7F8C8D"/>
    <outlinePr summaryBelow="1" summaryRight="1"/>
    <pageSetUpPr/>
  </sheetPr>
  <dimension ref="A1:F14"/>
  <sheetViews>
    <sheetView showGridLines="0" workbookViewId="0">
      <pane ySplit="1" topLeftCell="A2" activePane="bottomLeft" state="frozen"/>
      <selection pane="bottomLeft" activeCell="A1" sqref="A1"/>
    </sheetView>
  </sheetViews>
  <sheetFormatPr baseColWidth="8" defaultColWidth="9" defaultRowHeight="14.25"/>
  <cols>
    <col width="13" customWidth="1" style="2" min="1" max="1"/>
    <col width="66" customWidth="1" style="2" min="2" max="2"/>
    <col width="25" customWidth="1" style="2" min="3" max="3"/>
    <col width="22" customWidth="1" style="2" min="4" max="4"/>
    <col width="62" customWidth="1" style="2" min="5" max="5"/>
    <col width="86" customWidth="1" style="2" min="6" max="6"/>
    <col width="9" customWidth="1" style="2" min="7" max="7"/>
    <col width="9" customWidth="1" style="2" min="8" max="16384"/>
  </cols>
  <sheetData>
    <row r="1" ht="33.95" customHeight="1" s="58">
      <c r="A1" s="5" t="inlineStr">
        <is>
          <t>代码</t>
        </is>
      </c>
      <c r="B1" s="5" t="inlineStr">
        <is>
          <t>标题/资源</t>
        </is>
      </c>
      <c r="C1" s="5" t="inlineStr">
        <is>
          <t>类型/发表</t>
        </is>
      </c>
      <c r="D1" s="5" t="inlineStr">
        <is>
          <t>核对方式</t>
        </is>
      </c>
      <c r="E1" s="5" t="inlineStr">
        <is>
          <t>本工作簿用途</t>
        </is>
      </c>
      <c r="F1" s="5" t="inlineStr">
        <is>
          <t>定位</t>
        </is>
      </c>
    </row>
    <row r="2" ht="62.1" customHeight="1" s="58">
      <c r="A2" s="20" t="inlineStr">
        <is>
          <t>GEM5-O3</t>
        </is>
      </c>
      <c r="B2" s="19" t="inlineStr">
        <is>
          <t>gem5 stable: configs/common/cores/arm/O3_ARM_v7a.py</t>
        </is>
      </c>
      <c r="C2" s="19" t="inlineStr">
        <is>
          <t>官方源码</t>
        </is>
      </c>
      <c r="D2" s="19" t="inlineStr">
        <is>
          <t>2026-09-24核对</t>
        </is>
      </c>
      <c r="E2" s="19" t="inlineStr">
        <is>
          <t>LQ/SQ、FU、LSQDepCheckShift、L1D、MSHR、预取器</t>
        </is>
      </c>
      <c r="F2" s="19" t="inlineStr">
        <is>
          <t>https://raw.githubusercontent.com/gem5/gem5/stable/configs/common/cores/arm/O3_ARM_v7a.py</t>
        </is>
      </c>
    </row>
    <row r="3" ht="62.1" customHeight="1" s="58">
      <c r="A3" s="20" t="inlineStr">
        <is>
          <t>GEM5-BASE</t>
        </is>
      </c>
      <c r="B3" s="19" t="inlineStr">
        <is>
          <t>gem5 stable: src/cpu/o3/BaseO3CPU.py</t>
        </is>
      </c>
      <c r="C3" s="19" t="inlineStr">
        <is>
          <t>官方源码</t>
        </is>
      </c>
      <c r="D3" s="19" t="inlineStr">
        <is>
          <t>2026-09-24核对</t>
        </is>
      </c>
      <c r="E3" s="19" t="inlineStr">
        <is>
          <t>LSQCheckLoads、Store Set、cache ports</t>
        </is>
      </c>
      <c r="F3" s="19" t="inlineStr">
        <is>
          <t>https://raw.githubusercontent.com/gem5/gem5/stable/src/cpu/o3/BaseO3CPU.py</t>
        </is>
      </c>
    </row>
    <row r="4" ht="62.1" customHeight="1" s="58">
      <c r="A4" s="20" t="inlineStr">
        <is>
          <t>GEM5-MMU</t>
        </is>
      </c>
      <c r="B4" s="19" t="inlineStr">
        <is>
          <t>gem5 stable: ArmMMU.py / ArmTLB.py</t>
        </is>
      </c>
      <c r="C4" s="19" t="inlineStr">
        <is>
          <t>官方源码</t>
        </is>
      </c>
      <c r="D4" s="19" t="inlineStr">
        <is>
          <t>2026-09-24核对</t>
        </is>
      </c>
      <c r="E4" s="19" t="inlineStr">
        <is>
          <t>Arm TLB默认64项全相联、L2 TLB 1280项5-way</t>
        </is>
      </c>
      <c r="F4" s="19" t="inlineStr">
        <is>
          <t>https://raw.githubusercontent.com/gem5/gem5/stable/src/arch/arm/ArmTLB.py</t>
        </is>
      </c>
    </row>
    <row r="5" ht="62.1" customHeight="1" s="58">
      <c r="A5" s="20" t="inlineStr">
        <is>
          <t>GEM5-SYS</t>
        </is>
      </c>
      <c r="B5" s="19" t="inlineStr">
        <is>
          <t>gem5 stable: src/sim/System.py</t>
        </is>
      </c>
      <c r="C5" s="19" t="inlineStr">
        <is>
          <t>官方源码</t>
        </is>
      </c>
      <c r="D5" s="19" t="inlineStr">
        <is>
          <t>2026-09-24核对</t>
        </is>
      </c>
      <c r="E5" s="19" t="inlineStr">
        <is>
          <t>cache_line_size=64</t>
        </is>
      </c>
      <c r="F5" s="19" t="inlineStr">
        <is>
          <t>https://raw.githubusercontent.com/gem5/gem5/stable/src/sim/System.py</t>
        </is>
      </c>
    </row>
    <row r="6" ht="62.1" customHeight="1" s="58">
      <c r="A6" s="20" t="inlineStr">
        <is>
          <t>IISWC15</t>
        </is>
      </c>
      <c r="B6" s="19" t="inlineStr">
        <is>
          <t>Differential Fault Injection on Microarchitectural Simulators</t>
        </is>
      </c>
      <c r="C6" s="19" t="inlineStr">
        <is>
          <t>IISWC 2015</t>
        </is>
      </c>
      <c r="D6" s="19" t="inlineStr">
        <is>
          <t>本地PDF</t>
        </is>
      </c>
      <c r="E6" s="19" t="inlineStr">
        <is>
          <t>LSQ/SQ和L1D单bit、2000次/结构/负载、MiBench</t>
        </is>
      </c>
      <c r="F6" s="19" t="inlineStr">
        <is>
          <t>Differential_Fault_Injection_on_Microarchitectural_Simulators.pdf</t>
        </is>
      </c>
    </row>
    <row r="7" ht="62.1" customHeight="1" s="58">
      <c r="A7" s="20" t="inlineStr">
        <is>
          <t>TC22</t>
        </is>
      </c>
      <c r="B7" s="19" t="inlineStr">
        <is>
          <t>Soft Error Effects on Arm Microprocessors: Early Estimations versus Chip Measurements</t>
        </is>
      </c>
      <c r="C7" s="19" t="inlineStr">
        <is>
          <t>IEEE TC 2022</t>
        </is>
      </c>
      <c r="D7" s="19" t="inlineStr">
        <is>
          <t>本地PDF</t>
        </is>
      </c>
      <c r="E7" s="19" t="inlineStr">
        <is>
          <t>Arm A5/A9 DTLB/L1D，gem5与中子束</t>
        </is>
      </c>
      <c r="F7" s="19" t="inlineStr">
        <is>
          <t>Soft_Error_Effects_on_Arm_Microprocessors_Early_Estimations_versus_Chip_Measurements.pdf</t>
        </is>
      </c>
    </row>
    <row r="8" ht="62.1" customHeight="1" s="58">
      <c r="A8" s="20" t="inlineStr">
        <is>
          <t>TC23</t>
        </is>
      </c>
      <c r="B8" s="19" t="inlineStr">
        <is>
          <t>Silent Data Corruptions: Microarchitectural Perspectives</t>
        </is>
      </c>
      <c r="C8" s="19" t="inlineStr">
        <is>
          <t>IEEE TC 2023</t>
        </is>
      </c>
      <c r="D8" s="19" t="inlineStr">
        <is>
          <t>本地PDF</t>
        </is>
      </c>
      <c r="E8" s="19" t="inlineStr">
        <is>
          <t>Armv8/Armv7 DTLB、LQ/SQ、L1D；2000次/负载</t>
        </is>
      </c>
      <c r="F8" s="19" t="inlineStr">
        <is>
          <t>Silent_Data_Corruptions_Microarchitectural_Perspectives.pdf</t>
        </is>
      </c>
    </row>
    <row r="9" ht="62.1" customHeight="1" s="58">
      <c r="A9" s="20" t="inlineStr">
        <is>
          <t>HPCA24</t>
        </is>
      </c>
      <c r="B9" s="19" t="inlineStr">
        <is>
          <t>gem5-MARVEL: Microarchitecture-Level Resilience Analysis of Heterogeneous SoC Architectures</t>
        </is>
      </c>
      <c r="C9" s="19" t="inlineStr">
        <is>
          <t>HPCA 2024</t>
        </is>
      </c>
      <c r="D9" s="19" t="inlineStr">
        <is>
          <t>本地PDF</t>
        </is>
      </c>
      <c r="E9" s="19" t="inlineStr">
        <is>
          <t>Arm/x86/RISC-V的LQ/SQ/L1D瞬态与永久结果</t>
        </is>
      </c>
      <c r="F9" s="19" t="inlineStr">
        <is>
          <t>Gem5-MARVEL_Microarchitecture-Level_Resilience_Analysis_of_Heterogeneous_SoC_Architectures.pdf</t>
        </is>
      </c>
    </row>
    <row r="10" ht="62.1" customHeight="1" s="58">
      <c r="A10" s="20" t="inlineStr">
        <is>
          <t>MICRO24</t>
        </is>
      </c>
      <c r="B10" s="19" t="inlineStr">
        <is>
          <t>DelayAVF: Calculating Architectural Vulnerability Factors for Delay Faults</t>
        </is>
      </c>
      <c r="C10" s="19" t="inlineStr">
        <is>
          <t>MICRO 2024</t>
        </is>
      </c>
      <c r="D10" s="19" t="inlineStr">
        <is>
          <t>本地PDF</t>
        </is>
      </c>
      <c r="E10" s="19" t="inlineStr">
        <is>
          <t>Ibex LSU与prefetch buffer的小延迟故障；DelayAVF不是SDC率</t>
        </is>
      </c>
      <c r="F10" s="19" t="inlineStr">
        <is>
          <t>MICRO2024 DelayAVF_Calculating_Architectural_Vulnerability_Factors_for_Delay_Faults.pdf</t>
        </is>
      </c>
    </row>
    <row r="11" ht="62.1" customHeight="1" s="58">
      <c r="A11" s="20" t="inlineStr">
        <is>
          <t>MICRO25</t>
        </is>
      </c>
      <c r="B11" s="19" t="inlineStr">
        <is>
          <t>Harpocrates++: Automated Functional Program Generation Against CPU Faults and Silent Data Corruptions</t>
        </is>
      </c>
      <c r="C11" s="19" t="inlineStr">
        <is>
          <t>IEEE Micro 2025</t>
        </is>
      </c>
      <c r="D11" s="19" t="inlineStr">
        <is>
          <t>本地PDF</t>
        </is>
      </c>
      <c r="E11" s="19" t="inlineStr">
        <is>
          <t>SQ/L1D检测率；指标不是SDC率</t>
        </is>
      </c>
      <c r="F11" s="19" t="inlineStr">
        <is>
          <t>Harpocrates_Automated_Functional_Program_Generation_Against_CPU_Faults_and_Silent_Data_Corruptions.pdf</t>
        </is>
      </c>
    </row>
    <row r="12" ht="62.1" customHeight="1" s="58">
      <c r="A12" s="20" t="inlineStr">
        <is>
          <t>CHAOS26</t>
        </is>
      </c>
      <c r="B12" s="19" t="inlineStr">
        <is>
          <t>CHAOS: Controlled Hardware fAult injectOr System for gem5</t>
        </is>
      </c>
      <c r="C12" s="19" t="inlineStr">
        <is>
          <t>arXiv 2602.02119, 2026</t>
        </is>
      </c>
      <c r="D12" s="19" t="inlineStr">
        <is>
          <t>本地PDF</t>
        </is>
      </c>
      <c r="E12" s="19" t="inlineStr">
        <is>
          <t>频率、单/多bit、stuck-at与HPC偏差规律</t>
        </is>
      </c>
      <c r="F12" s="19" t="inlineStr">
        <is>
          <t>Chaos Controlled Hardware Fault Injector System for Gem5.pdf</t>
        </is>
      </c>
    </row>
    <row r="13" ht="62.1" customHeight="1" s="58">
      <c r="A13" s="20" t="inlineStr">
        <is>
          <t>SFI09</t>
        </is>
      </c>
      <c r="B13" s="19" t="inlineStr">
        <is>
          <t>Statistical Fault Injection: Quantified Error and Confidence</t>
        </is>
      </c>
      <c r="C13" s="19" t="inlineStr">
        <is>
          <t>DATE 2009</t>
        </is>
      </c>
      <c r="D13" s="19" t="inlineStr">
        <is>
          <t>官方论文PDF/DOI核对</t>
        </is>
      </c>
      <c r="E13" s="19" t="inlineStr">
        <is>
          <t>二项比例样本量公式；95%置信水平、±5个百分点采用385次注入</t>
        </is>
      </c>
      <c r="F13" s="19" t="inlineStr">
        <is>
          <t>https://doi.org/10.1109/DATE.2009.5090716</t>
        </is>
      </c>
    </row>
    <row r="14" ht="62.1" customHeight="1" s="58">
      <c r="A14" s="20" t="inlineStr">
        <is>
          <t>WILSON27</t>
        </is>
      </c>
      <c r="B14" s="19" t="inlineStr">
        <is>
          <t>Probable Inference, the Law of Succession, and Statistical Inference</t>
        </is>
      </c>
      <c r="C14" s="19" t="inlineStr">
        <is>
          <t>JASA 1927</t>
        </is>
      </c>
      <c r="D14" s="19" t="inlineStr">
        <is>
          <t>DOI核对</t>
        </is>
      </c>
      <c r="E14" s="19" t="inlineStr">
        <is>
          <t>二项比例结果统一报告Wilson 95%置信区间</t>
        </is>
      </c>
      <c r="F14" s="19" t="inlineStr">
        <is>
          <t>https://doi.org/10.1080/01621459.1927.10502953</t>
        </is>
      </c>
    </row>
  </sheetData>
  <pageMargins left="0.7" right="0.7" top="0.75" bottom="0.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2026-10-08T02:51:38Z</dcterms:created>
  <dcterms:modified xmlns:dcterms="http://purl.org/dc/terms/" xmlns:xsi="http://www.w3.org/2001/XMLSchema-instance" xsi:type="dcterms:W3CDTF">2026-10-08T03:07:14Z</dcterms:modified>
  <cp:lastModifiedBy>Borise Ding</cp:lastModifiedBy>
</cp:coreProperties>
</file>
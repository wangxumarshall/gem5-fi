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fc54db04b73465d" /></Relationships>
</file>

<file path=xl/workbook.xml><?xml version="1.0" encoding="utf-8"?>
<x:workbook xmlns:x="http://schemas.openxmlformats.org/spreadsheetml/2006/main">
  <x:sheets>
    <x:sheet xmlns:r="http://schemas.openxmlformats.org/officeDocument/2006/relationships" name="0.说明与总览" sheetId="2" r:id="R74568ab0eb784053"/>
    <x:sheet xmlns:r="http://schemas.openxmlformats.org/officeDocument/2006/relationships" name="1.单元与现有研究" sheetId="3" r:id="R4377db08cd7f459a"/>
    <x:sheet xmlns:r="http://schemas.openxmlformats.org/officeDocument/2006/relationships" name="2.LSU参数基线" sheetId="4" r:id="Rc33a10bdf55e4973"/>
    <x:sheet xmlns:r="http://schemas.openxmlformats.org/officeDocument/2006/relationships" name="3.位置x模型矩阵" sheetId="5" r:id="R90b9983535b442d1"/>
    <x:sheet xmlns:r="http://schemas.openxmlformats.org/officeDocument/2006/relationships" name="4.观测点定义" sheetId="6" r:id="Rdebf7eee778c42d4"/>
    <x:sheet xmlns:r="http://schemas.openxmlformats.org/officeDocument/2006/relationships" name="5.频率与统计" sheetId="7" r:id="Re96cf808f16543d5"/>
    <x:sheet xmlns:r="http://schemas.openxmlformats.org/officeDocument/2006/relationships" name="6.负载清单" sheetId="8" r:id="Rcc4cbf4d58cd42f9"/>
    <x:sheet xmlns:r="http://schemas.openxmlformats.org/officeDocument/2006/relationships" name="7.展开执行矩阵" sheetId="9" r:id="R07ca779d8a424044"/>
    <x:sheet xmlns:r="http://schemas.openxmlformats.org/officeDocument/2006/relationships" name="8.文献与来源" sheetId="10" r:id="Rad63a88482034eac"/>
  </x:sheets>
</x:workbook>
</file>

<file path=xl/sharedStrings.xml><?xml version="1.0" encoding="utf-8"?>
<x:sst xmlns:x="http://schemas.openxmlformats.org/spreadsheetml/2006/main">
  <x:si>
    <x:t xml:space="preserve">LSU 单元故障注入方案 — 总览</x:t>
  </x:si>
  <x:si>
    <x:t xml:space="preserve">统一基线：LSU单元参数总表.md 的 B0。除 DTLB=32 项是为复现 TC'23 的显式覆盖外，其余优先采用 gem5 stable 的 O3_ARM_v7a_3 / BaseO3CPU / ArmMMU 配置。</x:t>
  </x:si>
  <x:si>
    <x:t xml:space="preserve">重要纠正：B0 是可复现实验模型，不是鲲鹏 920 复刻；cache ports=200 不是物理端口数；当前 ARM 示例为 1 Load FU + 1 Store FU，L1D=32KiB/2-way，StridePrefetcher 位于 L2。</x:t>
  </x:si>
  <x:si>
    <x:t xml:space="preserve">工作簿结构</x:t>
  </x:si>
  <x:si>
    <x:t xml:space="preserve">1.单元与现有研究：逐单元填写“现有文章”和“现有文章结果”，并严格区分 AVF、非Benign条件占比、检测率和DelayAVF。</x:t>
  </x:si>
  <x:si>
    <x:t xml:space="preserve">2.LSU参数基线：参数合理性审查、B0定值与单因素敏感性配置。</x:t>
  </x:si>
  <x:si>
    <x:t xml:space="preserve">3.位置x模型矩阵：每行一个单元×位置×故障模型，含频率、负载、传播监控、预期结果和设计理由。</x:t>
  </x:si>
  <x:si>
    <x:t xml:space="preserve">4.观测点定义：L0-L5传播链；SDC率分母只用activated，不用attempted。</x:t>
  </x:si>
  <x:si>
    <x:t xml:space="preserve">5.频率与统计：事件归一化频率、周期换算、随机化与样本量。</x:t>
  </x:si>
  <x:si>
    <x:t xml:space="preserve">6.负载清单：论文复现、公开通用和定向探针负载。</x:t>
  </x:si>
  <x:si>
    <x:t xml:space="preserve">7.展开执行矩阵：按位置×模型×频率×负载展开；黄色列是执行后人工录入，蓝色列自动计算。</x:t>
  </x:si>
  <x:si>
    <x:t xml:space="preserve">8.文献与来源：本地论文和官方源码定位。</x:t>
  </x:si>
  <x:si>
    <x:t xml:space="preserve">统计与判定边界</x:t>
  </x:si>
  <x:si>
    <x:t xml:space="preserve">① attempted、eligible、activated分开记录。目标未被后续读取/使用的注入归入Injected-not-activated，不进入SDC率分母。</x:t>
  </x:si>
  <x:si>
    <x:t xml:space="preserve">② F0单次故障用于AVF/论文对照；F1-F4是重复/突发故障压力实验，不能与F0混成一个“故障率”。F5永久故障按运行分类。</x:t>
  </x:si>
  <x:si>
    <x:t xml:space="preserve">③ 每个实验单元先做30个activated样本试跑；正式筛查至少385个activated样本（95%置信水平、最坏比例下约±5个百分点）。论文主结果建议用Wilson 95%区间半宽≤2个百分点或达到5000个activated样本停止。</x:t>
  </x:si>
  <x:si>
    <x:t xml:space="preserve">④ 每个故障运行绑定同一checkpoint、输入、seed和无故障golden run；结构化换值只允许替换成明确合法值，并保存源值/目标值。</x:t>
  </x:si>
  <x:si>
    <x:t xml:space="preserve">⑤ 预期结果是可证伪假设，不是实测结论。没有论文直接结果的AGU、原子/同步和多数结构化模型，实测列必须保持待执行。</x:t>
  </x:si>
  <x:si>
    <x:t xml:space="preserve">单元</x:t>
  </x:si>
  <x:si>
    <x:t xml:space="preserve">作用</x:t>
  </x:si>
  <x:si>
    <x:t xml:space="preserve">现有文章</x:t>
  </x:si>
  <x:si>
    <x:t xml:space="preserve">现有文章结果</x:t>
  </x:si>
  <x:si>
    <x:t xml:space="preserve">指标口径</x:t>
  </x:si>
  <x:si>
    <x:t xml:space="preserve">证据直接性</x:t>
  </x:si>
  <x:si>
    <x:t xml:space="preserve">研究空白/本方案增量</x:t>
  </x:si>
  <x:si>
    <x:t xml:space="preserve">AGU</x:t>
  </x:si>
  <x:si>
    <x:t xml:space="preserve">生成load/store有效地址，含base/index选择、扩展/移位、地址加法、访问尺寸与请求路由。</x:t>
  </x:si>
  <x:si>
    <x:t xml:space="preserve">本地论文中无直接AGU故障注入。ITC'23仅说明访存地址生成位于独立FU，但没有注入。</x:t>
  </x:si>
  <x:si>
    <x:t xml:space="preserve">无直接实测结果。</x:t>
  </x:si>
  <x:si>
    <x:t xml:space="preserve">不适用</x:t>
  </x:si>
  <x:si>
    <x:t xml:space="preserve">同机制类比</x:t>
  </x:si>
  <x:si>
    <x:t xml:space="preserve">空白：合法地址替换、寻址模式拼接、byte-enable和ready时序。</x:t>
  </x:si>
  <x:si>
    <x:t xml:space="preserve">L1d-TLB</x:t>
  </x:si>
  <x:si>
    <x:t xml:space="preserve">缓存VA→PA翻译与权限/属性，未命中时触发page walk。</x:t>
  </x:si>
  <x:si>
    <x:t xml:space="preserve">TC'22：Arm A5/A9，DTLB单bit瞬态，每部件≥1000次；CRC32/FFT/MatMul/Qsort。TC'23：Armv8类A72/Armv7类A15，32项全相联DTLB，MiBench 10个，每负载2000次。</x:t>
  </x:si>
  <x:si>
    <x:t xml:space="preserve">TC'22将ITLB/DTLB合并：平均Crash AVF约50%、Hang约10%、SDC AVF&lt;1%。TC'23 Armv8：SDC占非Benign故障22.2%，内核指令贡献2.3个百分点；执行时间错组内11.8%。</x:t>
  </x:si>
  <x:si>
    <x:t xml:space="preserve">TC'22为AVF；TC'23为非Benign条件占比，不能直接比较</x:t>
  </x:si>
  <x:si>
    <x:t xml:space="preserve">直接</x:t>
  </x:si>
  <x:si>
    <x:t xml:space="preserve">空白：字段级PPN/权限/ASID、合法映射替换、refill时序、永久与保护故障。</x:t>
  </x:si>
  <x:si>
    <x:t xml:space="preserve">Store Queue</x:t>
  </x:si>
  <x:si>
    <x:t xml:space="preserve">缓存未提交store，维护顺序并做store-to-load forwarding；本方案把SSIT/LFST归入其子位置。</x:t>
  </x:si>
  <x:si>
    <x:t xml:space="preserve">IISWC'15：LSQ/SQ数据域单bit瞬态，MiBench 10个，2000次/结构/负载。TC'23：16项LQ/SQ分别注入，2000次/负载。HPCA'24：32项LQ/SQ，MiBench 15个，1000次/结构。Harpocrates++：SQ数据域检测率。MICRO'24 DelayAVF：Ibex LSU 2027根线，BEEBS 5个，每根线抽4%执行周期。</x:t>
  </x:si>
  <x:si>
    <x:t xml:space="preserve">IISWC'15：平均非掩蔽通常&lt;3%，五类后果均有。TC'23：LQ/SQ SDC概率均为0，论文归因于commit前依赖检查。HPCA'24总AVF：LQ Arm 2.4%-8.6%，SQ Arm 2.2%-6.2%。Harpocrates++多数基线程序检出0%-1%，个别约20%。DelayAVF证明LSQ对小延迟故障的排序与粒子AVF不同，但不提供SDC/Crash分解。</x:t>
  </x:si>
  <x:si>
    <x:t xml:space="preserve">非掩蔽率、条件SDC、总AVF、检出率、DelayAVF并存，严禁混算</x:t>
  </x:si>
  <x:si>
    <x:t xml:space="preserve">直接+不同模型</x:t>
  </x:si>
  <x:si>
    <x:t xml:space="preserve">空白：forward比较/拼接、byte mask、状态指针、SSIT/LFST、事务ack和保护链。</x:t>
  </x:si>
  <x:si>
    <x:t xml:space="preserve">L1d-Cache</x:t>
  </x:si>
  <x:si>
    <x:t xml:space="preserve">保存最近数据，含tag/data/valid/dirty/coherence、替换、MSHR、fill/writeback。</x:t>
  </x:si>
  <x:si>
    <x:t xml:space="preserve">IISWC'15、TC'22、TC'23、HPCA'24/ITC'23/ETS'24、Harpocrates均直接注入L1D data/tag或永久故障；CHAOS补充单/多bit与stuck-at频率规律。</x:t>
  </x:si>
  <x:si>
    <x:t xml:space="preserve">IISWC'15：非掩蔽2.5%-47.3%，SDC为主导。TC'22：A9 L1D SDC AVF约30%（文中约数）。TC'23 Armv8非Benign中data/tag的SDC占53.4%/38.0%；高字节位置SDC概率下降。HPCA'24：Arm瞬态L1D AVF 4.3%-44.9%，SDC AVF 1.2%-43%；永久SDC 5.1%-53.3%。Harpocrates最佳基线约80%，生成程序接近90%检出。</x:t>
  </x:si>
  <x:si>
    <x:t xml:space="preserve">非掩蔽率、AVF、条件SDC、检测率需分列解释</x:t>
  </x:si>
  <x:si>
    <x:t xml:space="preserve">空白：dirty/coherence、MSHR merge、tag-data错配、fill/writeback时序与保护失效。</x:t>
  </x:si>
  <x:si>
    <x:t xml:space="preserve">原子与同步</x:t>
  </x:si>
  <x:si>
    <x:t xml:space="preserve">实现LDXR/STXR、LSE原子RMW和DMB/DSB排序，依赖exclusive monitor与一致性。</x:t>
  </x:si>
  <x:si>
    <x:t xml:space="preserve">本地论文中无直接原子/屏障单元故障注入。</x:t>
  </x:si>
  <x:si>
    <x:t xml:space="preserve">空白</x:t>
  </x:si>
  <x:si>
    <x:t xml:space="preserve">必须用多核FS和litmus禁出现结果；普通单线程benchmark不足以激活。</x:t>
  </x:si>
  <x:si>
    <x:t xml:space="preserve">数据预取器</x:t>
  </x:si>
  <x:si>
    <x:t xml:space="preserve">训练访存模式并生成预取请求；B0用L2 StridePrefetcher代理。</x:t>
  </x:si>
  <x:si>
    <x:t xml:space="preserve">TC'23明确未注入，理由是普通预取错误不改变架构状态。MICRO'24 DelayAVF直接研究Ibex prefetch buffer：3249根线、BEEBS 5个、每根线抽4%周期。IISWC'15表中列出L1D prefetcher差异，但没有可分离的预取器结果。</x:t>
  </x:si>
  <x:si>
    <x:t xml:space="preserve">MICRO'24指出Ibex prefetcher既有较高particle-strike AVF也有较高DelayAVF，原因是内部buffer把cache line送入流水线；论文没有给SDC/Crash分解。TC'23的“无架构状态变化”只覆盖普通预测地址错误，未覆盖fill tag/data/dirty控制出错。</x:t>
  </x:si>
  <x:si>
    <x:t xml:space="preserve">DelayAVF与SDC率不同；其结果只能作机制证据</x:t>
  </x:si>
  <x:si>
    <x:t xml:space="preserve">部分直接（不同核心/故障模型）</x:t>
  </x:si>
  <x:si>
    <x:t xml:space="preserve">空白：需求-预取事务配对、fill tag-data错配、dirty/ownership误赋、保护链。</x:t>
  </x:si>
  <x:si>
    <x:t xml:space="preserve">结构/参数</x:t>
  </x:si>
  <x:si>
    <x:t xml:space="preserve">B0最终值</x:t>
  </x:si>
  <x:si>
    <x:t xml:space="preserve">处理</x:t>
  </x:si>
  <x:si>
    <x:t xml:space="preserve">依据/合理性判断</x:t>
  </x:si>
  <x:si>
    <x:t xml:space="preserve">敏感性配置</x:t>
  </x:si>
  <x:si>
    <x:t xml:space="preserve">LQEntries</x:t>
  </x:si>
  <x:si>
    <x:t xml:space="preserve">保留</x:t>
  </x:si>
  <x:si>
    <x:t xml:space="preserve">O3_ARM_v7a_3明确覆盖</x:t>
  </x:si>
  <x:si>
    <x:t xml:space="preserve">B0</x:t>
  </x:si>
  <x:si>
    <x:t xml:space="preserve">SQEntries</x:t>
  </x:si>
  <x:si>
    <x:t xml:space="preserve">Load FU</x:t>
  </x:si>
  <x:si>
    <x:t xml:space="preserve">1个；MemRead/FloatMemRead opLat=2</x:t>
  </x:si>
  <x:si>
    <x:t xml:space="preserve">修正</x:t>
  </x:si>
  <x:si>
    <x:t xml:space="preserve">原表“每周期2 load”与官方示例不符</x:t>
  </x:si>
  <x:si>
    <x:t xml:space="preserve">Store FU</x:t>
  </x:si>
  <x:si>
    <x:t xml:space="preserve">1个；MemWrite/FloatMemWrite opLat=2</x:t>
  </x:si>
  <x:si>
    <x:t xml:space="preserve">官方示例独立1个Store FU</x:t>
  </x:si>
  <x:si>
    <x:t xml:space="preserve">LSQDepCheckShift</x:t>
  </x:si>
  <x:si>
    <x:t xml:space="preserve">ARM示例明确覆盖0，不应取BaseO3CPU默认4</x:t>
  </x:si>
  <x:si>
    <x:t xml:space="preserve">B0；S3=4</x:t>
  </x:si>
  <x:si>
    <x:t xml:space="preserve">LSQCheckLoads</x:t>
  </x:si>
  <x:si>
    <x:t xml:space="preserve">BaseO3CPU默认</x:t>
  </x:si>
  <x:si>
    <x:t xml:space="preserve">SSITSize / LFSTSize</x:t>
  </x:si>
  <x:si>
    <x:t xml:space="preserve">1024 / 1024</x:t>
  </x:si>
  <x:si>
    <x:t xml:space="preserve">BaseO3CPU默认；SSIT 1-way LRU</x:t>
  </x:si>
  <x:si>
    <x:t xml:space="preserve">store_set_clear_period</x:t>
  </x:si>
  <x:si>
    <x:t xml:space="preserve">按load/store指令计数</x:t>
  </x:si>
  <x:si>
    <x:t xml:space="preserve">cacheLoadPorts / cacheStorePorts</x:t>
  </x:si>
  <x:si>
    <x:t xml:space="preserve">200 / 200</x:t>
  </x:si>
  <x:si>
    <x:t xml:space="preserve">澄清</x:t>
  </x:si>
  <x:si>
    <x:t xml:space="preserve">近似不由该参数限流，不是物理端口数</x:t>
  </x:si>
  <x:si>
    <x:t xml:space="preserve">L1 DTLB</x:t>
  </x:si>
  <x:si>
    <x:t xml:space="preserve">32项全相联 LRU</x:t>
  </x:si>
  <x:si>
    <x:t xml:space="preserve">保留但降级为比较覆盖</x:t>
  </x:si>
  <x:si>
    <x:t xml:space="preserve">复现TC'23；gem5当前默认64项全相联</x:t>
  </x:si>
  <x:si>
    <x:t xml:space="preserve">B0；S1=64</x:t>
  </x:si>
  <x:si>
    <x:t xml:space="preserve">L2 TLB</x:t>
  </x:si>
  <x:si>
    <x:t xml:space="preserve">1280项 5-way</x:t>
  </x:si>
  <x:si>
    <x:t xml:space="preserve">新增</x:t>
  </x:si>
  <x:si>
    <x:t xml:space="preserve">gem5 ArmMMU stable默认</x:t>
  </x:si>
  <x:si>
    <x:t xml:space="preserve">L1D容量/相联度</x:t>
  </x:si>
  <x:si>
    <x:t xml:space="preserve">32KiB / 2-way</x:t>
  </x:si>
  <x:si>
    <x:t xml:space="preserve">与O3_ARM_v7a_DCache一致；原64/4是服务器Arm风格而非该示例</x:t>
  </x:si>
  <x:si>
    <x:t xml:space="preserve">B0；S2=64KiB/4-way</x:t>
  </x:si>
  <x:si>
    <x:t xml:space="preserve">Cache line</x:t>
  </x:si>
  <x:si>
    <x:t xml:space="preserve">64B</x:t>
  </x:si>
  <x:si>
    <x:t xml:space="preserve">保留并补证据</x:t>
  </x:si>
  <x:si>
    <x:t xml:space="preserve">gem5 System默认</x:t>
  </x:si>
  <x:si>
    <x:t xml:space="preserve">L1D tag/data/response latency</x:t>
  </x:si>
  <x:si>
    <x:t xml:space="preserve">2 / 2 / 2 cycles</x:t>
  </x:si>
  <x:si>
    <x:t xml:space="preserve">官方示例；不把它们简单相加成真实load-to-use</x:t>
  </x:si>
  <x:si>
    <x:t xml:space="preserve">L1D MSHR / targets</x:t>
  </x:si>
  <x:si>
    <x:t xml:space="preserve">6 / 8</x:t>
  </x:si>
  <x:si>
    <x:t xml:space="preserve">保留并更正来源</x:t>
  </x:si>
  <x:si>
    <x:t xml:space="preserve">官方O3_ARM_v7a_DCache直接给出，不依赖错位表推断</x:t>
  </x:si>
  <x:si>
    <x:t xml:space="preserve">L1D write buffers</x:t>
  </x:si>
  <x:si>
    <x:t xml:space="preserve">官方O3_ARM_v7a_DCache</x:t>
  </x:si>
  <x:si>
    <x:t xml:space="preserve">L1D ECC/parity</x:t>
  </x:si>
  <x:si>
    <x:t xml:space="preserve">关闭</x:t>
  </x:si>
  <x:si>
    <x:t xml:space="preserve">明确实验因子</x:t>
  </x:si>
  <x:si>
    <x:t xml:space="preserve">与无保护文献可比；不能把未披露等同于无保护事实</x:t>
  </x:si>
  <x:si>
    <x:t xml:space="preserve">B0；S5启用保护</x:t>
  </x:si>
  <x:si>
    <x:t xml:space="preserve">L2 StridePrefetcher degree=8, latency=1, prefetch_on_access=True</x:t>
  </x:si>
  <x:si>
    <x:t xml:space="preserve">官方ARM O3示例挂L2；原L1D degree=4不准确</x:t>
  </x:si>
  <x:si>
    <x:t xml:space="preserve">B0；S4挂L1D</x:t>
  </x:si>
  <x:si>
    <x:t xml:space="preserve">时钟</x:t>
  </x:si>
  <x:si>
    <x:t xml:space="preserve">2.6GHz仅用于换算</x:t>
  </x:si>
  <x:si>
    <x:t xml:space="preserve">注入频率以eligible event为主，避免工作负载IPC偏差</x:t>
  </x:si>
  <x:si>
    <x:t xml:space="preserve">模型ID</x:t>
  </x:si>
  <x:si>
    <x:t xml:space="preserve">注入位置（结构与正常作用）</x:t>
  </x:si>
  <x:si>
    <x:t xml:space="preserve">故障类型</x:t>
  </x:si>
  <x:si>
    <x:t xml:space="preserve">故障模型（实施步骤与激活口径）</x:t>
  </x:si>
  <x:si>
    <x:t xml:space="preserve">适用频率</x:t>
  </x:si>
  <x:si>
    <x:t xml:space="preserve">适用负载（真实名称）</x:t>
  </x:si>
  <x:si>
    <x:t xml:space="preserve">事件触发条件</x:t>
  </x:si>
  <x:si>
    <x:t xml:space="preserve">传播链重点观测</x:t>
  </x:si>
  <x:si>
    <x:t xml:space="preserve">预期结果（待验证假设）</x:t>
  </x:si>
  <x:si>
    <x:t xml:space="preserve">设计理由</x:t>
  </x:si>
  <x:si>
    <x:t xml:space="preserve">文献依据/直接性</x:t>
  </x:si>
  <x:si>
    <x:t xml:space="preserve">A01</x:t>
  </x:si>
  <x:si>
    <x:t xml:space="preserve">AGU 计算完成后的有效地址（EA）流水寄存器。它位于 base/index/offset 运算之后、L1 d-TLB 地址翻译之前，保存本条 load/store 将要访问的虚拟地址；此处出错会沿 d-TLB、L1D 和最终 load/store 结果继续传播。</x:t>
  </x:si>
  <x:si>
    <x:t xml:space="preserve">单比特翻转</x:t>
  </x:si>
  <x:si>
    <x:t xml:space="preserve">在完成地址加法后、送入DTLB前随机翻转EA的1 bit；地址位按低/中/高三段分层抽样。实施细则：每次故障运行只选一个当前有效且可被后续使用的目标，在指定字段内均匀抽取一个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编号、原值和故障值，避免把未使用空项计为有效样本。激活口径：仅当“任一已完成地址生成”且故障值被下游实际读取、选择或消费时计为 activated；否则归入 Injected-not-activated。</x:t>
  </x:si>
  <x:si>
    <x:t xml:space="preserve">F0 / F1 / F2</x:t>
  </x:si>
  <x:si>
    <x:t xml:space="preserve">AGU-AddrModes AArch64 寻址模式探针（base+imm、base+index、扩展/移位、pre/post-index、LDP/STP）
GAP/Graph500 子集（BFS、SSSP、PageRank，固定图与结果哈希）</x:t>
  </x:si>
  <x:si>
    <x:t xml:space="preserve">任一已完成地址生成</x:t>
  </x:si>
  <x:si>
    <x:t xml:space="preserve">L0 eligible/activated；L1 正确EA与故障EA、base/index/extend/shift、size/byte-enable；L2 TLB输入VA与cache request；L3 load返回/store落点；L4 commit首分歧；L5输出/Crash/Timeout；记录bit区间、地址是否仍在同一对象/页、首次错误load/store</x:t>
  </x:si>
  <x:si>
    <x:t xml:space="preserve">高位翻转多为异常/Crash；低位在合法对象内时易形成错误元素访问并产生SDC</x:t>
  </x:si>
  <x:si>
    <x:t xml:space="preserve">覆盖最基本瞬态；分层采样避免高位地址异常掩盖低位静默路径</x:t>
  </x:si>
  <x:si>
    <x:t xml:space="preserve">无直接AGU注入；仅同机制类比DTLB地址错误</x:t>
  </x:si>
  <x:si>
    <x:t xml:space="preserve">A02</x:t>
  </x:si>
  <x:si>
    <x:t xml:space="preserve">AGU 计算完成后的有效地址（EA）流水寄存器。它位于地址加法/移位逻辑的出口、L1 d-TLB 的入口；双比特模型仍只作用于这一条地址，不同时破坏访问大小或请求类型。</x:t>
  </x:si>
  <x:si>
    <x:t xml:space="preserve">双比特翻转</x:t>
  </x:si>
  <x:si>
    <x:t xml:space="preserve">同一EA内同时翻转2 bit；50%相邻、50%非相邻，避免只覆盖单一MBU空间。实施细则：每次故障运行只选一个有效结构项，在同一字段内同时异或两个不同 bit；相邻位与非相邻位分层各占一半，并记录两个 bit 的编号、距离、原值和故障值。两个 bit 必须在同一个微架构事件生效，不与其他字段故障叠加。激活口径：仅当“任一已完成地址生成”且故障值被下游实际读取、选择或消费时计为 activated；否则归入 Injected-not-activated。</x:t>
  </x:si>
  <x:si>
    <x:t xml:space="preserve">F0 / F2</x:t>
  </x:si>
  <x:si>
    <x:t xml:space="preserve">L0 eligible/activated；L1 正确EA与故障EA、base/index/extend/shift、size/byte-enable；L2 TLB输入VA与cache request；L3 load返回/store落点；L4 commit首分歧；L5输出/Crash/Timeout；记录两bit距离、对齐状态、页/对象越界</x:t>
  </x:si>
  <x:si>
    <x:t xml:space="preserve">相邻低位可能形成稳定错位；含高位时Crash上升；与A01比较SDC/Crash极化</x:t>
  </x:si>
  <x:si>
    <x:t xml:space="preserve">显式覆盖MBU并区分物理邻近与逻辑分散</x:t>
  </x:si>
  <x:si>
    <x:t xml:space="preserve">CHAOS多比特结果作规律性类比</x:t>
  </x:si>
  <x:si>
    <x:t xml:space="preserve">A03</x:t>
  </x:si>
  <x:si>
    <x:t xml:space="preserve">AGU 地址加法器的 EA 输出总线/输出位。每条 load/store 完成“基址+偏移或索引”后都会经过这里；某一位卡死会让多条后续访存地址形成重复的固定偏差，而不是只影响一个队列表项。</x:t>
  </x:si>
  <x:si>
    <x:t xml:space="preserve">卡死</x:t>
  </x:si>
  <x:si>
    <x:t xml:space="preserve">选一个EA bit实施stuck-at-0或stuck-at-1，warm-up后每次地址生成均施加。实施细则：在 warm-up 后固定一个物理 bit、lane 或控制位置，并独立执行 stuck-at-0 与 stuck-at-1 两个 campaign；之后每次读出/写入都施加同一掩码直到运行结束。若某次事件的正确值本来就等于卡死值，该次不增加 activated。激活口径：仅当“首个AGU事件后持续”且故障值被下游实际读取、选择或消费时计为 activated；否则归入 Injected-not-activated。</x:t>
  </x:si>
  <x:si>
    <x:t xml:space="preserve">F5</x:t>
  </x:si>
  <x:si>
    <x:t xml:space="preserve">AGU-AddrModes AArch64 寻址模式探针（base+imm、base+index、扩展/移位、pre/post-index、LDP/STP）
STREAM+PointerChase（Copy、Scale、Add、Triad 与随机指针链）</x:t>
  </x:si>
  <x:si>
    <x:t xml:space="preserve">首个AGU事件后持续</x:t>
  </x:si>
  <x:si>
    <x:t xml:space="preserve">L0 eligible/activated；L1 正确EA与故障EA、base/index/extend/shift、size/byte-enable；L2 TLB输入VA与cache request；L3 load返回/store落点；L4 commit首分歧；L5输出/Crash/Timeout；按bit统计地址碰撞率、唯一地址数、store覆盖热点</x:t>
  </x:si>
  <x:si>
    <x:t xml:space="preserve">低位卡死表现为周期性地址折叠；高位通常快速Crash；可能出现重复写同一元素的稳定SDC</x:t>
  </x:si>
  <x:si>
    <x:t xml:space="preserve">永久数据通路故障会跨多次访问形成有规律的地址别名</x:t>
  </x:si>
  <x:si>
    <x:t xml:space="preserve">无直接文献</x:t>
  </x:si>
  <x:si>
    <x:t xml:space="preserve">A04</x:t>
  </x:si>
  <x:si>
    <x:t xml:space="preserve">AGU 输出的完整 EA 及其对应的软件对象范围。这里不是另一个硬件表，而是在 AGU→d-TLB 边界把正确地址替换为同一已分配对象或同一映射页中的另一合法地址，用于研究“地址合法但对象/元素错误”。</x:t>
  </x:si>
  <x:si>
    <x:t xml:space="preserve">换值</x:t>
  </x:si>
  <x:si>
    <x:t xml:space="preserve">把EA替换成同一已分配对象或同页内另一个对齐合法地址；禁止替换成未映射地址。实施细则：不生成任意随机位串，而是从当前运行中选择另一个满足对齐、范围、编码和生命周期约束的合法值；保存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及候选集合。每次运行只替换一个字段或一个选择结果，非法候选、空闲项和已经释放的事务不得使用。激活口径：仅当“地址属于带oracle对象时”且故障值被下游实际读取、选择或消费时计为 activated；否则归入 Injected-not-activated。</x:t>
  </x:si>
  <x:si>
    <x:t xml:space="preserve">F0 / F2 / F6</x:t>
  </x:si>
  <x:si>
    <x:t xml:space="preserve">AGU-AddrModes AArch64 寻址模式探针（base+imm、base+index、扩展/移位、pre/post-index、LDP/STP）
MiniCheck 最小正确性探针（数组校验和、guard page、指针链、load/store round-trip）</x:t>
  </x:si>
  <x:si>
    <x:t xml:space="preserve">地址属于带oracle对象时</x:t>
  </x:si>
  <x:si>
    <x:t xml:space="preserve">L0 eligible/activated；L1 正确EA与故障EA、base/index/extend/shift、size/byte-enable；L2 TLB输入VA与cache request；L3 load返回/store落点；L4 commit首分歧；L5输出/Crash/Timeout；记录替代距离、是否同cache line、错误值扇出</x:t>
  </x:si>
  <x:si>
    <x:t xml:space="preserve">预期SDC显著高于随机翻转，因为绕开地址异常与页故障</x:t>
  </x:si>
  <x:si>
    <x:t xml:space="preserve">专门检验“合法但错误地址”这一随机翻转难命中的路径</x:t>
  </x:si>
  <x:si>
    <x:t xml:space="preserve">本方案结构化模型</x:t>
  </x:si>
  <x:si>
    <x:t xml:space="preserve">A05</x:t>
  </x:si>
  <x:si>
    <x:t xml:space="preserve">AGU 的寻址操作数选择与预处理控制，包括 base/index 选择、UXTW/SXTW 扩展、LSL 移位以及 pre-index/post-index 的基址更新方式。这些控制信号决定参与地址加法的值和基址何时写回。</x:t>
  </x:si>
  <x:si>
    <x:t xml:space="preserve">错位拼接</x:t>
  </x:si>
  <x:si>
    <x:t xml:space="preserve">互换base与index；SXTW↔UXTW；shift量替换为另一合法值；pre-index↔post-index仅改变更新时点。实施细则：保持各输入片段本身不变，只修改片段来源、顺序、移位量或拼接选择，使结果仍是完整位串；交换、循环移位、清零和读旧值必须作为独立子模型统计。每次运行只启用一种拼接规则，记录每个输出字节/子字段的真实来源。激活口径：仅当“命中对应AArch64寻址模式”且故障值被下游实际读取、选择或消费时计为 activated；否则归入 Injected-not-activated。</x:t>
  </x:si>
  <x:si>
    <x:t xml:space="preserve">AGU-AddrModes AArch64 寻址模式探针（base+imm、base+index、扩展/移位、pre/post-index、LDP/STP）</x:t>
  </x:si>
  <x:si>
    <x:t xml:space="preserve">命中对应AArch64寻址模式</x:t>
  </x:si>
  <x:si>
    <x:t xml:space="preserve">L0 eligible/activated；L1 正确EA与故障EA、base/index/extend/shift、size/byte-enable；L2 TLB输入VA与cache request；L3 load返回/store落点；L4 commit首分歧；L5输出/Crash/Timeout；记录寻址模式、基址写回值、错误潜伏提交数</x:t>
  </x:si>
  <x:si>
    <x:t xml:space="preserve">地址仍合法时高SDC；符号扩展和更新时点错误可能在数十条指令后才显现</x:t>
  </x:si>
  <x:si>
    <x:t xml:space="preserve">对应AGU真正的操作数选择和扩展逻辑，而非泛化位翻转</x:t>
  </x:si>
  <x:si>
    <x:t xml:space="preserve">A06</x:t>
  </x:si>
  <x:si>
    <x:t xml:space="preserve">AGU/LSU 随访存请求生成的 access-size 与 byte-enable 字段。access-size 表示本次访问是 1/2/4/8/16B，byte-enable 指定 cache line 中哪些字节真正读写；地址正确但这些字段错误仍会造成截断、越界字节或部分写。</x:t>
  </x:si>
  <x:si>
    <x:t xml:space="preserve">状态</x:t>
  </x:si>
  <x:si>
    <x:t xml:space="preserve">把1/2/4/8/16B size或byte-enable替换为另一合法组合；保持地址不变。实施细则：一次运行只改变一个状态位或一种状态转换；清零、伪造、提前置位和延后清除分别统计，不在同一样本叠加。注入前后记录状态机轨迹与关联 instruction/transaction，检查是否破坏占用、唯一性或顺序不变量。激活口径：仅当“子字节或向量访存”且故障值被下游实际读取、选择或消费时计为 activated；否则归入 Injected-not-activated。</x:t>
  </x:si>
  <x:si>
    <x:t xml:space="preserve">AGU-AddrModes AArch64 寻址模式探针（base+imm、base+index、扩展/移位、pre/post-index、LDP/STP）
SQ-Forward 转发探针（同地址/部分重叠 store-to-load forwarding、字节掩码、alias、replay）</x:t>
  </x:si>
  <x:si>
    <x:t xml:space="preserve">子字节或向量访存</x:t>
  </x:si>
  <x:si>
    <x:t xml:space="preserve">L0 eligible/activated；L1 正确EA与故障EA、base/index/extend/shift、size/byte-enable；L2 TLB输入VA与cache request；L3 load返回/store落点；L4 commit首分歧；L5输出/Crash/Timeout；逐字节store日志、相邻字节canary、load扩展方式</x:t>
  </x:si>
  <x:si>
    <x:t xml:space="preserve">partial store最易静默污染相邻字节；load可能表现为截断/符号扩展错误</x:t>
  </x:si>
  <x:si>
    <x:t xml:space="preserve">地址正确并不保证写入范围正确；这是AGU/LSU控制路径的高价值结构化故障</x:t>
  </x:si>
  <x:si>
    <x:t xml:space="preserve">A07</x:t>
  </x:si>
  <x:si>
    <x:t xml:space="preserve">AGU 结果的 address-ready 握手信号与 EA 流水锁存器。ready 告诉下游“本条地址已经可用”，锁存器保存跨周期的 EA；提前 ready 可能让下游读到上一拍旧地址，延后或丢失 ready 会造成停顿或请求丢失。</x:t>
  </x:si>
  <x:si>
    <x:t xml:space="preserve">时序</x:t>
  </x:si>
  <x:si>
    <x:t xml:space="preserve">提前1周期置ready读取旧EA，或延后1周期/丢失一次ready；不改变值本身。实施细则：绑定一条明确的 dynamic instruction 或 transaction ID，只改变一次事件的发生周期或次数；提前、延后、丢失和重复必须分成独立子模型。数据载荷保持正确，以便把结果归因于握手/完成时序而不是数据翻转。激活口径：仅当“连续相关访存”且故障值被下游实际读取、选择或消费时计为 activated；否则归入 Injected-not-activated。</x:t>
  </x:si>
  <x:si>
    <x:t xml:space="preserve">F0 / F4 / F6</x:t>
  </x:si>
  <x:si>
    <x:t xml:space="preserve">连续相关访存</x:t>
  </x:si>
  <x:si>
    <x:t xml:space="preserve">L0 eligible/activated；L1 正确EA与故障EA、base/index/extend/shift、size/byte-enable；L2 TLB输入VA与cache request；L3 load返回/store落点；L4 commit首分歧；L5输出/Crash/Timeout；旧EA命中率、stall/replay、请求重复/丢失</x:t>
  </x:si>
  <x:si>
    <x:t xml:space="preserve">提前最危险，可能复用上一条EA并SDC；延后多为性能下降或Timeout</x:t>
  </x:si>
  <x:si>
    <x:t xml:space="preserve">覆盖小延迟故障映射到状态事件的后果</x:t>
  </x:si>
  <x:si>
    <x:t xml:space="preserve">MICRO'24 DelayAVF提供时延故障方法论，非直接AGU结果</x:t>
  </x:si>
  <x:si>
    <x:t xml:space="preserve">A08</x:t>
  </x:si>
  <x:si>
    <x:t xml:space="preserve">AGU 到 Load Queue、Store Queue 和 cache 端口之间的请求类型/端口路由。该逻辑把已生成的 EA 绑定到正确的动态指令，并区分 load 与 store；路由错会使合法地址附着到错误请求或错误端口。</x:t>
  </x:si>
  <x:si>
    <x:t xml:space="preserve">保持EA合法，但把请求路由到错误的load/store通道或交换两条同周期请求的EA。实施细则：不生成任意随机位串，而是从当前运行中选择另一个满足对齐、范围、编码和生命周期约束的合法值；保存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及候选集合。每次运行只替换一个字段或一个选择结果，非法候选、空闲项和已经释放的事务不得使用。激活口径：仅当“同周期存在load与store”且故障值被下游实际读取、选择或消费时计为 activated；否则归入 Injected-not-activated。</x:t>
  </x:si>
  <x:si>
    <x:t xml:space="preserve">同周期存在load与store</x:t>
  </x:si>
  <x:si>
    <x:t xml:space="preserve">L0 eligible/activated；L1 正确EA与故障EA、base/index/extend/shift、size/byte-enable；L2 TLB输入VA与cache request；L3 load返回/store落点；L4 commit首分歧；L5输出/Crash/Timeout；记录请求ID、dynInst、端口、EA映射一致性</x:t>
  </x:si>
  <x:si>
    <x:t xml:space="preserve">交换两条合法EA可能通过检查并产生数据/内存SDC；非法路由多触发断言</x:t>
  </x:si>
  <x:si>
    <x:t xml:space="preserve">B0有独立Load FU和Store FU，需覆盖路由选择而非虚构双load端口</x:t>
  </x:si>
  <x:si>
    <x:t xml:space="preserve">T01</x:t>
  </x:si>
  <x:si>
    <x:t xml:space="preserve">L1 d-TLB 表项的 VPN tag（Virtual Page Number 标签）。查 TLB 时用当前虚拟页号和 ASID 与它比较；tag 错误会产生本应命中的 miss，或更危险的错误命中另一条翻译。</x:t>
  </x:si>
  <x:si>
    <x:t xml:space="preserve">随机选有效表项的VPN tag翻转1 bit；只在注入后再次命中才计activated。实施细则：每次故障运行只选一个当前有效且可被后续使用的目标，在指定字段内均匀抽取一个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编号、原值和故障值，避免把未使用空项计为有效样本。激活口径：仅当“DTLB中存在有效项”且故障值被下游实际读取、选择或消费时计为 activated；否则归入 Injected-not-activated。</x:t>
  </x:si>
  <x:si>
    <x:t xml:space="preserve">MiBench-TC23 论文负载（blowfish、patricia、fft、gsm、dijkstra、rijndael、sha、bitcount、edge、smooth）
TLB-AliasPerm 地址翻译探针（4KiB/2MiB 页、ASID、同VA不同PA、权限、TLBI、跨页访问）</x:t>
  </x:si>
  <x:si>
    <x:t xml:space="preserve">DTLB中存在有效项</x:t>
  </x:si>
  <x:si>
    <x:t xml:space="preserve">L0 表项是否被命中；L1 VPN/ASID/PPN/权限/valid与多命中；L2 walk/refill/TLBI、送cache的PA；L3 cache行与异常；L4 commit首分歧/错误页访问；L5结局；错hit/miss、walk后是否自愈、错误PA</x:t>
  </x:si>
  <x:si>
    <x:t xml:space="preserve">多为miss/walk或错误命中；TC'23表明DTLB非benign中SDC可达22.2%</x:t>
  </x:si>
  <x:si>
    <x:t xml:space="preserve">直接复现文献型瞬态并加入生命周期分母</x:t>
  </x:si>
  <x:si>
    <x:t xml:space="preserve">TC'22、TC'23直接对照</x:t>
  </x:si>
  <x:si>
    <x:t xml:space="preserve">T02</x:t>
  </x:si>
  <x:si>
    <x:t xml:space="preserve">L1 d-TLB 表项中的 PPN（Physical Page Number，物理页号）翻译数据。VPN/ASID 命中后，PPN 与页内偏移拼成送往 L1D 的物理地址；这里不包含权限位。</x:t>
  </x:si>
  <x:si>
    <x:t xml:space="preserve">PPN内同时翻转2 bit，邻近/非邻近各半；权限位不动。实施细则：每次故障运行只选一个有效结构项，在同一字段内同时异或两个不同 bit；相邻位与非相邻位分层各占一半，并记录两个 bit 的编号、距离、原值和故障值。两个 bit 必须在同一个微架构事件生效，不与其他字段故障叠加。激活口径：仅当“有效表项且后续复用”且故障值被下游实际读取、选择或消费时计为 activated；否则归入 Injected-not-activated。</x:t>
  </x:si>
  <x:si>
    <x:t xml:space="preserve">有效表项且后续复用</x:t>
  </x:si>
  <x:si>
    <x:t xml:space="preserve">L0 表项是否被命中；L1 VPN/ASID/PPN/权限/valid与多命中；L2 walk/refill/TLBI、送cache的PA；L3 cache行与异常；L4 commit首分歧/错误页访问；L5结局；PA距离、是否命中有效DRAM/设备区、异常类型</x:t>
  </x:si>
  <x:si>
    <x:t xml:space="preserve">比单bit更易进入未映射PA而Crash；同物理对象别名时可能SDC</x:t>
  </x:si>
  <x:si>
    <x:t xml:space="preserve">补足文献主要未覆盖的MBU</x:t>
  </x:si>
  <x:si>
    <x:t xml:space="preserve">TC'23单bit基线；CHAOS多bit规律类比</x:t>
  </x:si>
  <x:si>
    <x:t xml:space="preserve">T03</x:t>
  </x:si>
  <x:si>
    <x:t xml:space="preserve">L1 d-TLB 的 PPN 读出通路中的一个固定物理位。与 T02 的一次性双翻转不同，卡死模型在每次读出翻译时都强制该位为 0 或 1，因此 refill 后仍可能再次表现同样错误。</x:t>
  </x:si>
  <x:si>
    <x:t xml:space="preserve">选PPN某bit stuck-at-0/1，对每次TLB读出施加同一掩码。实施细则：在 warm-up 后固定一个物理 bit、lane 或控制位置，并独立执行 stuck-at-0 与 stuck-at-1 两个 campaign；之后每次读出/写入都施加同一掩码直到运行结束。若某次事件的正确值本来就等于卡死值，该次不增加 activated。激活口径：仅当“首个DTLB hit后持续”且故障值被下游实际读取、选择或消费时计为 activated；否则归入 Injected-not-activated。</x:t>
  </x:si>
  <x:si>
    <x:t xml:space="preserve">TLB-AliasPerm 地址翻译探针（4KiB/2MiB 页、ASID、同VA不同PA、权限、TLBI、跨页访问）
GAP/Graph500 子集（BFS、SSSP、PageRank，固定图与结果哈希）</x:t>
  </x:si>
  <x:si>
    <x:t xml:space="preserve">首个DTLB hit后持续</x:t>
  </x:si>
  <x:si>
    <x:t xml:space="preserve">L0 表项是否被命中；L1 VPN/ASID/PPN/权限/valid与多命中；L2 walk/refill/TLBI、送cache的PA；L3 cache行与异常；L4 commit首分歧/错误页访问；L5结局；按VA聚合错误PA、别名矩阵、TLB refill后是否仍错</x:t>
  </x:si>
  <x:si>
    <x:t xml:space="preserve">重复访问会形成稳定物理别名；高位常Crash，低位可能跨页静默读写</x:t>
  </x:si>
  <x:si>
    <x:t xml:space="preserve">永久翻译故障与单次瞬态的传播不同</x:t>
  </x:si>
  <x:si>
    <x:t xml:space="preserve">无直接永久DTLB结果</x:t>
  </x:si>
  <x:si>
    <x:t xml:space="preserve">T04</x:t>
  </x:si>
  <x:si>
    <x:t xml:space="preserve">L1 d-TLB 的整条 VA→PA 映射关系，重点是命中项的 PPN。模型保持 VPN、ASID、页大小和权限编码合法，只把目标物理页换成另一已映射数据页，以排除普通 page fault 的干扰。</x:t>
  </x:si>
  <x:si>
    <x:t xml:space="preserve">将命中项的PPN换成另一个当前合法、相同页大小的PPN；VPN/ASID保持一致。实施细则：不生成任意随机位串，而是从当前运行中选择另一个满足对齐、范围、编码和生命周期约束的合法值；保存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及候选集合。每次运行只替换一个字段或一个选择结果，非法候选、空闲项和已经释放的事务不得使用。激活口径：仅当“同时存在两个已映射数据页”且故障值被下游实际读取、选择或消费时计为 activated；否则归入 Injected-not-activated。</x:t>
  </x:si>
  <x:si>
    <x:t xml:space="preserve">TLB-AliasPerm 地址翻译探针（4KiB/2MiB 页、ASID、同VA不同PA、权限、TLBI、跨页访问）</x:t>
  </x:si>
  <x:si>
    <x:t xml:space="preserve">同时存在两个已映射数据页</x:t>
  </x:si>
  <x:si>
    <x:t xml:space="preserve">L0 表项是否被命中；L1 VPN/ASID/PPN/权限/valid与多命中；L2 walk/refill/TLBI、送cache的PA；L3 cache行与异常；L4 commit首分歧/错误页访问；L5结局；记录源/目标页oracle、错误访问方向、TLBI恢复</x:t>
  </x:si>
  <x:si>
    <x:t xml:space="preserve">预期比随机PPN翻转更高SDC，且不触发页故障</x:t>
  </x:si>
  <x:si>
    <x:t xml:space="preserve">构造合法映射以测静默上限</x:t>
  </x:si>
  <x:si>
    <x:t xml:space="preserve">T05</x:t>
  </x:si>
  <x:si>
    <x:t xml:space="preserve">L1 d-TLB 表项的身份与生命周期状态：valid 决定表项是否可命中，global 决定是否忽略 ASID，ASID 区分地址空间。它们错误时可能产生额外 page walk、陈旧翻译或跨地址空间命中。</x:t>
  </x:si>
  <x:si>
    <x:t xml:space="preserve">valid清零/伪造；global翻转；ASID替换为另一活跃ASID；每次只改一种状态。实施细则：一次运行只改变一个状态位或一种状态转换；清零、伪造、提前置位和延后清除分别统计，不在同一样本叠加。注入前后记录状态机轨迹与关联 instruction/transaction，检查是否破坏占用、唯一性或顺序不变量。激活口径：仅当“ASID切换或TLBI前后”且故障值被下游实际读取、选择或消费时计为 activated；否则归入 Injected-not-activated。</x:t>
  </x:si>
  <x:si>
    <x:t xml:space="preserve">ASID切换或TLBI前后</x:t>
  </x:si>
  <x:si>
    <x:t xml:space="preserve">L0 表项是否被命中；L1 VPN/ASID/PPN/权限/valid与多命中；L2 walk/refill/TLBI、送cache的PA；L3 cache行与异常；L4 commit首分歧/错误页访问；L5结局；stale translation使用次数、TLBI后残留、跨ASID命中</x:t>
  </x:si>
  <x:si>
    <x:t xml:space="preserve">valid清零多为额外walk；伪造valid或错ASID可能跨地址空间SDC/安全违规</x:t>
  </x:si>
  <x:si>
    <x:t xml:space="preserve">覆盖表项身份与生命周期，而不只数据位</x:t>
  </x:si>
  <x:si>
    <x:t xml:space="preserve">TC'23未细分字段</x:t>
  </x:si>
  <x:si>
    <x:t xml:space="preserve">T06</x:t>
  </x:si>
  <x:si>
    <x:t xml:space="preserve">L1 d-TLB 表项的访问属性控制字段：AP 是读写权限，XN 是禁止执行属性，AttrIndx 选择内存类型，页大小决定 VPN/PPN 与页内偏移如何拼接。它们不改变 PPN 本身，但改变访问是否合法以及地址如何解释。</x:t>
  </x:si>
  <x:si>
    <x:t xml:space="preserve">替换为另一合法权限/内存类型/页大小编码；PPN不变。实施细则：不生成任意随机位串，而是从当前运行中选择另一个满足对齐、范围、编码和生命周期约束的合法值；保存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及候选集合。每次运行只替换一个字段或一个选择结果，非法候选、空闲项和已经释放的事务不得使用。激活口径：仅当“访问权限边界或不同memory attribute页”且故障值被下游实际读取、选择或消费时计为 activated；否则归入 Injected-not-activated。</x:t>
  </x:si>
  <x:si>
    <x:t xml:space="preserve">访问权限边界或不同memory attribute页</x:t>
  </x:si>
  <x:si>
    <x:t xml:space="preserve">L0 表项是否被命中；L1 VPN/ASID/PPN/权限/valid与多命中；L2 walk/refill/TLBI、送cache的PA；L3 cache行与异常；L4 commit首分歧/错误页访问；L5结局；权限检查、异常、memory type、地址拼接位</x:t>
  </x:si>
  <x:si>
    <x:t xml:space="preserve">权限放宽可能静默越权；收紧多Crash；页大小错可产生系统性别名</x:t>
  </x:si>
  <x:si>
    <x:t xml:space="preserve">结构化控制字段的风险不同于PPN随机翻转</x:t>
  </x:si>
  <x:si>
    <x:t xml:space="preserve">T07</x:t>
  </x:si>
  <x:si>
    <x:t xml:space="preserve">L1 d-TLB 的 CAM 比较结果 match vector 与 way-select 选择器。match vector 表示哪些表项的 VPN/ASID 匹配，way-select 从匹配项中选出翻译；伪造零命中、双命中或错选 way 都属于比较/选择逻辑故障。</x:t>
  </x:si>
  <x:si>
    <x:t xml:space="preserve">伪造0命中、双命中或选择另一个valid way；不直接改表项内容。实施细则：一次运行只改变一个状态位或一种状态转换；清零、伪造、提前置位和延后清除分别统计，不在同一样本叠加。注入前后记录状态机轨迹与关联 instruction/transaction，检查是否破坏占用、唯一性或顺序不变量。激活口径：仅当“DTLB lookup”且故障值被下游实际读取、选择或消费时计为 activated；否则归入 Injected-not-activated。</x:t>
  </x:si>
  <x:si>
    <x:t xml:space="preserve">DTLB lookup</x:t>
  </x:si>
  <x:si>
    <x:t xml:space="preserve">L0 表项是否被命中；L1 VPN/ASID/PPN/权限/valid与多命中；L2 walk/refill/TLBI、送cache的PA；L3 cache行与异常；L4 commit首分歧/错误页访问；L5结局；match vector popcount、选择way、walk数量、断言</x:t>
  </x:si>
  <x:si>
    <x:t xml:space="preserve">0命中多为性能；错误way且合法可能SDC；双命中应被监控/断言检出</x:t>
  </x:si>
  <x:si>
    <x:t xml:space="preserve">覆盖CAM比较和选择逻辑</x:t>
  </x:si>
  <x:si>
    <x:t xml:space="preserve">T08</x:t>
  </x:si>
  <x:si>
    <x:t xml:space="preserve">d-TLB miss 后的 page-table walk 返回与 refill 通路。walker 根据页表得到 PTE，refill 逻辑再把 VPN、PPN、权限和状态写入某个 TLB 槽；事务 ID 或完成时序错误会把上一条 walk 的结果填给当前请求。</x:t>
  </x:si>
  <x:si>
    <x:t xml:space="preserve">丢失、重复、提前done，或把上一条walk结果填入当前表项。实施细则：绑定一条明确的 dynamic instruction 或 transaction ID，只改变一次事件的发生周期或次数；提前、延后、丢失和重复必须分成独立子模型。数据载荷保持正确，以便把结果归因于握手/完成时序而不是数据翻转。激活口径：仅当“DTLB miss并启动walk”且故障值被下游实际读取、选择或消费时计为 activated；否则归入 Injected-not-activated。</x:t>
  </x:si>
  <x:si>
    <x:t xml:space="preserve">DTLB miss并启动walk</x:t>
  </x:si>
  <x:si>
    <x:t xml:space="preserve">L0 表项是否被命中；L1 VPN/ASID/PPN/权限/valid与多命中；L2 walk/refill/TLBI、送cache的PA；L3 cache行与异常；L4 commit首分歧/错误页访问；L5结局；walk ID、VA、返回PTE、refill槽、完成次序</x:t>
  </x:si>
  <x:si>
    <x:t xml:space="preserve">旧结果错配最可能静默；丢失多Timeout；重复可能污染替换状态</x:t>
  </x:si>
  <x:si>
    <x:t xml:space="preserve">TLB风险不仅在阵列，也在refill事务配对</x:t>
  </x:si>
  <x:si>
    <x:t xml:space="preserve">T09</x:t>
  </x:si>
  <x:si>
    <x:t xml:space="preserve">L1 d-TLB 表项及其保护元数据，包括 parity/ECC、syndrome、错误上报、纠正回写和 poison 标记。B0 默认不启用这些保护，本位置仅在 S5 保护配置中存在。</x:t>
  </x:si>
  <x:si>
    <x:t xml:space="preserve">保护</x:t>
  </x:si>
  <x:si>
    <x:t xml:space="preserve">在S5保护配置中翻校验位、抑制上报、纠正不回写或丢poison；B0不执行。实施细则：仅在 S5 保护配置存在对应机制时执行；校验位翻转、检出未上报、纠正不回写、scrub 错地址和 poison 丢失分别作为独立 campaign。B0 无保护结果标为不适用，不允许填成零故障率。激活口径：仅当“仅S5保护配置”且故障值被下游实际读取、选择或消费时计为 activated；否则归入 Injected-not-activated。</x:t>
  </x:si>
  <x:si>
    <x:t xml:space="preserve">F0 / F5 / F6</x:t>
  </x:si>
  <x:si>
    <x:t xml:space="preserve">仅S5保护配置</x:t>
  </x:si>
  <x:si>
    <x:t xml:space="preserve">L0 表项是否被命中；L1 VPN/ASID/PPN/权限/valid与多命中；L2 walk/refill/TLBI、送cache的PA；L3 cache行与异常；L4 commit首分歧/错误页访问；L5结局；syndrome、report、correction、scrub/writeback、poison传播</x:t>
  </x:si>
  <x:si>
    <x:t xml:space="preserve">可能把可检出错误降级为SDC；必须与未保护B0分开报告</x:t>
  </x:si>
  <x:si>
    <x:t xml:space="preserve">验证保护链本身而非只攻击数据</x:t>
  </x:si>
  <x:si>
    <x:t xml:space="preserve">保护扩展实验，无直接文献</x:t>
  </x:si>
  <x:si>
    <x:t xml:space="preserve">S01</x:t>
  </x:si>
  <x:si>
    <x:t xml:space="preserve">Store Queue 有效表项中的 store data 数据域。store 在提交前把将写入内存的数据暂存在这里；后续可能直接转发给年轻 load，也可能在提交后写入 L1D。</x:t>
  </x:si>
  <x:si>
    <x:t xml:space="preserve">随机有效SQ项的数据域翻转1 bit；仅当该store最终写出或被forward时activated。实施细则：每次故障运行只选一个当前有效且可被后续使用的目标，在指定字段内均匀抽取一个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编号、原值和故障值，避免把未使用空项计为有效样本。激活口径：仅当“SQ中存在未提交store”且故障值被下游实际读取、选择或消费时计为 activated；否则归入 Injected-not-activated。</x:t>
  </x:si>
  <x:si>
    <x:t xml:space="preserve">MiBench-TC23 论文负载（blowfish、patricia、fft、gsm、dijkstra、rijndael、sha、bitcount、edge、smooth）
SQ-Forward 转发探针（同地址/部分重叠 store-to-load forwarding、字节掩码、alias、replay）</x:t>
  </x:si>
  <x:si>
    <x:t xml:space="preserve">SQ中存在未提交store</x:t>
  </x:si>
  <x:si>
    <x:t xml:space="preserve">L0 项是否被读/转发/提交；L1 addr/data/mask/valid/age与影子SQ；L2 forwarding/replay/violation/SSIT-LFST；L3 cache写请求与ack；L4 commit及内存写日志；L5结局；区分forward传播与cache写出传播、数据bit位置</x:t>
  </x:si>
  <x:si>
    <x:t xml:space="preserve">可能在写回或forward时SDC；IISWC'15总体非掩蔽多低于3%</x:t>
  </x:si>
  <x:si>
    <x:t xml:space="preserve">复现IISWC/Harpocrates数据域注入并修正分母</x:t>
  </x:si>
  <x:si>
    <x:t xml:space="preserve">IISWC'15、Harpocrates++直接对照</x:t>
  </x:si>
  <x:si>
    <x:t xml:space="preserve">S02</x:t>
  </x:si>
  <x:si>
    <x:t xml:space="preserve">Store Queue 有效表项中的 store data 数据域，双比特同时位于同一条 store 的数据载荷内。该位置不包括地址、byte mask 或队列状态，因此能单独比较单比特和 MBU 的数据传播。</x:t>
  </x:si>
  <x:si>
    <x:t xml:space="preserve">同一8B片内翻2 bit；相邻/非相邻各半。实施细则：每次故障运行只选一个有效结构项，在同一字段内同时异或两个不同 bit；相邻位与非相邻位分层各占一半，并记录两个 bit 的编号、距离、原值和故障值。两个 bit 必须在同一个微架构事件生效，不与其他字段故障叠加。激活口径：仅当“有效SQ数据项”且故障值被下游实际读取、选择或消费时计为 activated；否则归入 Injected-not-activated。</x:t>
  </x:si>
  <x:si>
    <x:t xml:space="preserve">SQ-Forward 转发探针（同地址/部分重叠 store-to-load forwarding、字节掩码、alias、replay）
MiBench-TC23 论文负载（blowfish、patricia、fft、gsm、dijkstra、rijndael、sha、bitcount、edge、smooth）</x:t>
  </x:si>
  <x:si>
    <x:t xml:space="preserve">有效SQ数据项</x:t>
  </x:si>
  <x:si>
    <x:t xml:space="preserve">L0 项是否被读/转发/提交；L1 addr/data/mask/valid/age与影子SQ；L2 forwarding/replay/violation/SSIT-LFST；L3 cache写请求与ack；L4 commit及内存写日志；L5结局；bit距离、forward/writeback路径、ECC状态</x:t>
  </x:si>
  <x:si>
    <x:t xml:space="preserve">通常仍是合法数据，SDC可能不降；ECC启用时相邻双bit更可能不可纠正</x:t>
  </x:si>
  <x:si>
    <x:t xml:space="preserve">数据字段没有非法编码门槛，需与地址/状态字段对照</x:t>
  </x:si>
  <x:si>
    <x:t xml:space="preserve">CHAOS多bit规律性对照</x:t>
  </x:si>
  <x:si>
    <x:t xml:space="preserve">S03</x:t>
  </x:si>
  <x:si>
    <x:t xml:space="preserve">Store Queue 数据阵列的某个物理 bit/byte lane 或统一读写通路。byte lane 是并行承载一个字节的通路；卡死后，所有经过目标 lane 的 store 都会出现相同掩码损坏。</x:t>
  </x:si>
  <x:si>
    <x:t xml:space="preserve">选一个数据bit或byte lane施加固定掩码，每次经过该SQ写口都损坏。实施细则：在 warm-up 后固定一个物理 bit、lane 或控制位置，并独立执行 stuck-at-0 与 stuck-at-1 两个 campaign；之后每次读出/写入都施加同一掩码直到运行结束。若某次事件的正确值本来就等于卡死值，该次不增加 activated。激活口径：仅当“首个store后持续”且故障值被下游实际读取、选择或消费时计为 activated；否则归入 Injected-not-activated。</x:t>
  </x:si>
  <x:si>
    <x:t xml:space="preserve">SQ-Forward 转发探针（同地址/部分重叠 store-to-load forwarding、字节掩码、alias、replay）
STREAM+PointerChase（Copy、Scale、Add、Triad 与随机指针链）</x:t>
  </x:si>
  <x:si>
    <x:t xml:space="preserve">首个store后持续</x:t>
  </x:si>
  <x:si>
    <x:t xml:space="preserve">L0 项是否被读/转发/提交；L1 addr/data/mask/valid/age与影子SQ；L2 forwarding/replay/violation/SSIT-LFST；L3 cache写请求与ack；L4 commit及内存写日志；L5结局；按store宽度统计激活、错误模式是否恒定</x:t>
  </x:si>
  <x:si>
    <x:t xml:space="preserve">稳定数据偏置，数值/校验和负载高SDC；未使用lane可掩蔽</x:t>
  </x:si>
  <x:si>
    <x:t xml:space="preserve">永久门/写线故障模型</x:t>
  </x:si>
  <x:si>
    <x:t xml:space="preserve">HPCA'24永久缓存故障仅作类型参考</x:t>
  </x:si>
  <x:si>
    <x:t xml:space="preserve">S04</x:t>
  </x:si>
  <x:si>
    <x:t xml:space="preserve">Store Queue 表项中的 store address 字段。它保存该 store 最终要写入的地址，同时参与与年轻 load 的地址比较；地址字段错误既会改变内存落点，也可能改变 store-to-load forwarding 判断。</x:t>
  </x:si>
  <x:si>
    <x:t xml:space="preserve">将地址替换成另一个合法、对齐、已分配对象地址；不改data。实施细则：不生成任意随机位串，而是从当前运行中选择另一个满足对齐、范围、编码和生命周期约束的合法值；保存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及候选集合。每次运行只替换一个字段或一个选择结果，非法候选、空闲项和已经释放的事务不得使用。激活口径：仅当“store提交前地址已知”且故障值被下游实际读取、选择或消费时计为 activated；否则归入 Injected-not-activated。</x:t>
  </x:si>
  <x:si>
    <x:t xml:space="preserve">SQ-Forward 转发探针（同地址/部分重叠 store-to-load forwarding、字节掩码、alias、replay）
MiniCheck 最小正确性探针（数组校验和、guard page、指针链、load/store round-trip）</x:t>
  </x:si>
  <x:si>
    <x:t xml:space="preserve">store提交前地址已知</x:t>
  </x:si>
  <x:si>
    <x:t xml:space="preserve">L0 项是否被读/转发/提交；L1 addr/data/mask/valid/age与影子SQ；L2 forwarding/replay/violation/SSIT-LFST；L3 cache写请求与ack；L4 commit及内存写日志；L5结局；影子SQ地址、内存写日志、受害对象canary</x:t>
  </x:si>
  <x:si>
    <x:t xml:space="preserve">绕开地址异常后预期SDC高；还可能破坏后续load forwarding</x:t>
  </x:si>
  <x:si>
    <x:t xml:space="preserve">TC'23随机LQ/SQ翻转SDC=0可能受依赖检查影响，本模型测试合法状态边界</x:t>
  </x:si>
  <x:si>
    <x:t xml:space="preserve">TC'23为随机翻转基线</x:t>
  </x:si>
  <x:si>
    <x:t xml:space="preserve">S05</x:t>
  </x:si>
  <x:si>
    <x:t xml:space="preserve">Store Queue 表项的 byte-enable 与访问 size。byte-enable 指出 data 中哪些字节有效，size 表示访问宽度；它们共同控制部分 store、非对齐 store 以及转发时的数据覆盖范围。</x:t>
  </x:si>
  <x:si>
    <x:t xml:space="preserve">循环移位byte mask、交换高低半字、size换成另一合法值；data/address保持。实施细则：保持各输入片段本身不变，只修改片段来源、顺序、移位量或拼接选择，使结果仍是完整位串；交换、循环移位、清零和读旧值必须作为独立子模型统计。每次运行只启用一种拼接规则，记录每个输出字节/子字段的真实来源。激活口径：仅当“partial/unaligned store”且故障值被下游实际读取、选择或消费时计为 activated；否则归入 Injected-not-activated。</x:t>
  </x:si>
  <x:si>
    <x:t xml:space="preserve">SQ-Forward 转发探针（同地址/部分重叠 store-to-load forwarding、字节掩码、alias、replay）
AGU-AddrModes AArch64 寻址模式探针（base+imm、base+index、扩展/移位、pre/post-index、LDP/STP）</x:t>
  </x:si>
  <x:si>
    <x:t xml:space="preserve">partial/unaligned store</x:t>
  </x:si>
  <x:si>
    <x:t xml:space="preserve">L0 项是否被读/转发/提交；L1 addr/data/mask/valid/age与影子SQ；L2 forwarding/replay/violation/SSIT-LFST；L3 cache写请求与ack；L4 commit及内存写日志；L5结局；逐字节diff、邻接canary、forward mask与write mask一致性</x:t>
  </x:si>
  <x:si>
    <x:t xml:space="preserve">最可能出现局部字节SDC且程序继续运行</x:t>
  </x:si>
  <x:si>
    <x:t xml:space="preserve">SQ专属结构化风险，随机bit可能变成非法组合被拦截</x:t>
  </x:si>
  <x:si>
    <x:t xml:space="preserve">S06</x:t>
  </x:si>
  <x:si>
    <x:t xml:space="preserve">Store Queue 表项的 valid、committed、completed 生命周期状态。valid 表示槽中有有效 store，committed 表示已获准离开推测状态，completed 表示 cache 写请求已完成；状态过早或丢失可能漏写、重复释放或破坏精确异常。</x:t>
  </x:si>
  <x:si>
    <x:t xml:space="preserve">清除或伪造valid/committed/completed；一次只改一位并记录方向。实施细则：一次运行只改变一个状态位或一种状态转换；清零、伪造、提前置位和延后清除分别统计，不在同一样本叠加。注入前后记录状态机轨迹与关联 instruction/transaction，检查是否破坏占用、唯一性或顺序不变量。激活口径：仅当“状态转换边沿”且故障值被下游实际读取、选择或消费时计为 activated；否则归入 Injected-not-activated。</x:t>
  </x:si>
  <x:si>
    <x:t xml:space="preserve">SQ-Forward 转发探针（同地址/部分重叠 store-to-load forwarding、字节掩码、alias、replay）
Cache-DirtyEvict 缓存探针（0.5×/1×/2×L1D working set、conflict set、dirty eviction、writeback）</x:t>
  </x:si>
  <x:si>
    <x:t xml:space="preserve">状态转换边沿</x:t>
  </x:si>
  <x:si>
    <x:t xml:space="preserve">L0 项是否被读/转发/提交；L1 addr/data/mask/valid/age与影子SQ；L2 forwarding/replay/violation/SSIT-LFST；L3 cache写请求与ack；L4 commit及内存写日志；L5结局；状态机轨迹、ROB commit、cache request是否缺失/重复</x:t>
  </x:si>
  <x:si>
    <x:t xml:space="preserve">假completed可能丢store而SDC；提前committed可能破坏精确异常；valid丢失可能静默漏写</x:t>
  </x:si>
  <x:si>
    <x:t xml:space="preserve">覆盖store生命周期控制</x:t>
  </x:si>
  <x:si>
    <x:t xml:space="preserve">TC'23随机翻转基线</x:t>
  </x:si>
  <x:si>
    <x:t xml:space="preserve">S07</x:t>
  </x:si>
  <x:si>
    <x:t xml:space="preserve">Store Queue 的 head/tail 指针、age/sequence 顺序号和选择逻辑。它们维护占用范围以及 store 的程序顺序，决定下一条可提交/排空的表项；错误可能错选另一条仍然有效的 store。</x:t>
  </x:si>
  <x:si>
    <x:t xml:space="preserve">指针±1、交换两个合法age、把选择结果换到另一有效项。实施细则：不生成任意随机位串，而是从当前运行中选择另一个满足对齐、范围、编码和生命周期约束的合法值；保存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及候选集合。每次运行只替换一个字段或一个选择结果，非法候选、空闲项和已经释放的事务不得使用。激活口径：仅当“SQ占用≥2”且故障值被下游实际读取、选择或消费时计为 activated；否则归入 Injected-not-activated。</x:t>
  </x:si>
  <x:si>
    <x:t xml:space="preserve">SQ-Forward 转发探针（同地址/部分重叠 store-to-load forwarding、字节掩码、alias、replay）</x:t>
  </x:si>
  <x:si>
    <x:t xml:space="preserve">SQ占用≥2</x:t>
  </x:si>
  <x:si>
    <x:t xml:space="preserve">L0 项是否被读/转发/提交；L1 addr/data/mask/valid/age与影子SQ；L2 forwarding/replay/violation/SSIT-LFST；L3 cache写请求与ack；L4 commit及内存写日志；L5结局；占用计数守恒、head/tail距离、dynInst唯一性、提交序</x:t>
  </x:si>
  <x:si>
    <x:t xml:space="preserve">可导致乱序写、漏写或重复写；结构不变量可能先于SDC出现</x:t>
  </x:si>
  <x:si>
    <x:t xml:space="preserve">研究指针故障的前期特征</x:t>
  </x:si>
  <x:si>
    <x:t xml:space="preserve">S08</x:t>
  </x:si>
  <x:si>
    <x:t xml:space="preserve">Store-to-load forwarding 的地址比较器与候选选择器。比较器寻找地址/字节范围重叠的旧 store，选择器应选程序顺序上最年轻且覆盖所需字节的那一条；false match、false miss 或选到更旧 store 都会改变 load 数据来源。</x:t>
  </x:si>
  <x:si>
    <x:t xml:space="preserve">制造false match/false miss；多匹配时选择旧store而非最年轻匹配项。实施细则：不生成任意随机位串，而是从当前运行中选择另一个满足对齐、范围、编码和生命周期约束的合法值；保存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及候选集合。每次运行只替换一个字段或一个选择结果，非法候选、空闲项和已经释放的事务不得使用。激活口径：仅当“发生地址重叠load”且故障值被下游实际读取、选择或消费时计为 activated；否则归入 Injected-not-activated。</x:t>
  </x:si>
  <x:si>
    <x:t xml:space="preserve">发生地址重叠load</x:t>
  </x:si>
  <x:si>
    <x:t xml:space="preserve">L0 项是否被读/转发/提交；L1 addr/data/mask/valid/age与影子SQ；L2 forwarding/replay/violation/SSIT-LFST；L3 cache写请求与ack；L4 commit及内存写日志；L5结局；候选store集合、youngest选择、forward值、replay</x:t>
  </x:si>
  <x:si>
    <x:t xml:space="preserve">选择旧值是典型静默错误；false miss可能由cache旧值暴露或replay恢复</x:t>
  </x:si>
  <x:si>
    <x:t xml:space="preserve">Store Queue核心功能，随机数据翻转覆盖不到</x:t>
  </x:si>
  <x:si>
    <x:t xml:space="preserve">S09</x:t>
  </x:si>
  <x:si>
    <x:t xml:space="preserve">部分重叠 forwarding 的数据拼接 MUX。一个 load 的不同字节可能来自多条旧 store 和 L1D，MUX 按 byte mask 合成为完整 load 值；来源顺序或字节位置错误会生成看似合法但内容混合的新值。</x:t>
  </x:si>
  <x:si>
    <x:t xml:space="preserve">部分重叠时把两个store的byte片段顺序交换、清零一段或混入旧cache字节。实施细则：保持各输入片段本身不变，只修改片段来源、顺序、移位量或拼接选择，使结果仍是完整位串；交换、循环移位、清零和读旧值必须作为独立子模型统计。每次运行只启用一种拼接规则，记录每个输出字节/子字段的真实来源。激活口径：仅当“partial overlap forwarding”且故障值被下游实际读取、选择或消费时计为 activated；否则归入 Injected-not-activated。</x:t>
  </x:si>
  <x:si>
    <x:t xml:space="preserve">partial overlap forwarding</x:t>
  </x:si>
  <x:si>
    <x:t xml:space="preserve">L0 项是否被读/转发/提交；L1 addr/data/mask/valid/age与影子SQ；L2 forwarding/replay/violation/SSIT-LFST；L3 cache写请求与ack；L4 commit及内存写日志；L5结局；每字节来源追踪、正确合成值与实际值</x:t>
  </x:si>
  <x:si>
    <x:t xml:space="preserve">生成合法但混合的新值，预期高SDC且难由控制检查发现</x:t>
  </x:si>
  <x:si>
    <x:t xml:space="preserve">针对partial forwarding真实拼接逻辑</x:t>
  </x:si>
  <x:si>
    <x:t xml:space="preserve">S10</x:t>
  </x:si>
  <x:si>
    <x:t xml:space="preserve">内存依赖预测器的 SSIT/LFST。SSIT 把 load/store PC 映射到 store-set ID，LFST 记录该集合最近的在飞 store；预测结果决定年轻 load 是否等待某条 store，但最终正确性仍依赖 violation 检查与 replay。</x:t>
  </x:si>
  <x:si>
    <x:t xml:space="preserve">SSIT的store-set ID换成另一合法ID，或LFST指向另一条在飞store；也测试valid丢失。实施细则：不生成任意随机位串，而是从当前运行中选择另一个满足对齐、范围、编码和生命周期约束的合法值；保存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及候选集合。每次运行只替换一个字段或一个选择结果，非法候选、空闲项和已经释放的事务不得使用。激活口径：仅当“load/store alias训练后”且故障值被下游实际读取、选择或消费时计为 activated；否则归入 Injected-not-activated。</x:t>
  </x:si>
  <x:si>
    <x:t xml:space="preserve">F0 / F2 / F5</x:t>
  </x:si>
  <x:si>
    <x:t xml:space="preserve">SQ-Forward 转发探针（同地址/部分重叠 store-to-load forwarding、字节掩码、alias、replay）
GAP/Graph500 子集（BFS、SSSP、PageRank，固定图与结果哈希）</x:t>
  </x:si>
  <x:si>
    <x:t xml:space="preserve">load/store alias训练后</x:t>
  </x:si>
  <x:si>
    <x:t xml:space="preserve">L0 项是否被读/转发/提交；L1 addr/data/mask/valid/age与影子SQ；L2 forwarding/replay/violation/SSIT-LFST；L3 cache写请求与ack；L4 commit及内存写日志；L5结局；预测ID、依赖边、issue次序、violation/replay、commit结果</x:t>
  </x:si>
  <x:si>
    <x:t xml:space="preserve">多数表现为额外stall或replay；错误放行且检查漏掉时才可能SDC</x:t>
  </x:si>
  <x:si>
    <x:t xml:space="preserve">区分预测性能错误与真正内存次序错误</x:t>
  </x:si>
  <x:si>
    <x:t xml:space="preserve">无直接SSIT/LFST注入</x:t>
  </x:si>
  <x:si>
    <x:t xml:space="preserve">S11</x:t>
  </x:si>
  <x:si>
    <x:t xml:space="preserve">Store Queue 向 L1D 发送写请求并接收 ack/done 的事务握手通路。request 表示真正发出写，ack/done 表示下游已接受或完成；SQ 只有在正确事务完成后才能释放对应表项。</x:t>
  </x:si>
  <x:si>
    <x:t xml:space="preserve">丢失一次request/ack、重复一次request，或提前done释放SQ项。实施细则：绑定一条明确的 dynamic instruction 或 transaction ID，只改变一次事件的发生周期或次数；提前、延后、丢失和重复必须分成独立子模型。数据载荷保持正确，以便把结果归因于握手/完成时序而不是数据翻转。激活口径：仅当“store drain或writeback”且故障值被下游实际读取、选择或消费时计为 activated；否则归入 Injected-not-activated。</x:t>
  </x:si>
  <x:si>
    <x:t xml:space="preserve">store drain或writeback</x:t>
  </x:si>
  <x:si>
    <x:t xml:space="preserve">L0 项是否被读/转发/提交；L1 addr/data/mask/valid/age与影子SQ；L2 forwarding/replay/violation/SSIT-LFST；L3 cache写请求与ack；L4 commit及内存写日志；L5结局；request ID、发送/接收次数、释放周期、最终内存</x:t>
  </x:si>
  <x:si>
    <x:t xml:space="preserve">提前done/丢request可静默漏写；重复request通常幂等但MMIO/原子场景危险</x:t>
  </x:si>
  <x:si>
    <x:t xml:space="preserve">覆盖事务时序而非存储位</x:t>
  </x:si>
  <x:si>
    <x:t xml:space="preserve">MICRO'24时延故障方法论类比</x:t>
  </x:si>
  <x:si>
    <x:t xml:space="preserve">S12</x:t>
  </x:si>
  <x:si>
    <x:t xml:space="preserve">Store Queue 数据与转发通路的 ECC/parity/poison 保护元数据。syndrome 用于检测/定位错误，poison 表示数据不可安全消费；该位置仅在实现了对应保护的 S5 配置中有效。</x:t>
  </x:si>
  <x:si>
    <x:t xml:space="preserve">保护配置下翻校验位、压制检出、纠正后不回写、poison在forward时丢失。实施细则：仅在 S5 保护配置存在对应机制时执行；校验位翻转、检出未上报、纠正不回写、scrub 错地址和 poison 丢失分别作为独立 campaign。B0 无保护结果标为不适用，不允许填成零故障率。激活口径：仅当“仅S5保护配置”且故障值被下游实际读取、选择或消费时计为 activated；否则归入 Injected-not-activated。</x:t>
  </x:si>
  <x:si>
    <x:t xml:space="preserve">L0 项是否被读/转发/提交；L1 addr/data/mask/valid/age与影子SQ；L2 forwarding/replay/violation/SSIT-LFST；L3 cache写请求与ack；L4 commit及内存写日志；L5结局；syndrome、forward前后poison、纠正/回写计数</x:t>
  </x:si>
  <x:si>
    <x:t xml:space="preserve">攻击保护链可把DUE变成SDC；B0结果不得混入</x:t>
  </x:si>
  <x:si>
    <x:t xml:space="preserve">把保护作为显式故障面</x:t>
  </x:si>
  <x:si>
    <x:t xml:space="preserve">保护扩展实验</x:t>
  </x:si>
  <x:si>
    <x:t xml:space="preserve">C01</x:t>
  </x:si>
  <x:si>
    <x:t xml:space="preserve">L1D data array 的有效 cache line 数据位。data array 保存程序最近使用的真实数据；只有该行以后被需求 load 读取、被 store 修改或被 writeback 才可能向架构状态传播。</x:t>
  </x:si>
  <x:si>
    <x:t xml:space="preserve">随机选择valid cache line的数据bit翻转1 bit；记录其后是否被需求读或写回。实施细则：每次故障运行只选一个当前有效且可被后续使用的目标，在指定字段内均匀抽取一个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编号、原值和故障值，避免把未使用空项计为有效样本。激活口径：仅当“L1D存在valid line”且故障值被下游实际读取、选择或消费时计为 activated；否则归入 Injected-not-activated。</x:t>
  </x:si>
  <x:si>
    <x:t xml:space="preserve">MiBench-TC23 论文负载（blowfish、patricia、fft、gsm、dijkstra、rijndael、sha、bitcount、edge、smooth）
Cache-DirtyEvict 缓存探针（0.5×/1×/2×L1D working set、conflict set、dirty eviction、writeback）</x:t>
  </x:si>
  <x:si>
    <x:t xml:space="preserve">L1D存在valid line</x:t>
  </x:si>
  <x:si>
    <x:t xml:space="preserve">L0 行/way是否被需求读或驱逐；L1 tag/data/valid/dirty/coherence/PLRU；L2 hit/miss/MSHR/merge/fill；L3 writeback与一致性消息；L4 load值/store可见性；L5结局；byte位置、被读/写回/覆盖、内核/用户来源</x:t>
  </x:si>
  <x:si>
    <x:t xml:space="preserve">文献中L1D data是高SDC结构；TC'23 Armv8非benign中SDC占53.4%</x:t>
  </x:si>
  <x:si>
    <x:t xml:space="preserve">直接复现最成熟的文献基线</x:t>
  </x:si>
  <x:si>
    <x:t xml:space="preserve">IISWC'15、TC'22、TC'23、HPCA'24直接对照</x:t>
  </x:si>
  <x:si>
    <x:t xml:space="preserve">C02</x:t>
  </x:si>
  <x:si>
    <x:t xml:space="preserve">L1D data array 同一有效 cache line 内的两个数据位。可把两个位限制在同一 32-bit 保护字、同一 byte 或分散位置，从而区分局部 MBU 与逻辑分散双错。</x:t>
  </x:si>
  <x:si>
    <x:t xml:space="preserve">同一32-bit保护粒度或同一64B line内翻2 bit，分别统计相邻与分散。实施细则：每次故障运行只选一个有效结构项，在同一字段内同时异或两个不同 bit；相邻位与非相邻位分层各占一半，并记录两个 bit 的编号、距离、原值和故障值。两个 bit 必须在同一个微架构事件生效，不与其他字段故障叠加。激活口径：仅当“valid line”且故障值被下游实际读取、选择或消费时计为 activated；否则归入 Injected-not-activated。</x:t>
  </x:si>
  <x:si>
    <x:t xml:space="preserve">Cache-DirtyEvict 缓存探针（0.5×/1×/2×L1D working set、conflict set、dirty eviction、writeback）
MiBench-TC23 论文负载（blowfish、patricia、fft、gsm、dijkstra、rijndael、sha、bitcount、edge、smooth）</x:t>
  </x:si>
  <x:si>
    <x:t xml:space="preserve">valid line</x:t>
  </x:si>
  <x:si>
    <x:t xml:space="preserve">L0 行/way是否被需求读或驱逐；L1 tag/data/valid/dirty/coherence/PLRU；L2 hit/miss/MSHR/merge/fill；L3 writeback与一致性消息；L4 load值/store可见性；L5结局；两个bit距离、相同word/byte、syndrome</x:t>
  </x:si>
  <x:si>
    <x:t xml:space="preserve">无保护时仍以SDC为主；SECDED下双bit可能转为DUE</x:t>
  </x:si>
  <x:si>
    <x:t xml:space="preserve">覆盖MBU及保护粒度敏感性</x:t>
  </x:si>
  <x:si>
    <x:t xml:space="preserve">CHAOS多bit；保护结果为待验证</x:t>
  </x:si>
  <x:si>
    <x:t xml:space="preserve">C03</x:t>
  </x:si>
  <x:si>
    <x:t xml:space="preserve">L1D data array 的固定 set/way/bit，或共用的读口/写口数据线。set/way 定位一条物理 cache line，端口故障则影响所有经该通路读写的行；两种子位置必须分开统计。</x:t>
  </x:si>
  <x:si>
    <x:t xml:space="preserve">选择set/way/bit实施stuck-at-0/1，对读出或写入统一施加固定掩码。实施细则：在 warm-up 后固定一个物理 bit、lane 或控制位置，并独立执行 stuck-at-0 与 stuck-at-1 两个 campaign；之后每次读出/写入都施加同一掩码直到运行结束。若某次事件的正确值本来就等于卡死值，该次不增加 activated。激活口径：仅当“首个目标set访问后持续”且故障值被下游实际读取、选择或消费时计为 activated；否则归入 Injected-not-activated。</x:t>
  </x:si>
  <x:si>
    <x:t xml:space="preserve">Cache-DirtyEvict 缓存探针（0.5×/1×/2×L1D working set、conflict set、dirty eviction、writeback）
STREAM+PointerChase（Copy、Scale、Add、Triad 与随机指针链）</x:t>
  </x:si>
  <x:si>
    <x:t xml:space="preserve">首个目标set访问后持续</x:t>
  </x:si>
  <x:si>
    <x:t xml:space="preserve">L0 行/way是否被需求读或驱逐；L1 tag/data/valid/dirty/coherence/PLRU；L2 hit/miss/MSHR/merge/fill；L3 writeback与一致性消息；L4 load值/store可见性；L5结局；同一bit激活次数、覆盖/驱逐后是否复现</x:t>
  </x:si>
  <x:si>
    <x:t xml:space="preserve">HPCA'24报告永久L1D SDC概率范围高，具体随ISA/负载变化；预期重复污染</x:t>
  </x:si>
  <x:si>
    <x:t xml:space="preserve">复现永久故障类别并定位读口/写口差异</x:t>
  </x:si>
  <x:si>
    <x:t xml:space="preserve">HPCA'24永久故障直接类别对照</x:t>
  </x:si>
  <x:si>
    <x:t xml:space="preserve">C04</x:t>
  </x:si>
  <x:si>
    <x:t xml:space="preserve">L1D tag array 的物理地址标签。访问某个 set 后，tag 与请求地址比较以判断各 way 是否命中；tag 错误可能造成 false miss、false hit，或把 dirty 数据写回到错误地址。</x:t>
  </x:si>
  <x:si>
    <x:t xml:space="preserve">随机valid line的tag翻转1 bit；状态位不动。实施细则：每次故障运行只选一个当前有效且可被后续使用的目标，在指定字段内均匀抽取一个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编号、原值和故障值，避免把未使用空项计为有效样本。激活口径：仅当“valid line”且故障值被下游实际读取、选择或消费时计为 activated；否则归入 Injected-not-activated。</x:t>
  </x:si>
  <x:si>
    <x:t xml:space="preserve">L0 行/way是否被需求读或驱逐；L1 tag/data/valid/dirty/coherence/PLRU；L2 hit/miss/MSHR/merge/fill；L3 writeback与一致性消息；L4 load值/store可见性；L5结局；false hit/miss、受害line、写回地址</x:t>
  </x:si>
  <x:si>
    <x:t xml:space="preserve">TC'23 Armv8非benign中SDC占38.0%；也常因错miss/错hit导致Crash</x:t>
  </x:si>
  <x:si>
    <x:t xml:space="preserve">直接文献基线，需与data分开</x:t>
  </x:si>
  <x:si>
    <x:t xml:space="preserve">C05</x:t>
  </x:si>
  <x:si>
    <x:t xml:space="preserve">L1D 的 tag 比较结果与 way-select 数据选择器。tag 比较器产生命中向量，way-select 决定返回哪一路 data；模型保持候选 tag 合法，专门研究错选另一条有效 line 的后果。</x:t>
  </x:si>
  <x:si>
    <x:t xml:space="preserve">tag替换为同set另一合法tag，或强制选择另一valid way；数据不变。实施细则：不生成任意随机位串，而是从当前运行中选择另一个满足对齐、范围、编码和生命周期约束的合法值；保存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及候选集合。每次运行只替换一个字段或一个选择结果，非法候选、空闲项和已经释放的事务不得使用。激活口径：仅当“同set至少2条valid line”且故障值被下游实际读取、选择或消费时计为 activated；否则归入 Injected-not-activated。</x:t>
  </x:si>
  <x:si>
    <x:t xml:space="preserve">Cache-DirtyEvict 缓存探针（0.5×/1×/2×L1D working set、conflict set、dirty eviction、writeback）</x:t>
  </x:si>
  <x:si>
    <x:t xml:space="preserve">同set至少2条valid line</x:t>
  </x:si>
  <x:si>
    <x:t xml:space="preserve">L0 行/way是否被需求读或驱逐；L1 tag/data/valid/dirty/coherence/PLRU；L2 hit/miss/MSHR/merge/fill；L3 writeback与一致性消息；L4 load值/store可见性；L5结局；match vector、选中way、需求PA与line来源</x:t>
  </x:si>
  <x:si>
    <x:t xml:space="preserve">合法false hit把错误line数据送给load，预期SDC高于随机tag翻转</x:t>
  </x:si>
  <x:si>
    <x:t xml:space="preserve">绕开无效地址与自然miss防线</x:t>
  </x:si>
  <x:si>
    <x:t xml:space="preserve">C06</x:t>
  </x:si>
  <x:si>
    <x:t xml:space="preserve">L1D 每个 way 的 valid bit。valid=1 表示 tag/data 可参与命中，valid=0 表示该槽无效；清零通常只制造 miss，伪造有效则可能让残留 tag/data 形成 stale hit。</x:t>
  </x:si>
  <x:si>
    <x:t xml:space="preserve">valid清零或将无效way伪造成valid；伪造时保留残留tag/data。实施细则：一次运行只改变一个状态位或一种状态转换；清零、伪造、提前置位和延后清除分别统计，不在同一样本叠加。注入前后记录状态机轨迹与关联 instruction/transaction，检查是否破坏占用、唯一性或顺序不变量。激活口径：仅当“目标set访问”且故障值被下游实际读取、选择或消费时计为 activated；否则归入 Injected-not-activated。</x:t>
  </x:si>
  <x:si>
    <x:t xml:space="preserve">目标set访问</x:t>
  </x:si>
  <x:si>
    <x:t xml:space="preserve">L0 行/way是否被需求读或驱逐；L1 tag/data/valid/dirty/coherence/PLRU；L2 hit/miss/MSHR/merge/fill；L3 writeback与一致性消息；L4 load值/store可见性；L5结局；stale age、false hit、refill、自愈时间</x:t>
  </x:si>
  <x:si>
    <x:t xml:space="preserve">清零多为性能/重填；伪造valid可能读旧数据而SDC</x:t>
  </x:si>
  <x:si>
    <x:t xml:space="preserve">区分无害的额外miss与危险的stale hit</x:t>
  </x:si>
  <x:si>
    <x:t xml:space="preserve">IISWC'15覆盖valid类结构但未给独立结果</x:t>
  </x:si>
  <x:si>
    <x:t xml:space="preserve">C07</x:t>
  </x:si>
  <x:si>
    <x:t xml:space="preserve">L1D cache line 的 dirty bit。dirty=1 表示该行已被处理器修改、驱逐时必须写回下级；dirty 丢失会让最新数据被静默丢弃，伪造 dirty 会产生不必要写回。</x:t>
  </x:si>
  <x:si>
    <x:t xml:space="preserve">dirty丢失或伪造；不改tag/data。实施细则：一次运行只改变一个状态位或一种状态转换；清零、伪造、提前置位和延后清除分别统计，不在同一样本叠加。注入前后记录状态机轨迹与关联 instruction/transaction，检查是否破坏占用、唯一性或顺序不变量。激活口径：仅当“dirty eviction”且故障值被下游实际读取、选择或消费时计为 activated；否则归入 Injected-not-activated。</x:t>
  </x:si>
  <x:si>
    <x:t xml:space="preserve">F0 / F2 / F5 / F6</x:t>
  </x:si>
  <x:si>
    <x:t xml:space="preserve">dirty eviction</x:t>
  </x:si>
  <x:si>
    <x:t xml:space="preserve">L0 行/way是否被需求读或驱逐；L1 tag/data/valid/dirty/coherence/PLRU；L2 hit/miss/MSHR/merge/fill；L3 writeback与一致性消息；L4 load值/store可见性；L5结局；驱逐前后dirty、writeback地址/data、最终DRAM</x:t>
  </x:si>
  <x:si>
    <x:t xml:space="preserve">dirty丢失会在驱逐时静默丢写；伪造dirty通常多余写回/性能，写回地址错时才危险</x:t>
  </x:si>
  <x:si>
    <x:t xml:space="preserve">dirty位错误常有长潜伏期，必须观察到内存</x:t>
  </x:si>
  <x:si>
    <x:t xml:space="preserve">C08</x:t>
  </x:si>
  <x:si>
    <x:t xml:space="preserve">L1D cache line 的 coherence state（如 M/E/S/I）及所有权信息。它描述本核是否拥有可写副本、其他核是否可能共享；错误状态可能漏掉 invalidation、保留陈旧副本或形成多个写者。</x:t>
  </x:si>
  <x:si>
    <x:t xml:space="preserve">M/E/S/I替换为另一合法状态；单核只做I↔valid，多核做完整协议。实施细则：不生成任意随机位串，而是从当前运行中选择另一个满足对齐、范围、编码和生命周期约束的合法值；保存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及候选集合。每次运行只替换一个字段或一个选择结果，非法候选、空闲项和已经释放的事务不得使用。激活口径：仅当“共享行或snoop”且故障值被下游实际读取、选择或消费时计为 activated；否则归入 Injected-not-activated。</x:t>
  </x:si>
  <x:si>
    <x:t xml:space="preserve">Cache-DirtyEvict 缓存探针（0.5×/1×/2×L1D working set、conflict set、dirty eviction、writeback）
Atomic-Litmus 并发探针（MP、SB、LB、IRIW、Dekker、ticket lock、CAS counter、LDXR/STXR）</x:t>
  </x:si>
  <x:si>
    <x:t xml:space="preserve">共享行或snoop</x:t>
  </x:si>
  <x:si>
    <x:t xml:space="preserve">L0 行/way是否被需求读或驱逐；L1 tag/data/valid/dirty/coherence/PLRU；L2 hit/miss/MSHR/merge/fill；L3 writeback与一致性消息；L4 load值/store可见性；L5结局；snoop、owner/sharer、失效ack、跨核读值</x:t>
  </x:si>
  <x:si>
    <x:t xml:space="preserve">单核多为额外miss；多核可能读旧值、漏失效或双写者，SDC/一致性违规风险高</x:t>
  </x:si>
  <x:si>
    <x:t xml:space="preserve">缓存正确性不仅是tag/data，还依赖一致性状态</x:t>
  </x:si>
  <x:si>
    <x:t xml:space="preserve">无直接本地论文结果</x:t>
  </x:si>
  <x:si>
    <x:t xml:space="preserve">C09</x:t>
  </x:si>
  <x:si>
    <x:t xml:space="preserve">L1D 命中后的 way-select、字节/字 MUX 与对齐网络。它从选中 line 中截取 1/2/4/8/16B，按地址低位排列并送给 load；错位、跨 line 拼接或上一拍残留会直接改变返回值。</x:t>
  </x:si>
  <x:si>
    <x:t xml:space="preserve">读出时循环移位字节、交换两个word、拼接两条line片段或返回上一拍数据。实施细则：保持各输入片段本身不变，只修改片段来源、顺序、移位量或拼接选择，使结果仍是完整位串；交换、循环移位、清零和读旧值必须作为独立子模型统计。每次运行只启用一种拼接规则，记录每个输出字节/子字段的真实来源。激活口径：仅当“cache hit”且故障值被下游实际读取、选择或消费时计为 activated；否则归入 Injected-not-activated。</x:t>
  </x:si>
  <x:si>
    <x:t xml:space="preserve">cache hit</x:t>
  </x:si>
  <x:si>
    <x:t xml:space="preserve">L0 行/way是否被需求读或驱逐；L1 tag/data/valid/dirty/coherence/PLRU；L2 hit/miss/MSHR/merge/fill；L3 writeback与一致性消息；L4 load值/store可见性；L5结局；每字节line/way来源、stale周期、load宽度</x:t>
  </x:si>
  <x:si>
    <x:t xml:space="preserve">输出保持合法位模式，预期高SDC且tag检查无法发现</x:t>
  </x:si>
  <x:si>
    <x:t xml:space="preserve">针对读数据选择网络的结构化风险</x:t>
  </x:si>
  <x:si>
    <x:t xml:space="preserve">C10</x:t>
  </x:si>
  <x:si>
    <x:t xml:space="preserve">L1D 的 replacement/PLRU 元数据和 victim-way 选择器。它只决定 miss 时驱逐哪个 way，正常情况下不应改变程序结果；因此本位置主要作为“只影响性能”的负对照。</x:t>
  </x:si>
  <x:si>
    <x:t xml:space="preserve">翻转PLRU或把victim way替换为另一合法way。实施细则：一次运行只改变一个状态位或一种状态转换；清零、伪造、提前置位和延后清除分别统计，不在同一样本叠加。注入前后记录状态机轨迹与关联 instruction/transaction，检查是否破坏占用、唯一性或顺序不变量。激活口径：仅当“set满且发生miss”且故障值被下游实际读取、选择或消费时计为 activated；否则归入 Injected-not-activated。</x:t>
  </x:si>
  <x:si>
    <x:t xml:space="preserve">F0 / F3 / F5</x:t>
  </x:si>
  <x:si>
    <x:t xml:space="preserve">set满且发生miss</x:t>
  </x:si>
  <x:si>
    <x:t xml:space="preserve">L0 行/way是否被需求读或驱逐；L1 tag/data/valid/dirty/coherence/PLRU；L2 hit/miss/MSHR/merge/fill；L3 writeback与一致性消息；L4 load值/store可见性；L5结局；victim序列、miss/MPKI、dirty victim、输出</x:t>
  </x:si>
  <x:si>
    <x:t xml:space="preserve">通常仅性能；若与dirty/writeback控制缺陷耦合才影响正确性，预期SDC接近0</x:t>
  </x:si>
  <x:si>
    <x:t xml:space="preserve">作为负对照验证“只影响性能”的假设</x:t>
  </x:si>
  <x:si>
    <x:t xml:space="preserve">无直接文献；负对照</x:t>
  </x:si>
  <x:si>
    <x:t xml:space="preserve">C11</x:t>
  </x:si>
  <x:si>
    <x:t xml:space="preserve">L1D 的 MSHR（Miss Status Holding Register）及 target 列表。MSHR 保存尚未返回的 cache-line miss，target 列表记录等待同一 line 的多个 load/store；地址、合并关系或唤醒对象错配会把 fill 交给错误消费者。</x:t>
  </x:si>
  <x:si>
    <x:t xml:space="preserve">MSHR block address换成另一合法miss；错误merge两个请求；丢失或复制target。实施细则：不生成任意随机位串，而是从当前运行中选择另一个满足对齐、范围、编码和生命周期约束的合法值；保存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及候选集合。每次运行只替换一个字段或一个选择结果，非法候选、空闲项和已经释放的事务不得使用。激活口径：仅当“至少1个outstanding miss；merge需同line请求”且故障值被下游实际读取、选择或消费时计为 activated；否则归入 Injected-not-activated。</x:t>
  </x:si>
  <x:si>
    <x:t xml:space="preserve">F0 / F2 / F4 / F6</x:t>
  </x:si>
  <x:si>
    <x:t xml:space="preserve">至少1个outstanding miss；merge需同line请求</x:t>
  </x:si>
  <x:si>
    <x:t xml:space="preserve">L0 行/way是否被需求读或驱逐；L1 tag/data/valid/dirty/coherence/PLRU；L2 hit/miss/MSHR/merge/fill；L3 writeback与一致性消息；L4 load值/store可见性；L5结局；MSHR占用、request-target双向映射、fill ID、wakeup消费者</x:t>
  </x:si>
  <x:si>
    <x:t xml:space="preserve">错fill/错唤醒可产生读旧值或跨请求数据，结构检查可能先触发</x:t>
  </x:si>
  <x:si>
    <x:t xml:space="preserve">B0有6 MSHR，是L1D缺失处理核心</x:t>
  </x:si>
  <x:si>
    <x:t xml:space="preserve">无直接MSHR注入</x:t>
  </x:si>
  <x:si>
    <x:t xml:space="preserve">C12</x:t>
  </x:si>
  <x:si>
    <x:t xml:space="preserve">L1D 的 fill buffer、writeback buffer 及事务配对控制。fill 把下级返回的 tag/data 写入 L1D，writeback 把 dirty victim 送往下级；tag、data、way 和 transaction ID 必须属于同一事务。</x:t>
  </x:si>
  <x:si>
    <x:t xml:space="preserve">丢失/重复fill或writeback；提前valid；把旧fill data与新tag组合。实施细则：绑定一条明确的 dynamic instruction 或 transaction ID，只改变一次事件的发生周期或次数；提前、延后、丢失和重复必须分成独立子模型。数据载荷保持正确，以便把结果归因于握手/完成时序而不是数据翻转。激活口径：仅当“miss fill或dirty writeback”且故障值被下游实际读取、选择或消费时计为 activated；否则归入 Injected-not-activated。</x:t>
  </x:si>
  <x:si>
    <x:t xml:space="preserve">miss fill或dirty writeback</x:t>
  </x:si>
  <x:si>
    <x:t xml:space="preserve">L0 行/way是否被需求读或驱逐；L1 tag/data/valid/dirty/coherence/PLRU；L2 hit/miss/MSHR/merge/fill；L3 writeback与一致性消息；L4 load值/store可见性；L5结局；tag/data写入周期、transaction ID、writeback完成、line版本</x:t>
  </x:si>
  <x:si>
    <x:t xml:space="preserve">tag-data错配是高风险SDC；丢fill多Timeout；重复通常被协议吸收</x:t>
  </x:si>
  <x:si>
    <x:t xml:space="preserve">覆盖事务配对和先后次序</x:t>
  </x:si>
  <x:si>
    <x:t xml:space="preserve">C13</x:t>
  </x:si>
  <x:si>
    <x:t xml:space="preserve">L1D data/tag 的 ECC/parity、syndrome、poison 与 scrub 状态。ECC 负责检测/纠正，scrub 把修正值写回，poison 阻止坏数据被消费；本位置只在 S5 保护配置中执行。</x:t>
  </x:si>
  <x:si>
    <x:t xml:space="preserve">S5中翻校验位、抑制syndrome上报、纠正错误但不回写、scrub错行、poison丢失。实施细则：仅在 S5 保护配置存在对应机制时执行；校验位翻转、检出未上报、纠正不回写、scrub 错地址和 poison 丢失分别作为独立 campaign。B0 无保护结果标为不适用，不允许填成零故障率。激活口径：仅当“仅S5保护配置”且故障值被下游实际读取、选择或消费时计为 activated；否则归入 Injected-not-activated。</x:t>
  </x:si>
  <x:si>
    <x:t xml:space="preserve">L0 行/way是否被需求读或驱逐；L1 tag/data/valid/dirty/coherence/PLRU；L2 hit/miss/MSHR/merge/fill；L3 writeback与一致性消息；L4 load值/store可见性；L5结局；syndrome、corrected/uncorrectable、scrub地址、poison到commit</x:t>
  </x:si>
  <x:si>
    <x:t xml:space="preserve">可把可纠正错误变为重复错误，或把DUE静默化；需单独报告 coverage gap</x:t>
  </x:si>
  <x:si>
    <x:t xml:space="preserve">直接评估保护机制自身的单点失效</x:t>
  </x:si>
  <x:si>
    <x:t xml:space="preserve">TC'22保护背景；具体模型为本方案</x:t>
  </x:si>
  <x:si>
    <x:t xml:space="preserve">O01</x:t>
  </x:si>
  <x:si>
    <x:t xml:space="preserve">每核 exclusive monitor 中记录的 reservation address。LDXR 建立对某个 exclusive granule 的预留，STXR 只有在预留仍匹配且未被冲突写破坏时才能成功；地址错误通常表现为错误失败，也可能形成错误成功。</x:t>
  </x:si>
  <x:si>
    <x:t xml:space="preserve">LDXR建立reservation后翻转monitor地址1 bit；数据不改。实施细则：每次故障运行只选一个当前有效且可被后续使用的目标，在指定字段内均匀抽取一个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编号、原值和故障值，避免把未使用空项计为有效样本。激活口径：仅当“LDXR后、STXR前”且故障值被下游实际读取、选择或消费时计为 activated；否则归入 Injected-not-activated。</x:t>
  </x:si>
  <x:si>
    <x:t xml:space="preserve">Atomic-Litmus 并发探针（MP、SB、LB、IRIW、Dekker、ticket lock、CAS counter、LDXR/STXR）</x:t>
  </x:si>
  <x:si>
    <x:t xml:space="preserve">LDXR后、STXR前</x:t>
  </x:si>
  <x:si>
    <x:t xml:space="preserve">L0 原子/屏障事件激活；L1 exclusive monitor、RMW旧值/新值、done/成功码；L2顺序队列与一致性事务；L3跨核可见顺序；L4禁出现结果/提交序；L5结局；reservation地址、granule、STXR结果、重试次数</x:t>
  </x:si>
  <x:si>
    <x:t xml:space="preserve">多为STXR失败和重试；若错误地址仍匹配可能错误成功并SDC</x:t>
  </x:si>
  <x:si>
    <x:t xml:space="preserve">覆盖独占监视器核心状态</x:t>
  </x:si>
  <x:si>
    <x:t xml:space="preserve">O02</x:t>
  </x:si>
  <x:si>
    <x:t xml:space="preserve">Exclusive monitor 的 valid、version 与 granule 范围状态。valid 表示预留存在，version/失效状态反映竞争写，granule 规定监视的地址范围；这些状态共同决定 STXR 是否可以提交。</x:t>
  </x:si>
  <x:si>
    <x:t xml:space="preserve">valid清零/伪造，version换成旧值，granule扩大或缩小到另一合法粒度。实施细则：一次运行只改变一个状态位或一种状态转换；清零、伪造、提前置位和延后清除分别统计，不在同一样本叠加。注入前后记录状态机轨迹与关联 instruction/transaction，检查是否破坏占用、唯一性或顺序不变量。激活口径：仅当“存在竞争写或reservation”且故障值被下游实际读取、选择或消费时计为 activated；否则归入 Injected-not-activated。</x:t>
  </x:si>
  <x:si>
    <x:t xml:space="preserve">存在竞争写或reservation</x:t>
  </x:si>
  <x:si>
    <x:t xml:space="preserve">L0 原子/屏障事件激活；L1 exclusive monitor、RMW旧值/新值、done/成功码；L2顺序队列与一致性事务；L3跨核可见顺序；L4禁出现结果/提交序；L5结局；冲突写时间、monitor失效原因、禁出现结果</x:t>
  </x:si>
  <x:si>
    <x:t xml:space="preserve">伪成功最危险，可产生lost update；清零多为性能/活锁</x:t>
  </x:si>
  <x:si>
    <x:t xml:space="preserve">区分安全失败与错误成功</x:t>
  </x:si>
  <x:si>
    <x:t xml:space="preserve">O03</x:t>
  </x:si>
  <x:si>
    <x:t xml:space="preserve">STXR/CAS 等原子操作返回给软件的成功/失败状态码。它必须与内存是否真正更新保持一致；状态码与事实不一致会让软件错误重试或错误停止重试。</x:t>
  </x:si>
  <x:si>
    <x:t xml:space="preserve">翻转</x:t>
  </x:si>
  <x:si>
    <x:t xml:space="preserve">翻转返回软件的成功/失败状态，但保持内存更新事实不变。实施细则：每次故障运行只选一个当前有效且可被后续使用的目标，在指定字段内均匀抽取一个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编号、原值和故障值，避免把未使用空项计为有效样本。激活口径：仅当“原子操作完成”且故障值被下游实际读取、选择或消费时计为 activated；否则归入 Injected-not-activated。</x:t>
  </x:si>
  <x:si>
    <x:t xml:space="preserve">原子操作完成</x:t>
  </x:si>
  <x:si>
    <x:t xml:space="preserve">L0 原子/屏障事件激活；L1 exclusive monitor、RMW旧值/新值、done/成功码；L2顺序队列与一致性事务；L3跨核可见顺序；L4禁出现结果/提交序；L5结局；真实更新、返回码、重试路径、counter期望值</x:t>
  </x:si>
  <x:si>
    <x:t xml:space="preserve">内存已写却报失败会重复更新；未写却报成功会丢更新，均可能稳定SDC</x:t>
  </x:si>
  <x:si>
    <x:t xml:space="preserve">状态码是软件控制流与内存事实的契约</x:t>
  </x:si>
  <x:si>
    <x:t xml:space="preserve">O04</x:t>
  </x:si>
  <x:si>
    <x:t xml:space="preserve">LSE 原子读改写的数据选择与返回 MUX。它在 CAS/SWP/LDADD 中选择比较值、替换值、旧内存值和新内存值，并把正确 old value 返回寄存器；交换这些输入不会产生非法编码但会改变原子语义。</x:t>
  </x:si>
  <x:si>
    <x:t xml:space="preserve">交换old/new值、CAS比较值与替换值，或返回上一条原子的old value。实施细则：保持各输入片段本身不变，只修改片段来源、顺序、移位量或拼接选择，使结果仍是完整位串；交换、循环移位、清零和读旧值必须作为独立子模型统计。每次运行只启用一种拼接规则，记录每个输出字节/子字段的真实来源。激活口径：仅当“CAS/SWP/LDADD”且故障值被下游实际读取、选择或消费时计为 activated；否则归入 Injected-not-activated。</x:t>
  </x:si>
  <x:si>
    <x:t xml:space="preserve">CAS/SWP/LDADD</x:t>
  </x:si>
  <x:si>
    <x:t xml:space="preserve">L0 原子/屏障事件激活；L1 exclusive monitor、RMW旧值/新值、done/成功码；L2顺序队列与一致性事务；L3跨核可见顺序；L4禁出现结果/提交序；L5结局；请求操作数、内存old/new、返回寄存器、线性化点</x:t>
  </x:si>
  <x:si>
    <x:t xml:space="preserve">位模式合法且可能不崩溃，预期高SDC；竞争下放大</x:t>
  </x:si>
  <x:si>
    <x:t xml:space="preserve">针对读改写的数据选择链</x:t>
  </x:si>
  <x:si>
    <x:t xml:space="preserve">O05</x:t>
  </x:si>
  <x:si>
    <x:t xml:space="preserve">原子 RMW 事务从 LSU 发出到一致性系统完成的 request/done 通路及线性化事件。一次 RMW 必须恰好执行一次，并在全局顺序中的一个明确点生效。</x:t>
  </x:si>
  <x:si>
    <x:t xml:space="preserve">丢失、重复一次RMW，或提前done允许后续load越过。实施细则：绑定一条明确的 dynamic instruction 或 transaction ID，只改变一次事件的发生周期或次数；提前、延后、丢失和重复必须分成独立子模型。数据载荷保持正确，以便把结果归因于握手/完成时序而不是数据翻转。激活口径：仅当“原子事务”且故障值被下游实际读取、选择或消费时计为 activated；否则归入 Injected-not-activated。</x:t>
  </x:si>
  <x:si>
    <x:t xml:space="preserve">原子事务</x:t>
  </x:si>
  <x:si>
    <x:t xml:space="preserve">L0 原子/屏障事件激活；L1 exclusive monitor、RMW旧值/新值、done/成功码；L2顺序队列与一致性事务；L3跨核可见顺序；L4禁出现结果/提交序；L5结局；transaction ID、coherence序、线性化历史、重复检测</x:t>
  </x:si>
  <x:si>
    <x:t xml:space="preserve">重复/丢失直接改变计数；提前done可能违反顺序并只在并发下显现</x:t>
  </x:si>
  <x:si>
    <x:t xml:space="preserve">单线程负载无法覆盖的并发结构化故障</x:t>
  </x:si>
  <x:si>
    <x:t xml:space="preserve">MICRO'24时延方法论类比</x:t>
  </x:si>
  <x:si>
    <x:t xml:space="preserve">O06</x:t>
  </x:si>
  <x:si>
    <x:t xml:space="preserve">DMB/DSB 屏障的完成状态与前后内存事务排空条件。DMB 约束可见顺序，DSB 还要求相关操作完成；提前 done 会让后续访问越过屏障，延后/丢失 done 则会停顿。</x:t>
  </x:si>
  <x:si>
    <x:t xml:space="preserve">提前done、延后或丢失一次barrier completion；屏障指令本身仍提交。实施细则：绑定一条明确的 dynamic instruction 或 transaction ID，只改变一次事件的发生周期或次数；提前、延后、丢失和重复必须分成独立子模型。数据载荷保持正确，以便把结果归因于握手/完成时序而不是数据翻转。激活口径：仅当“barrier有前后内存事务”且故障值被下游实际读取、选择或消费时计为 activated；否则归入 Injected-not-activated。</x:t>
  </x:si>
  <x:si>
    <x:t xml:space="preserve">barrier有前后内存事务</x:t>
  </x:si>
  <x:si>
    <x:t xml:space="preserve">L0 原子/屏障事件激活；L1 exclusive monitor、RMW旧值/新值、done/成功码；L2顺序队列与一致性事务；L3跨核可见顺序；L4禁出现结果/提交序；L5结局；屏障前后请求、全局可见序、禁出现结果</x:t>
  </x:si>
  <x:si>
    <x:t xml:space="preserve">提前done可能出现Arm内存模型禁出现结果；延后多为性能/Timeout</x:t>
  </x:si>
  <x:si>
    <x:t xml:space="preserve">屏障正确性必须用litmus结果而非单线程输出判断</x:t>
  </x:si>
  <x:si>
    <x:t xml:space="preserve">O07</x:t>
  </x:si>
  <x:si>
    <x:t xml:space="preserve">LSU 内部 ordering queue 的 order tag、valid/ready 和选择逻辑。它维护 acquire/release、屏障和普通访存的先后关系；交换两个合法序号可能只改变时序，也可能产生 Arm 内存模型禁止的结果。</x:t>
  </x:si>
  <x:si>
    <x:t xml:space="preserve">交换两个在飞事务的order tag，或valid/ready伪造。实施细则：不生成任意随机位串，而是从当前运行中选择另一个满足对齐、范围、编码和生命周期约束的合法值；保存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及候选集合。每次运行只替换一个字段或一个选择结果，非法候选、空闲项和已经释放的事务不得使用。激活口径：仅当“至少2个相关事务”且故障值被下游实际读取、选择或消费时计为 activated；否则归入 Injected-not-activated。</x:t>
  </x:si>
  <x:si>
    <x:t xml:space="preserve">至少2个相关事务</x:t>
  </x:si>
  <x:si>
    <x:t xml:space="preserve">L0 原子/屏障事件激活；L1 exclusive monitor、RMW旧值/新值、done/成功码；L2顺序队列与一致性事务；L3跨核可见顺序；L4禁出现结果/提交序；L5结局；per-core issue/commit/global order、replay、snoop</x:t>
  </x:si>
  <x:si>
    <x:t xml:space="preserve">可能只改变时序，也可能违反release/acquire；依赖并发负载</x:t>
  </x:si>
  <x:si>
    <x:t xml:space="preserve">覆盖排序状态而非数据阵列</x:t>
  </x:si>
  <x:si>
    <x:t xml:space="preserve">O08</x:t>
  </x:si>
  <x:si>
    <x:t xml:space="preserve">原子/屏障路径上的一致性错误、RAS 上报与 poison 传播控制。该位置不是普通操作数，而是决定发现错误后是否阻止提交、回滚或进入异常；仅在实现相应保护时有效。</x:t>
  </x:si>
  <x:si>
    <x:t xml:space="preserve">丢失exclusive monitor或coherence错误上报、poison在RMW路径被清除。实施细则：仅在 S5 保护配置存在对应机制时执行；校验位翻转、检出未上报、纠正不回写、scrub 错地址和 poison 丢失分别作为独立 campaign。B0 无保护结果标为不适用，不允许填成零故障率。激活口径：仅当“实现提供RAS/poison时”且故障值被下游实际读取、选择或消费时计为 activated；否则归入 Injected-not-activated。</x:t>
  </x:si>
  <x:si>
    <x:t xml:space="preserve">实现提供RAS/poison时</x:t>
  </x:si>
  <x:si>
    <x:t xml:space="preserve">L0 原子/屏障事件激活；L1 exclusive monitor、RMW旧值/新值、done/成功码；L2顺序队列与一致性事务；L3跨核可见顺序；L4禁出现结果/提交序；L5结局；error signal、poison、异常入口、事务回滚</x:t>
  </x:si>
  <x:si>
    <x:t xml:space="preserve">可能把可检测一致性错误转为静默；无保护实现标N/A</x:t>
  </x:si>
  <x:si>
    <x:t xml:space="preserve">为未来保护实现预留，不在B0强行假定存在</x:t>
  </x:si>
  <x:si>
    <x:t xml:space="preserve">扩展实验</x:t>
  </x:si>
  <x:si>
    <x:t xml:space="preserve">P01</x:t>
  </x:si>
  <x:si>
    <x:t xml:space="preserve">Stride prefetcher 的 PC/PHT tag 与 stride 历史字段。PC/tag 用于识别哪条 load 的历史，stride 记录相邻访问地址差；错误通常生成错误预取地址，但原则上不应直接改变需求 load 的架构结果。</x:t>
  </x:si>
  <x:si>
    <x:t xml:space="preserve">在有效训练项的PC tag或stride翻转1 bit；B0为L2 StridePrefetcher代理。实施细则：每次故障运行只选一个当前有效且可被后续使用的目标，在指定字段内均匀抽取一个 bit 做一次 XOR 翻转；其余字段保持无故障值。保存目标 entry/way、bit 编号、原值和故障值，避免把未使用空项计为有效样本。激活口径：仅当“预取器已有训练项”且故障值被下游实际读取、选择或消费时计为 activated；否则归入 Injected-not-activated。</x:t>
  </x:si>
  <x:si>
    <x:t xml:space="preserve">BEEBS-DelayAVF 论文负载（md5、libbubblesort、libstrstr、matmult、libfibcall）
Prefetch-Stride 预取探针（正/负/交错 stride、pointer chase、跨页 stride、训练后变步长）</x:t>
  </x:si>
  <x:si>
    <x:t xml:space="preserve">预取器已有训练项</x:t>
  </x:si>
  <x:si>
    <x:t xml:space="preserve">L0 训练项/请求是否消费；L1 PC/stride/confidence/queue；L2预取地址、issued/useful/late/useless；L3填充way、驱逐对象、需求合并；L4架构结果；L5结局与性能偏差；issued/useful/late/useless、覆盖率、MPKI、输出</x:t>
  </x:si>
  <x:si>
    <x:t xml:space="preserve">通常只改命中率/带宽；若错误请求仍合法，不应改变架构结果，是负对照</x:t>
  </x:si>
  <x:si>
    <x:t xml:space="preserve">检验TC'23“预取错误不改架构状态”的边界</x:t>
  </x:si>
  <x:si>
    <x:t xml:space="preserve">TC'23排除理由；MICRO'24预取buffer结果作不同模型对照</x:t>
  </x:si>
  <x:si>
    <x:t xml:space="preserve">P02</x:t>
  </x:si>
  <x:si>
    <x:t xml:space="preserve">预取器的 confidence、degree、distance 与 throttle 控制。confidence 决定模式是否可信，degree 是一次发出多少条预取，distance 是提前多远，throttle 限制带宽；这些字段通常只改变性能和污染。</x:t>
  </x:si>
  <x:si>
    <x:t xml:space="preserve">confidence清零/伪造，degree或distance换成合法值，throttle stuck-open/closed。实施细则：一次运行只改变一个状态位或一种状态转换；清零、伪造、提前置位和延后清除分别统计，不在同一样本叠加。注入前后记录状态机轨迹与关联 instruction/transaction，检查是否破坏占用、唯一性或顺序不变量。激活口径：仅当“稳定stride训练后”且故障值被下游实际读取、选择或消费时计为 activated；否则归入 Injected-not-activated。</x:t>
  </x:si>
  <x:si>
    <x:t xml:space="preserve">Prefetch-Stride 预取探针（正/负/交错 stride、pointer chase、跨页 stride、训练后变步长）
STREAM+PointerChase（Copy、Scale、Add、Triad 与随机指针链）</x:t>
  </x:si>
  <x:si>
    <x:t xml:space="preserve">稳定stride训练后</x:t>
  </x:si>
  <x:si>
    <x:t xml:space="preserve">L0 训练项/请求是否消费；L1 PC/stride/confidence/queue；L2预取地址、issued/useful/late/useless；L3填充way、驱逐对象、需求合并；L4架构结果；L5结局与性能偏差；预取数量、带宽、污染率、IPC、最终输出</x:t>
  </x:si>
  <x:si>
    <x:t xml:space="preserve">预期仅性能/能耗/带宽变化，SDC应为0；作为方法学负对照</x:t>
  </x:si>
  <x:si>
    <x:t xml:space="preserve">若此行出现SDC，优先检查注入器是否污染fill数据/元数据</x:t>
  </x:si>
  <x:si>
    <x:t xml:space="preserve">负对照</x:t>
  </x:si>
  <x:si>
    <x:t xml:space="preserve">P03</x:t>
  </x:si>
  <x:si>
    <x:t xml:space="preserve">预取器计算出的 target address，即将提交给 cache 层的预取目标。它不是需求 load 的 EA；取错合法地址应只带来无用预取或错误驱逐，因此是检验“预取错误不改结果”的重要负对照。</x:t>
  </x:si>
  <x:si>
    <x:t xml:space="preserve">替换为同页/跨页的另一合法对齐地址；分别测试允许与禁止跨页。实施细则：不生成任意随机位串，而是从当前运行中选择另一个满足对齐、范围、编码和生命周期约束的合法值；保存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及候选集合。每次运行只替换一个字段或一个选择结果，非法候选、空闲项和已经释放的事务不得使用。激活口径：仅当“产生预取请求”且故障值被下游实际读取、选择或消费时计为 activated；否则归入 Injected-not-activated。</x:t>
  </x:si>
  <x:si>
    <x:t xml:space="preserve">Prefetch-Stride 预取探针（正/负/交错 stride、pointer chase、跨页 stride、训练后变步长）
GAP/Graph500 子集（BFS、SSSP、PageRank，固定图与结果哈希）</x:t>
  </x:si>
  <x:si>
    <x:t xml:space="preserve">产生预取请求</x:t>
  </x:si>
  <x:si>
    <x:t xml:space="preserve">L0 训练项/请求是否消费；L1 PC/stride/confidence/queue；L2预取地址、issued/useful/late/useless；L3填充way、驱逐对象、需求合并；L4架构结果；L5结局与性能偏差；请求地址、页边界、是否被用、受害驱逐line</x:t>
  </x:si>
  <x:si>
    <x:t xml:space="preserve">仅取错地址本应不改架构结果，但会改变驱逐；若最终SDC说明fill/一致性路径有缺陷</x:t>
  </x:si>
  <x:si>
    <x:t xml:space="preserve">把“预测错误”与“填充控制错误”明确分开</x:t>
  </x:si>
  <x:si>
    <x:t xml:space="preserve">TC'23排除理由的直接检验</x:t>
  </x:si>
  <x:si>
    <x:t xml:space="preserve">P04</x:t>
  </x:si>
  <x:si>
    <x:t xml:space="preserve">Prefetch request queue 的 entry、valid 与 head/tail 指针。队列保存尚未发出的预取地址和来源 PC；状态错可能重复、丢失或发出陈旧请求，并影响其 transaction ID。</x:t>
  </x:si>
  <x:si>
    <x:t xml:space="preserve">valid丢失/伪造、指针±1、选择另一个合法队列项。实施细则：一次运行只改变一个状态位或一种状态转换；清零、伪造、提前置位和延后清除分别统计，不在同一样本叠加。注入前后记录状态机轨迹与关联 instruction/transaction，检查是否破坏占用、唯一性或顺序不变量。激活口径：仅当“queue非空”且故障值被下游实际读取、选择或消费时计为 activated；否则归入 Injected-not-activated。</x:t>
  </x:si>
  <x:si>
    <x:t xml:space="preserve">F0 / F4 / F5</x:t>
  </x:si>
  <x:si>
    <x:t xml:space="preserve">queue非空</x:t>
  </x:si>
  <x:si>
    <x:t xml:space="preserve">L0 训练项/请求是否消费；L1 PC/stride/confidence/queue；L2预取地址、issued/useful/late/useless；L3填充way、驱逐对象、需求合并；L4架构结果；L5结局与性能偏差；队列守恒、request ID、重复/丢失、stale age</x:t>
  </x:si>
  <x:si>
    <x:t xml:space="preserve">通常丢预取或重复预取；错误项若带陈旧transaction可能污染fill配对</x:t>
  </x:si>
  <x:si>
    <x:t xml:space="preserve">MICRO'24指出prefetcher内部buffer对粒子/时延均脆弱</x:t>
  </x:si>
  <x:si>
    <x:t xml:space="preserve">MICRO'24直接研究Ibex prefetch buffer，但非gem5 OoO</x:t>
  </x:si>
  <x:si>
    <x:t xml:space="preserve">P05</x:t>
  </x:si>
  <x:si>
    <x:t xml:space="preserve">预取请求的 issue/cancel/complete 事件以及与需求 miss 合并的握手。需求访问到来时，已有预取可能被提升、合并或取消；事件错配可能让需求消费者等待错误事务。</x:t>
  </x:si>
  <x:si>
    <x:t xml:space="preserve">丢失、重复、延后一条预取；需求到来时取消事件丢失。实施细则：绑定一条明确的 dynamic instruction 或 transaction ID，只改变一次事件的发生周期或次数；提前、延后、丢失和重复必须分成独立子模型。数据载荷保持正确，以便把结果归因于握手/完成时序而不是数据翻转。激活口径：仅当“预取与需求竞争”且故障值被下游实际读取、选择或消费时计为 activated；否则归入 Injected-not-activated。</x:t>
  </x:si>
  <x:si>
    <x:t xml:space="preserve">预取与需求竞争</x:t>
  </x:si>
  <x:si>
    <x:t xml:space="preserve">L0 训练项/请求是否消费；L1 PC/stride/confidence/queue；L2预取地址、issued/useful/late/useless；L3填充way、驱逐对象、需求合并；L4架构结果；L5结局与性能偏差；demand/prefetch MSHR merge、transaction ID、返回消费者</x:t>
  </x:si>
  <x:si>
    <x:t xml:space="preserve">通常性能；错取消/错合并可能造成需求拿到错误事务的数据，是重点异常路径</x:t>
  </x:si>
  <x:si>
    <x:t xml:space="preserve">覆盖需求-预取竞争的事件配对</x:t>
  </x:si>
  <x:si>
    <x:t xml:space="preserve">P06</x:t>
  </x:si>
  <x:si>
    <x:t xml:space="preserve">Cache 请求中的 demand/prefetch 分类位和 fill 权限属性。分类影响优先级、替换与统计，ownership/dirty/allocate 决定填充后 line 的一致性权限；后者错误才可能从性能问题升级为正确性问题。</x:t>
  </x:si>
  <x:si>
    <x:t xml:space="preserve">把prefetch标成demand或反向；错误赋予dirty/ownership/allocate权限。实施细则：不生成任意随机位串，而是从当前运行中选择另一个满足对齐、范围、编码和生命周期约束的合法值；保存 source/target 及候选集合。每次运行只替换一个字段或一个选择结果，非法候选、空闲项和已经释放的事务不得使用。激活口径：仅当“prefetch fill”且故障值被下游实际读取、选择或消费时计为 activated；否则归入 Injected-not-activated。</x:t>
  </x:si>
  <x:si>
    <x:t xml:space="preserve">Cache-DirtyEvict 缓存探针（0.5×/1×/2×L1D working set、conflict set、dirty eviction、writeback）
Prefetch-Stride 预取探针（正/负/交错 stride、pointer chase、跨页 stride、训练后变步长）</x:t>
  </x:si>
  <x:si>
    <x:t xml:space="preserve">prefetch fill</x:t>
  </x:si>
  <x:si>
    <x:t xml:space="preserve">L0 训练项/请求是否消费；L1 PC/stride/confidence/queue；L2预取地址、issued/useful/late/useless；L3填充way、驱逐对象、需求合并；L4架构结果；L5结局与性能偏差；请求属性、coherence权限、dirty来源、writeback</x:t>
  </x:si>
  <x:si>
    <x:t xml:space="preserve">分类错可能改变替换优先级；若伪造dirty/ownership则可能错误写回或一致性SDC</x:t>
  </x:si>
  <x:si>
    <x:t xml:space="preserve">这是预取器区别于分支预测器的架构风险路径</x:t>
  </x:si>
  <x:si>
    <x:t xml:space="preserve">本方案检验现有研究空白</x:t>
  </x:si>
  <x:si>
    <x:t xml:space="preserve">P07</x:t>
  </x:si>
  <x:si>
    <x:t xml:space="preserve">预取响应进入 cache 时的 fill tag、目标 way、valid 与 data 写入配对。正确实现必须把同一 transaction 的 tag/data 写入同一 way；错位会形成 tag-data 不一致并被后续需求访问命中。</x:t>
  </x:si>
  <x:si>
    <x:t xml:space="preserve">预取返回时把data写入way A、tag写入way B，或沿用旧tag/valid；不修改需求fill。实施细则：保持各输入片段本身不变，只修改片段来源、顺序、移位量或拼接选择，使结果仍是完整位串；交换、循环移位、清零和读旧值必须作为独立子模型统计。每次运行只启用一种拼接规则，记录每个输出字节/子字段的真实来源。激活口径：仅当“prefetch response fill”且故障值被下游实际读取、选择或消费时计为 activated；否则归入 Injected-not-activated。</x:t>
  </x:si>
  <x:si>
    <x:t xml:space="preserve">prefetch response fill</x:t>
  </x:si>
  <x:si>
    <x:t xml:space="preserve">L0 训练项/请求是否消费；L1 PC/stride/confidence/queue；L2预取地址、issued/useful/late/useless；L3填充way、驱逐对象、需求合并；L4架构结果；L5结局与性能偏差；tag/data写入way、fill ID、后续false hit、受害line</x:t>
  </x:si>
  <x:si>
    <x:t xml:space="preserve">直接造成tag-data错配，预期可高SDC；这不是普通“取错地址”</x:t>
  </x:si>
  <x:si>
    <x:t xml:space="preserve">验证预取填充控制是否形成独立正确性风险</x:t>
  </x:si>
  <x:si>
    <x:t xml:space="preserve">P08</x:t>
  </x:si>
  <x:si>
    <x:t xml:space="preserve">预取训练表的 stride 状态、失效/老化状态及可选 parity 保护。表项长期不失效或 stride bit 卡死会反复生成同类错误预取；若实现保护，还需观察校验上报是否被抑制。</x:t>
  </x:si>
  <x:si>
    <x:t xml:space="preserve">卡死/保护</x:t>
  </x:si>
  <x:si>
    <x:t xml:space="preserve">stride bit卡死、表项永不失效；若有parity则翻校验位或抑制上报。实施细则：在 warm-up 后固定一个物理 bit、lane 或控制位置，并独立执行 stuck-at-0 与 stuck-at-1 两个 campaign；之后每次读出/写入都施加同一掩码直到运行结束。若某次事件的正确值本来就等于卡死值，该次不增加 activated。激活口径：仅当“首个训练项后持续”且故障值被下游实际读取、选择或消费时计为 activated；否则归入 Injected-not-activated。</x:t>
  </x:si>
  <x:si>
    <x:t xml:space="preserve">首个训练项后持续</x:t>
  </x:si>
  <x:si>
    <x:t xml:space="preserve">L0 训练项/请求是否消费；L1 PC/stride/confidence/queue；L2预取地址、issued/useful/late/useless；L3填充way、驱逐对象、需求合并；L4架构结果；L5结局与性能偏差；表项寿命、错误请求率、fill元数据完整性、输出</x:t>
  </x:si>
  <x:si>
    <x:t xml:space="preserve">纯训练卡死预期仅性能；保护失效并污染fill元数据时才可能SDC</x:t>
  </x:si>
  <x:si>
    <x:t xml:space="preserve">永久预测错误是强负对照，同时预留保护路径</x:t>
  </x:si>
  <x:si>
    <x:t xml:space="preserve">MICRO'24说明prefetch结构可脆弱，但未给SDC/Crash分类</x:t>
  </x:si>
  <x:si>
    <x:t xml:space="preserve">层级</x:t>
  </x:si>
  <x:si>
    <x:t xml:space="preserve">名称</x:t>
  </x:si>
  <x:si>
    <x:t xml:space="preserve">定义</x:t>
  </x:si>
  <x:si>
    <x:t xml:space="preserve">必须采集量</x:t>
  </x:si>
  <x:si>
    <x:t xml:space="preserve">适用范围</x:t>
  </x:si>
  <x:si>
    <x:t xml:space="preserve">判定规则</x:t>
  </x:si>
  <x:si>
    <x:t xml:space="preserve">L0</x:t>
  </x:si>
  <x:si>
    <x:t xml:space="preserve">注入与激活</x:t>
  </x:si>
  <x:si>
    <x:t xml:space="preserve">attempt、eligible event、目标entry/bit、故障是否被后续读取/使用；未激活不进入SDC率分母</x:t>
  </x:si>
  <x:si>
    <x:t xml:space="preserve">attempted、eligible、activated、目标寿命、注入时commit序号</x:t>
  </x:si>
  <x:si>
    <x:t xml:space="preserve">全部</x:t>
  </x:si>
  <x:si>
    <x:t xml:space="preserve">未activated不进入SDC率分母</x:t>
  </x:si>
  <x:si>
    <x:t xml:space="preserve">L1</x:t>
  </x:si>
  <x:si>
    <x:t xml:space="preserve">单元内部不变量</x:t>
  </x:si>
  <x:si>
    <x:t xml:space="preserve">与无故障影子副本比较该单元状态，捕获SDC之前的局部偏差</x:t>
  </x:si>
  <x:si>
    <x:t xml:space="preserve">AGU EA；TLB映射；SQ守恒/forward；Cache tag-data-state；exclusive monitor；prefetch queue</x:t>
  </x:si>
  <x:si>
    <x:t xml:space="preserve">全部，按单元定制</x:t>
  </x:si>
  <x:si>
    <x:t xml:space="preserve">与同checkpoint golden run逐事件/逐提交比较</x:t>
  </x:si>
  <x:si>
    <x:t xml:space="preserve">L2</x:t>
  </x:si>
  <x:si>
    <x:t xml:space="preserve">请求形成与排序</x:t>
  </x:si>
  <x:si>
    <x:t xml:space="preserve">观察翻译后PA、访问大小、依赖/重放、MSHR/事务ID、原子/屏障顺序</x:t>
  </x:si>
  <x:si>
    <x:t xml:space="preserve">PA/size/mask、request ID、replay/violation、issued/dropped/duplicate</x:t>
  </x:si>
  <x:si>
    <x:t xml:space="preserve">LSU中段</x:t>
  </x:si>
  <x:si>
    <x:t xml:space="preserve">L3</x:t>
  </x:si>
  <x:si>
    <x:t xml:space="preserve">缓存/一致性/内存传播</x:t>
  </x:si>
  <x:si>
    <x:t xml:space="preserve">观察hit/miss、fill/writeback、snoop/ownership、最终DRAM写日志</x:t>
  </x:si>
  <x:si>
    <x:t xml:space="preserve">line/way、dirty、coherence、writeback data/address、跨核可见序</x:t>
  </x:si>
  <x:si>
    <x:t xml:space="preserve">Cache/Atomic/Prefetch重点</x:t>
  </x:si>
  <x:si>
    <x:t xml:space="preserve">L4</x:t>
  </x:si>
  <x:si>
    <x:t xml:space="preserve">架构可见与软件传播</x:t>
  </x:si>
  <x:si>
    <x:t xml:space="preserve">commit处比较PC/opcode/register/memory side effect；记录污染到地址/分支/store的扇出</x:t>
  </x:si>
  <x:si>
    <x:t xml:space="preserve">首次分歧commit序号、错误load值、错误store、异常、污染扇出</x:t>
  </x:si>
  <x:si>
    <x:t xml:space="preserve">L5</x:t>
  </x:si>
  <x:si>
    <x:t xml:space="preserve">最终结局</x:t>
  </x:si>
  <x:si>
    <x:t xml:space="preserve">Injected-not-activated / Masked / Detected-contained / SDC / Crash / Timeout；Crash区分gem5断言与架构崩溃</x:t>
  </x:si>
  <x:si>
    <x:t xml:space="preserve">分类计数、输出diff、超时阈值、结束原因</x:t>
  </x:si>
  <x:si>
    <x:t xml:space="preserve">Activated = Masked + Detected + SDC + Crash + Timeout</x:t>
  </x:si>
  <x:si>
    <x:t xml:space="preserve">档位</x:t>
  </x:si>
  <x:si>
    <x:t xml:space="preserve">适用故障</x:t>
  </x:si>
  <x:si>
    <x:t xml:space="preserve">设计意图</x:t>
  </x:si>
  <x:si>
    <x:t xml:space="preserve">F0</x:t>
  </x:si>
  <x:si>
    <x:t xml:space="preserve">单次瞬态</x:t>
  </x:si>
  <x:si>
    <x:t xml:space="preserve">每次运行只注入 1 次；在 warm-up 后的 eligible event 中均匀抽样</x:t>
  </x:si>
  <x:si>
    <x:t xml:space="preserve">瞬态/结构化</x:t>
  </x:si>
  <x:si>
    <x:t xml:space="preserve">论文对照与注入器校验；主报告必须给 activated/attempted</x:t>
  </x:si>
  <x:si>
    <x:t xml:space="preserve">F1</x:t>
  </x:si>
  <x:si>
    <x:t xml:space="preserve">低频事件归一化</x:t>
  </x:si>
  <x:si>
    <x:t xml:space="preserve">平均每 1,000,000 个 eligible events 注入 1 次，间隔加入 ±50% 抖动</x:t>
  </x:si>
  <x:si>
    <x:t xml:space="preserve">瞬态</x:t>
  </x:si>
  <x:si>
    <x:t xml:space="preserve">跨负载可比，减少循环相位共振；主力低频档</x:t>
  </x:si>
  <x:si>
    <x:t xml:space="preserve">F2</x:t>
  </x:si>
  <x:si>
    <x:t xml:space="preserve">中频事件归一化</x:t>
  </x:si>
  <x:si>
    <x:t xml:space="preserve">平均每 100,000 个 eligible events 注入 1 次，间隔加入 ±50% 抖动</x:t>
  </x:si>
  <x:si>
    <x:t xml:space="preserve">定位 SDC/Crash 转折</x:t>
  </x:si>
  <x:si>
    <x:t xml:space="preserve">F3</x:t>
  </x:si>
  <x:si>
    <x:t xml:space="preserve">高频压力</x:t>
  </x:si>
  <x:si>
    <x:t xml:space="preserve">平均每 10,000 个 eligible events 注入 1 次，间隔加入 ±50% 抖动</x:t>
  </x:si>
  <x:si>
    <x:t xml:space="preserve">只用于压力边界，不与 F0 的单故障 AVF 混合</x:t>
  </x:si>
  <x:si>
    <x:t xml:space="preserve">F4</x:t>
  </x:si>
  <x:si>
    <x:t xml:space="preserve">短突发</x:t>
  </x:si>
  <x:si>
    <x:t xml:space="preserve">每 100,000 个 eligible events 触发一次，连续污染 2-4 个 eligible events</x:t>
  </x:si>
  <x:si>
    <x:t xml:space="preserve">多事件/时序</x:t>
  </x:si>
  <x:si>
    <x:t xml:space="preserve">模拟共享控制线或瞬态持续多个周期</x:t>
  </x:si>
  <x:si>
    <x:t xml:space="preserve">永久卡死</x:t>
  </x:si>
  <x:si>
    <x:t xml:space="preserve">warm-up 后第一个 eligible event 起持续到运行结束；每次运行仅选一个 bit/字段</x:t>
  </x:si>
  <x:si>
    <x:t xml:space="preserve">永久</x:t>
  </x:si>
  <x:si>
    <x:t xml:space="preserve">stuck-at 或固定掩码；结果按运行计数，不当作单次 AVF</x:t>
  </x:si>
  <x:si>
    <x:t xml:space="preserve">F6</x:t>
  </x:si>
  <x:si>
    <x:t xml:space="preserve">确定性事件触发</x:t>
  </x:si>
  <x:si>
    <x:t xml:space="preserve">首次出现指定事件时注入一次，如 TLB hit、SQ forward、dirty eviction、CAS 成功</x:t>
  </x:si>
  <x:si>
    <x:t xml:space="preserve">结构化</x:t>
  </x:si>
  <x:si>
    <x:t xml:space="preserve">保证激活，适合稀有路径和传播链调试</x:t>
  </x:si>
  <x:si>
    <x:t xml:space="preserve">统计项</x:t>
  </x:si>
  <x:si>
    <x:t xml:space="preserve">规则/公式</x:t>
  </x:si>
  <x:si>
    <x:t xml:space="preserve">筛查目标</x:t>
  </x:si>
  <x:si>
    <x:t xml:space="preserve">主结果目标</x:t>
  </x:si>
  <x:si>
    <x:t xml:space="preserve">原因</x:t>
  </x:si>
  <x:si>
    <x:t xml:space="preserve">备注</x:t>
  </x:si>
  <x:si>
    <x:t xml:space="preserve">分母</x:t>
  </x:si>
  <x:si>
    <x:t xml:space="preserve">SDC率=SDC/activated；激活率=activated/attempted</x:t>
  </x:si>
  <x:si>
    <x:t xml:space="preserve">必须同时报告两者</x:t>
  </x:si>
  <x:si>
    <x:t xml:space="preserve">避免大结构或短寿命项因未被读取而虚假“安全”</x:t>
  </x:si>
  <x:si>
    <x:t xml:space="preserve">Injected-not-activated单列</x:t>
  </x:si>
  <x:si>
    <x:t xml:space="preserve">试跑</x:t>
  </x:si>
  <x:si>
    <x:t xml:space="preserve">每单元×模型×频率×负载先取得30个activated</x:t>
  </x:si>
  <x:si>
    <x:t xml:space="preserve">30</x:t>
  </x:si>
  <x:si>
    <x:t xml:space="preserve">发现注入器错误、全Crash或零激活单元</x:t>
  </x:si>
  <x:si>
    <x:t xml:space="preserve">不用于最终窄置信区间</x:t>
  </x:si>
  <x:si>
    <x:t xml:space="preserve">筛查样本量</x:t>
  </x:si>
  <x:si>
    <x:t xml:space="preserve">最坏p=0.5，95%正态近似，半宽5pp约385个activated</x:t>
  </x:si>
  <x:si>
    <x:t xml:space="preserve">≥385</x:t>
  </x:si>
  <x:si>
    <x:t xml:space="preserve">—</x:t>
  </x:si>
  <x:si>
    <x:t xml:space="preserve">用于淘汰纯性能/全Crash组合</x:t>
  </x:si>
  <x:si>
    <x:t xml:space="preserve">正式报告使用Wilson区间</x:t>
  </x:si>
  <x:si>
    <x:t xml:space="preserve">主结果停止</x:t>
  </x:si>
  <x:si>
    <x:t xml:space="preserve">顺序增加样本，Wilson 95%区间半宽≤2pp或activated达到5000</x:t>
  </x:si>
  <x:si>
    <x:t xml:space="preserve">≤2pp或5000</x:t>
  </x:si>
  <x:si>
    <x:t xml:space="preserve">在可控成本下统一精度</x:t>
  </x:si>
  <x:si>
    <x:t xml:space="preserve">报告实际区间，不只报点估计</x:t>
  </x:si>
  <x:si>
    <x:t xml:space="preserve">随机化</x:t>
  </x:si>
  <x:si>
    <x:t xml:space="preserve">seed、bit、entry、eligible event分层随机；合法换值保存source/target</x:t>
  </x:si>
  <x:si>
    <x:t xml:space="preserve">固定seed清单</x:t>
  </x:si>
  <x:si>
    <x:t xml:space="preserve">每cell独立≥5个seed批次</x:t>
  </x:si>
  <x:si>
    <x:t xml:space="preserve">避免单一程序相位和地址段主导</x:t>
  </x:si>
  <x:si>
    <x:t xml:space="preserve">跨模型比较用common random numbers</x:t>
  </x:si>
  <x:si>
    <x:t xml:space="preserve">超时</x:t>
  </x:si>
  <x:si>
    <x:t xml:space="preserve">golden wall/sim time或committed inst的10×，并设置绝对上限</x:t>
  </x:si>
  <x:si>
    <x:t xml:space="preserve">统一</x:t>
  </x:si>
  <x:si>
    <x:t xml:space="preserve">区分慢化与无限循环</x:t>
  </x:si>
  <x:si>
    <x:t xml:space="preserve">F5可单独提高上限但须预注册</x:t>
  </x:si>
  <x:si>
    <x:t xml:space="preserve">2.6GHz换算</x:t>
  </x:si>
  <x:si>
    <x:t xml:space="preserve">1ms=2,600,000 cycles；100us=260,000；10us=26,000</x:t>
  </x:si>
  <x:si>
    <x:t xml:space="preserve">仅辅助</x:t>
  </x:si>
  <x:si>
    <x:t xml:space="preserve">主频变化不会改变事件归一化档位</x:t>
  </x:si>
  <x:si>
    <x:t xml:space="preserve">不要用cycle频率替代eligible event分母</x:t>
  </x:si>
  <x:si>
    <x:t xml:space="preserve">负载ID</x:t>
  </x:si>
  <x:si>
    <x:t xml:space="preserve">类型</x:t>
  </x:si>
  <x:si>
    <x:t xml:space="preserve">定义/输入与oracle</x:t>
  </x:si>
  <x:si>
    <x:t xml:space="preserve">主要覆盖单元</x:t>
  </x:si>
  <x:si>
    <x:t xml:space="preserve">模式</x:t>
  </x:si>
  <x:si>
    <x:t xml:space="preserve">W0</x:t>
  </x:si>
  <x:si>
    <x:t xml:space="preserve">MiniCheck</x:t>
  </x:si>
  <x:si>
    <x:t xml:space="preserve">自设最小正确性探针</x:t>
  </x:si>
  <x:si>
    <x:t xml:space="preserve">短数组校验和、guard page、指针链、load/store round-trip；每次运行产生确定 golden output</x:t>
  </x:si>
  <x:si>
    <x:t xml:space="preserve">全部；注入器冒烟与传播调试</x:t>
  </x:si>
  <x:si>
    <x:t xml:space="preserve">SE</x:t>
  </x:si>
  <x:si>
    <x:t xml:space="preserve">W1</x:t>
  </x:si>
  <x:si>
    <x:t xml:space="preserve">MiBench-TC23</x:t>
  </x:si>
  <x:si>
    <x:t xml:space="preserve">公开/论文复现</x:t>
  </x:si>
  <x:si>
    <x:t xml:space="preserve">blowfish、patricia、fft、gsm、dijkstra、rijndael、sha、bitcount、edge、smooth；最大输入集</x:t>
  </x:si>
  <x:si>
    <x:t xml:space="preserve">DTLB、SQ、L1D；与 TC'23 定性/定量对照</x:t>
  </x:si>
  <x:si>
    <x:t xml:space="preserve">FS 优先</x:t>
  </x:si>
  <x:si>
    <x:t xml:space="preserve">W2</x:t>
  </x:si>
  <x:si>
    <x:t xml:space="preserve">BEEBS-DelayAVF</x:t>
  </x:si>
  <x:si>
    <x:t xml:space="preserve">md5、libbubblesort、libstrstr、matmult、libfibcall</x:t>
  </x:si>
  <x:si>
    <x:t xml:space="preserve">LSQ 与预取器的时延故障规律对照；不直接比较绝对值</x:t>
  </x:si>
  <x:si>
    <x:t xml:space="preserve">W3</x:t>
  </x:si>
  <x:si>
    <x:t xml:space="preserve">AGU-AddrModes</x:t>
  </x:si>
  <x:si>
    <x:t xml:space="preserve">自设定向负载</x:t>
  </x:si>
  <x:si>
    <x:t xml:space="preserve">覆盖 base+imm、base+index、LSL、UXTW/SXTW、pre/post-index、LDP/STP、非对齐和页边界；每地址附软件 oracle</x:t>
  </x:si>
  <x:si>
    <x:t xml:space="preserve">W4</x:t>
  </x:si>
  <x:si>
    <x:t xml:space="preserve">TLB-AliasPerm</x:t>
  </x:si>
  <x:si>
    <x:t xml:space="preserve">4KiB/2MiB 页、ASID 切换、同 VA 不同 PA、只读/不可执行页、TLBI 后重填、跨页 load/store</x:t>
  </x:si>
  <x:si>
    <x:t xml:space="preserve">FS</x:t>
  </x:si>
  <x:si>
    <x:t xml:space="preserve">W5</x:t>
  </x:si>
  <x:si>
    <x:t xml:space="preserve">SQ-Forward</x:t>
  </x:si>
  <x:si>
    <x:t xml:space="preserve">同地址与部分重叠 store-to-load forwarding、不同字节掩码、地址晚到/数据晚到、alias、replay</x:t>
  </x:si>
  <x:si>
    <x:t xml:space="preserve">Store Queue/内存依赖预测器</x:t>
  </x:si>
  <x:si>
    <x:t xml:space="preserve">W6</x:t>
  </x:si>
  <x:si>
    <x:t xml:space="preserve">Cache-DirtyEvict</x:t>
  </x:si>
  <x:si>
    <x:t xml:space="preserve">working set=0.5×/1×/2×L1D；读改写、dirty eviction、writeback、conflict set、共享行 false sharing</x:t>
  </x:si>
  <x:si>
    <x:t xml:space="preserve">SE + 多核 FS 子集</x:t>
  </x:si>
  <x:si>
    <x:t xml:space="preserve">W7</x:t>
  </x:si>
  <x:si>
    <x:t xml:space="preserve">Atomic-Litmus</x:t>
  </x:si>
  <x:si>
    <x:t xml:space="preserve">公开 litmus + 自设</x:t>
  </x:si>
  <x:si>
    <x:t xml:space="preserve">MP、SB、LB、IRIW、Dekker、ticket lock、CAS counter、LDXR/STXR 竞争；每轮检查禁出现结果</x:t>
  </x:si>
  <x:si>
    <x:t xml:space="preserve">多核 FS</x:t>
  </x:si>
  <x:si>
    <x:t xml:space="preserve">W8</x:t>
  </x:si>
  <x:si>
    <x:t xml:space="preserve">Prefetch-Stride</x:t>
  </x:si>
  <x:si>
    <x:t xml:space="preserve">正/负/交错 stride、随机 pointer chase、跨页 stride、训练后变步长、需求/预取竞争</x:t>
  </x:si>
  <x:si>
    <x:t xml:space="preserve">W9</x:t>
  </x:si>
  <x:si>
    <x:t xml:space="preserve">GAP/Graph500 子集</x:t>
  </x:si>
  <x:si>
    <x:t xml:space="preserve">公开通用</x:t>
  </x:si>
  <x:si>
    <x:t xml:space="preserve">BFS/SSSP/PR，使用固定图与结果哈希；强调不规则地址和大 working set</x:t>
  </x:si>
  <x:si>
    <x:t xml:space="preserve">DTLB、Cache、AGU、Prefetch</x:t>
  </x:si>
  <x:si>
    <x:t xml:space="preserve">FS/SE</x:t>
  </x:si>
  <x:si>
    <x:t xml:space="preserve">W10</x:t>
  </x:si>
  <x:si>
    <x:t xml:space="preserve">STREAM+PointerChase</x:t>
  </x:si>
  <x:si>
    <x:t xml:space="preserve">公开通用 + 自设</x:t>
  </x:si>
  <x:si>
    <x:t xml:space="preserve">STREAM Copy/Scale/Add/Triad 加随机 pointer chase；检查数组 hash 与遍历节点数</x:t>
  </x:si>
  <x:si>
    <x:t xml:space="preserve">带宽、MSHR、预取、AGU</x:t>
  </x:si>
  <x:si>
    <x:t xml:space="preserve">W11</x:t>
  </x:si>
  <x:si>
    <x:t xml:space="preserve">SPEC CPU2017 采样区间</x:t>
  </x:si>
  <x:si>
    <x:t xml:space="preserve">公开通用（需许可证）</x:t>
  </x:si>
  <x:si>
    <x:t xml:space="preserve">选择 mcf、omnetpp、xalancbmk、lbm 的固定 SimPoint/checkpoint；不跑全程</x:t>
  </x:si>
  <x:si>
    <x:t xml:space="preserve">外部有效性；主结论之后复核</x:t>
  </x:si>
  <x:si>
    <x:t xml:space="preserve">RunID</x:t>
  </x:si>
  <x:si>
    <x:t xml:space="preserve">频率</x:t>
  </x:si>
  <x:si>
    <x:t xml:space="preserve">频率定义</x:t>
  </x:si>
  <x:si>
    <x:t xml:space="preserve">负载（真实名称）</x:t>
  </x:si>
  <x:si>
    <x:t xml:space="preserve">负载定义/oracle</x:t>
  </x:si>
  <x:si>
    <x:t xml:space="preserve">触发条件</x:t>
  </x:si>
  <x:si>
    <x:t xml:space="preserve">传播监控</x:t>
  </x:si>
  <x:si>
    <x:t xml:space="preserve">预期结果</x:t>
  </x:si>
  <x:si>
    <x:t xml:space="preserve">文献依据</x:t>
  </x:si>
  <x:si>
    <x:t xml:space="preserve">Seed/注入索引</x:t>
  </x:si>
  <x:si>
    <x:t xml:space="preserve">Attempted</x:t>
  </x:si>
  <x:si>
    <x:t xml:space="preserve">Activated</x:t>
  </x:si>
  <x:si>
    <x:t xml:space="preserve">Masked</x:t>
  </x:si>
  <x:si>
    <x:t xml:space="preserve">Detected/Contained</x:t>
  </x:si>
  <x:si>
    <x:t xml:space="preserve">SDC</x:t>
  </x:si>
  <x:si>
    <x:t xml:space="preserve">Crash</x:t>
  </x:si>
  <x:si>
    <x:t xml:space="preserve">Timeout</x:t>
  </x:si>
  <x:si>
    <x:t xml:space="preserve">SDC率(activated)</x:t>
  </x:si>
  <x:si>
    <x:t xml:space="preserve">激活率</x:t>
  </x:si>
  <x:si>
    <x:t xml:space="preserve">记录状态</x:t>
  </x:si>
  <x:si>
    <x:t xml:space="preserve">实测备注</x:t>
  </x:si>
  <x:si>
    <x:t xml:space="preserve">A01-F0-W3</x:t>
  </x:si>
  <x:si>
    <x:t xml:space="preserve">AGU-AddrModes AArch64 寻址模式探针（base+imm、base+index、扩展/移位、pre/post-index、LDP/STP）
执行定义与 oracle：覆盖 base+imm、base+index、LSL、UXTW/SXTW、pre/post-index、LDP/STP、非对齐和页边界；每地址附软件 oracle</x:t>
  </x:si>
  <x:si>
    <x:t xml:space="preserve">待执行</x:t>
  </x:si>
  <x:si>
    <x:t xml:space="preserve">A01-F0-W9</x:t>
  </x:si>
  <x:si>
    <x:t xml:space="preserve">GAP/Graph500 子集（BFS、SSSP、PageRank，固定图与结果哈希）</x:t>
  </x:si>
  <x:si>
    <x:t xml:space="preserve">GAP/Graph500 子集（BFS、SSSP、PageRank，固定图与结果哈希）
执行定义与 oracle：BFS/SSSP/PR，使用固定图与结果哈希；强调不规则地址和大 working set</x:t>
  </x:si>
  <x:si>
    <x:t xml:space="preserve">A01-F1-W3</x:t>
  </x:si>
  <x:si>
    <x:t xml:space="preserve">A01-F1-W9</x:t>
  </x:si>
  <x:si>
    <x:t xml:space="preserve">A01-F2-W3</x:t>
  </x:si>
  <x:si>
    <x:t xml:space="preserve">A01-F2-W9</x:t>
  </x:si>
  <x:si>
    <x:t xml:space="preserve">A02-F0-W3</x:t>
  </x:si>
  <x:si>
    <x:t xml:space="preserve">A02-F0-W9</x:t>
  </x:si>
  <x:si>
    <x:t xml:space="preserve">A02-F2-W3</x:t>
  </x:si>
  <x:si>
    <x:t xml:space="preserve">A02-F2-W9</x:t>
  </x:si>
  <x:si>
    <x:t xml:space="preserve">A03-F5-W3</x:t>
  </x:si>
  <x:si>
    <x:t xml:space="preserve">A03-F5-W10</x:t>
  </x:si>
  <x:si>
    <x:t xml:space="preserve">STREAM+PointerChase（Copy、Scale、Add、Triad 与随机指针链）</x:t>
  </x:si>
  <x:si>
    <x:t xml:space="preserve">STREAM+PointerChase（Copy、Scale、Add、Triad 与随机指针链）
执行定义与 oracle：STREAM Copy/Scale/Add/Triad 加随机 pointer chase；检查数组 hash 与遍历节点数</x:t>
  </x:si>
  <x:si>
    <x:t xml:space="preserve">A04-F0-W3</x:t>
  </x:si>
  <x:si>
    <x:t xml:space="preserve">A04-F0-W0</x:t>
  </x:si>
  <x:si>
    <x:t xml:space="preserve">MiniCheck 最小正确性探针（数组校验和、guard page、指针链、load/store round-trip）</x:t>
  </x:si>
  <x:si>
    <x:t xml:space="preserve">MiniCheck 最小正确性探针（数组校验和、guard page、指针链、load/store round-trip）
执行定义与 oracle：短数组校验和、guard page、指针链、load/store round-trip；每次运行产生确定 golden output</x:t>
  </x:si>
  <x:si>
    <x:t xml:space="preserve">A04-F2-W3</x:t>
  </x:si>
  <x:si>
    <x:t xml:space="preserve">A04-F2-W0</x:t>
  </x:si>
  <x:si>
    <x:t xml:space="preserve">A04-F6-W3</x:t>
  </x:si>
  <x:si>
    <x:t xml:space="preserve">A04-F6-W0</x:t>
  </x:si>
  <x:si>
    <x:t xml:space="preserve">A05-F0-W3</x:t>
  </x:si>
  <x:si>
    <x:t xml:space="preserve">A05-F2-W3</x:t>
  </x:si>
  <x:si>
    <x:t xml:space="preserve">A05-F6-W3</x:t>
  </x:si>
  <x:si>
    <x:t xml:space="preserve">A06-F0-W3</x:t>
  </x:si>
  <x:si>
    <x:t xml:space="preserve">A06-F0-W5</x:t>
  </x:si>
  <x:si>
    <x:t xml:space="preserve">SQ-Forward 转发探针（同地址/部分重叠 store-to-load forwarding、字节掩码、alias、replay）
执行定义与 oracle：同地址与部分重叠 store-to-load forwarding、不同字节掩码、地址晚到/数据晚到、alias、replay</x:t>
  </x:si>
  <x:si>
    <x:t xml:space="preserve">A06-F2-W3</x:t>
  </x:si>
  <x:si>
    <x:t xml:space="preserve">A06-F2-W5</x:t>
  </x:si>
  <x:si>
    <x:t xml:space="preserve">A06-F6-W3</x:t>
  </x:si>
  <x:si>
    <x:t xml:space="preserve">A06-F6-W5</x:t>
  </x:si>
  <x:si>
    <x:t xml:space="preserve">A07-F0-W3</x:t>
  </x:si>
  <x:si>
    <x:t xml:space="preserve">A07-F0-W5</x:t>
  </x:si>
  <x:si>
    <x:t xml:space="preserve">A07-F4-W3</x:t>
  </x:si>
  <x:si>
    <x:t xml:space="preserve">A07-F4-W5</x:t>
  </x:si>
  <x:si>
    <x:t xml:space="preserve">A07-F6-W3</x:t>
  </x:si>
  <x:si>
    <x:t xml:space="preserve">A07-F6-W5</x:t>
  </x:si>
  <x:si>
    <x:t xml:space="preserve">A08-F0-W3</x:t>
  </x:si>
  <x:si>
    <x:t xml:space="preserve">A08-F0-W5</x:t>
  </x:si>
  <x:si>
    <x:t xml:space="preserve">A08-F2-W3</x:t>
  </x:si>
  <x:si>
    <x:t xml:space="preserve">A08-F2-W5</x:t>
  </x:si>
  <x:si>
    <x:t xml:space="preserve">A08-F6-W3</x:t>
  </x:si>
  <x:si>
    <x:t xml:space="preserve">A08-F6-W5</x:t>
  </x:si>
  <x:si>
    <x:t xml:space="preserve">T01-F0-W1</x:t>
  </x:si>
  <x:si>
    <x:t xml:space="preserve">MiBench-TC23 论文负载（blowfish、patricia、fft、gsm、dijkstra、rijndael、sha、bitcount、edge、smooth）</x:t>
  </x:si>
  <x:si>
    <x:t xml:space="preserve">MiBench-TC23 论文负载（blowfish、patricia、fft、gsm、dijkstra、rijndael、sha、bitcount、edge、smooth）
执行定义与 oracle：blowfish、patricia、fft、gsm、dijkstra、rijndael、sha、bitcount、edge、smooth；最大输入集</x:t>
  </x:si>
  <x:si>
    <x:t xml:space="preserve">T01-F0-W4</x:t>
  </x:si>
  <x:si>
    <x:t xml:space="preserve">TLB-AliasPerm 地址翻译探针（4KiB/2MiB 页、ASID、同VA不同PA、权限、TLBI、跨页访问）
执行定义与 oracle：4KiB/2MiB 页、ASID 切换、同 VA 不同 PA、只读/不可执行页、TLBI 后重填、跨页 load/store</x:t>
  </x:si>
  <x:si>
    <x:t xml:space="preserve">T01-F1-W1</x:t>
  </x:si>
  <x:si>
    <x:t xml:space="preserve">T01-F1-W4</x:t>
  </x:si>
  <x:si>
    <x:t xml:space="preserve">T01-F2-W1</x:t>
  </x:si>
  <x:si>
    <x:t xml:space="preserve">T01-F2-W4</x:t>
  </x:si>
  <x:si>
    <x:t xml:space="preserve">T02-F0-W1</x:t>
  </x:si>
  <x:si>
    <x:t xml:space="preserve">T02-F0-W4</x:t>
  </x:si>
  <x:si>
    <x:t xml:space="preserve">T02-F2-W1</x:t>
  </x:si>
  <x:si>
    <x:t xml:space="preserve">T02-F2-W4</x:t>
  </x:si>
  <x:si>
    <x:t xml:space="preserve">T03-F5-W4</x:t>
  </x:si>
  <x:si>
    <x:t xml:space="preserve">T03-F5-W9</x:t>
  </x:si>
  <x:si>
    <x:t xml:space="preserve">T04-F0-W4</x:t>
  </x:si>
  <x:si>
    <x:t xml:space="preserve">T04-F2-W4</x:t>
  </x:si>
  <x:si>
    <x:t xml:space="preserve">T04-F6-W4</x:t>
  </x:si>
  <x:si>
    <x:t xml:space="preserve">T05-F0-W4</x:t>
  </x:si>
  <x:si>
    <x:t xml:space="preserve">T05-F2-W4</x:t>
  </x:si>
  <x:si>
    <x:t xml:space="preserve">T05-F6-W4</x:t>
  </x:si>
  <x:si>
    <x:t xml:space="preserve">T06-F0-W4</x:t>
  </x:si>
  <x:si>
    <x:t xml:space="preserve">T06-F2-W4</x:t>
  </x:si>
  <x:si>
    <x:t xml:space="preserve">T06-F6-W4</x:t>
  </x:si>
  <x:si>
    <x:t xml:space="preserve">T07-F0-W4</x:t>
  </x:si>
  <x:si>
    <x:t xml:space="preserve">T07-F4-W4</x:t>
  </x:si>
  <x:si>
    <x:t xml:space="preserve">T07-F6-W4</x:t>
  </x:si>
  <x:si>
    <x:t xml:space="preserve">T08-F0-W4</x:t>
  </x:si>
  <x:si>
    <x:t xml:space="preserve">T08-F0-W9</x:t>
  </x:si>
  <x:si>
    <x:t xml:space="preserve">T08-F4-W4</x:t>
  </x:si>
  <x:si>
    <x:t xml:space="preserve">T08-F4-W9</x:t>
  </x:si>
  <x:si>
    <x:t xml:space="preserve">T08-F6-W4</x:t>
  </x:si>
  <x:si>
    <x:t xml:space="preserve">T08-F6-W9</x:t>
  </x:si>
  <x:si>
    <x:t xml:space="preserve">T09-F0-W4</x:t>
  </x:si>
  <x:si>
    <x:t xml:space="preserve">T09-F5-W4</x:t>
  </x:si>
  <x:si>
    <x:t xml:space="preserve">T09-F6-W4</x:t>
  </x:si>
  <x:si>
    <x:t xml:space="preserve">S01-F0-W1</x:t>
  </x:si>
  <x:si>
    <x:t xml:space="preserve">S01-F0-W5</x:t>
  </x:si>
  <x:si>
    <x:t xml:space="preserve">S01-F1-W1</x:t>
  </x:si>
  <x:si>
    <x:t xml:space="preserve">S01-F1-W5</x:t>
  </x:si>
  <x:si>
    <x:t xml:space="preserve">S01-F2-W1</x:t>
  </x:si>
  <x:si>
    <x:t xml:space="preserve">S01-F2-W5</x:t>
  </x:si>
  <x:si>
    <x:t xml:space="preserve">S02-F0-W5</x:t>
  </x:si>
  <x:si>
    <x:t xml:space="preserve">S02-F0-W1</x:t>
  </x:si>
  <x:si>
    <x:t xml:space="preserve">S02-F2-W5</x:t>
  </x:si>
  <x:si>
    <x:t xml:space="preserve">S02-F2-W1</x:t>
  </x:si>
  <x:si>
    <x:t xml:space="preserve">S03-F5-W5</x:t>
  </x:si>
  <x:si>
    <x:t xml:space="preserve">S03-F5-W10</x:t>
  </x:si>
  <x:si>
    <x:t xml:space="preserve">S04-F0-W5</x:t>
  </x:si>
  <x:si>
    <x:t xml:space="preserve">S04-F0-W0</x:t>
  </x:si>
  <x:si>
    <x:t xml:space="preserve">S04-F2-W5</x:t>
  </x:si>
  <x:si>
    <x:t xml:space="preserve">S04-F2-W0</x:t>
  </x:si>
  <x:si>
    <x:t xml:space="preserve">S04-F6-W5</x:t>
  </x:si>
  <x:si>
    <x:t xml:space="preserve">S04-F6-W0</x:t>
  </x:si>
  <x:si>
    <x:t xml:space="preserve">S05-F0-W5</x:t>
  </x:si>
  <x:si>
    <x:t xml:space="preserve">S05-F0-W3</x:t>
  </x:si>
  <x:si>
    <x:t xml:space="preserve">S05-F2-W5</x:t>
  </x:si>
  <x:si>
    <x:t xml:space="preserve">S05-F2-W3</x:t>
  </x:si>
  <x:si>
    <x:t xml:space="preserve">S05-F6-W5</x:t>
  </x:si>
  <x:si>
    <x:t xml:space="preserve">S05-F6-W3</x:t>
  </x:si>
  <x:si>
    <x:t xml:space="preserve">S06-F0-W5</x:t>
  </x:si>
  <x:si>
    <x:t xml:space="preserve">S06-F0-W6</x:t>
  </x:si>
  <x:si>
    <x:t xml:space="preserve">Cache-DirtyEvict 缓存探针（0.5×/1×/2×L1D working set、conflict set、dirty eviction、writeback）
执行定义与 oracle：working set=0.5×/1×/2×L1D；读改写、dirty eviction、writeback、conflict set、共享行 false sharing</x:t>
  </x:si>
  <x:si>
    <x:t xml:space="preserve">S06-F2-W5</x:t>
  </x:si>
  <x:si>
    <x:t xml:space="preserve">S06-F2-W6</x:t>
  </x:si>
  <x:si>
    <x:t xml:space="preserve">S06-F6-W5</x:t>
  </x:si>
  <x:si>
    <x:t xml:space="preserve">S06-F6-W6</x:t>
  </x:si>
  <x:si>
    <x:t xml:space="preserve">S07-F0-W5</x:t>
  </x:si>
  <x:si>
    <x:t xml:space="preserve">S07-F4-W5</x:t>
  </x:si>
  <x:si>
    <x:t xml:space="preserve">S07-F6-W5</x:t>
  </x:si>
  <x:si>
    <x:t xml:space="preserve">S08-F0-W5</x:t>
  </x:si>
  <x:si>
    <x:t xml:space="preserve">S08-F2-W5</x:t>
  </x:si>
  <x:si>
    <x:t xml:space="preserve">S08-F6-W5</x:t>
  </x:si>
  <x:si>
    <x:t xml:space="preserve">S09-F0-W5</x:t>
  </x:si>
  <x:si>
    <x:t xml:space="preserve">S09-F2-W5</x:t>
  </x:si>
  <x:si>
    <x:t xml:space="preserve">S09-F6-W5</x:t>
  </x:si>
  <x:si>
    <x:t xml:space="preserve">S10-F0-W5</x:t>
  </x:si>
  <x:si>
    <x:t xml:space="preserve">S10-F0-W9</x:t>
  </x:si>
  <x:si>
    <x:t xml:space="preserve">S10-F2-W5</x:t>
  </x:si>
  <x:si>
    <x:t xml:space="preserve">S10-F2-W9</x:t>
  </x:si>
  <x:si>
    <x:t xml:space="preserve">S10-F5-W5</x:t>
  </x:si>
  <x:si>
    <x:t xml:space="preserve">S10-F5-W9</x:t>
  </x:si>
  <x:si>
    <x:t xml:space="preserve">S11-F0-W5</x:t>
  </x:si>
  <x:si>
    <x:t xml:space="preserve">S11-F0-W6</x:t>
  </x:si>
  <x:si>
    <x:t xml:space="preserve">S11-F4-W5</x:t>
  </x:si>
  <x:si>
    <x:t xml:space="preserve">S11-F4-W6</x:t>
  </x:si>
  <x:si>
    <x:t xml:space="preserve">S11-F6-W5</x:t>
  </x:si>
  <x:si>
    <x:t xml:space="preserve">S11-F6-W6</x:t>
  </x:si>
  <x:si>
    <x:t xml:space="preserve">S12-F0-W5</x:t>
  </x:si>
  <x:si>
    <x:t xml:space="preserve">S12-F5-W5</x:t>
  </x:si>
  <x:si>
    <x:t xml:space="preserve">S12-F6-W5</x:t>
  </x:si>
  <x:si>
    <x:t xml:space="preserve">C01-F0-W1</x:t>
  </x:si>
  <x:si>
    <x:t xml:space="preserve">C01-F0-W6</x:t>
  </x:si>
  <x:si>
    <x:t xml:space="preserve">C01-F1-W1</x:t>
  </x:si>
  <x:si>
    <x:t xml:space="preserve">C01-F1-W6</x:t>
  </x:si>
  <x:si>
    <x:t xml:space="preserve">C01-F2-W1</x:t>
  </x:si>
  <x:si>
    <x:t xml:space="preserve">C01-F2-W6</x:t>
  </x:si>
  <x:si>
    <x:t xml:space="preserve">C02-F0-W6</x:t>
  </x:si>
  <x:si>
    <x:t xml:space="preserve">C02-F0-W1</x:t>
  </x:si>
  <x:si>
    <x:t xml:space="preserve">C02-F2-W6</x:t>
  </x:si>
  <x:si>
    <x:t xml:space="preserve">C02-F2-W1</x:t>
  </x:si>
  <x:si>
    <x:t xml:space="preserve">C03-F5-W6</x:t>
  </x:si>
  <x:si>
    <x:t xml:space="preserve">C03-F5-W10</x:t>
  </x:si>
  <x:si>
    <x:t xml:space="preserve">C04-F0-W1</x:t>
  </x:si>
  <x:si>
    <x:t xml:space="preserve">C04-F0-W6</x:t>
  </x:si>
  <x:si>
    <x:t xml:space="preserve">C04-F1-W1</x:t>
  </x:si>
  <x:si>
    <x:t xml:space="preserve">C04-F1-W6</x:t>
  </x:si>
  <x:si>
    <x:t xml:space="preserve">C04-F2-W1</x:t>
  </x:si>
  <x:si>
    <x:t xml:space="preserve">C04-F2-W6</x:t>
  </x:si>
  <x:si>
    <x:t xml:space="preserve">C05-F0-W6</x:t>
  </x:si>
  <x:si>
    <x:t xml:space="preserve">C05-F2-W6</x:t>
  </x:si>
  <x:si>
    <x:t xml:space="preserve">C05-F6-W6</x:t>
  </x:si>
  <x:si>
    <x:t xml:space="preserve">C06-F0-W6</x:t>
  </x:si>
  <x:si>
    <x:t xml:space="preserve">C06-F2-W6</x:t>
  </x:si>
  <x:si>
    <x:t xml:space="preserve">C06-F5-W6</x:t>
  </x:si>
  <x:si>
    <x:t xml:space="preserve">C07-F0-W6</x:t>
  </x:si>
  <x:si>
    <x:t xml:space="preserve">C07-F2-W6</x:t>
  </x:si>
  <x:si>
    <x:t xml:space="preserve">C07-F5-W6</x:t>
  </x:si>
  <x:si>
    <x:t xml:space="preserve">C07-F6-W6</x:t>
  </x:si>
  <x:si>
    <x:t xml:space="preserve">C08-F0-W6</x:t>
  </x:si>
  <x:si>
    <x:t xml:space="preserve">C08-F0-W7</x:t>
  </x:si>
  <x:si>
    <x:t xml:space="preserve">Atomic-Litmus 并发探针（MP、SB、LB、IRIW、Dekker、ticket lock、CAS counter、LDXR/STXR）
执行定义与 oracle：MP、SB、LB、IRIW、Dekker、ticket lock、CAS counter、LDXR/STXR 竞争；每轮检查禁出现结果</x:t>
  </x:si>
  <x:si>
    <x:t xml:space="preserve">C08-F2-W6</x:t>
  </x:si>
  <x:si>
    <x:t xml:space="preserve">C08-F2-W7</x:t>
  </x:si>
  <x:si>
    <x:t xml:space="preserve">C08-F5-W6</x:t>
  </x:si>
  <x:si>
    <x:t xml:space="preserve">C08-F5-W7</x:t>
  </x:si>
  <x:si>
    <x:t xml:space="preserve">C08-F6-W6</x:t>
  </x:si>
  <x:si>
    <x:t xml:space="preserve">C08-F6-W7</x:t>
  </x:si>
  <x:si>
    <x:t xml:space="preserve">C09-F0-W6</x:t>
  </x:si>
  <x:si>
    <x:t xml:space="preserve">C09-F0-W10</x:t>
  </x:si>
  <x:si>
    <x:t xml:space="preserve">C09-F2-W6</x:t>
  </x:si>
  <x:si>
    <x:t xml:space="preserve">C09-F2-W10</x:t>
  </x:si>
  <x:si>
    <x:t xml:space="preserve">C09-F6-W6</x:t>
  </x:si>
  <x:si>
    <x:t xml:space="preserve">C09-F6-W10</x:t>
  </x:si>
  <x:si>
    <x:t xml:space="preserve">C10-F0-W6</x:t>
  </x:si>
  <x:si>
    <x:t xml:space="preserve">C10-F0-W10</x:t>
  </x:si>
  <x:si>
    <x:t xml:space="preserve">C10-F3-W6</x:t>
  </x:si>
  <x:si>
    <x:t xml:space="preserve">C10-F3-W10</x:t>
  </x:si>
  <x:si>
    <x:t xml:space="preserve">C10-F5-W6</x:t>
  </x:si>
  <x:si>
    <x:t xml:space="preserve">C10-F5-W10</x:t>
  </x:si>
  <x:si>
    <x:t xml:space="preserve">C11-F0-W6</x:t>
  </x:si>
  <x:si>
    <x:t xml:space="preserve">C11-F0-W10</x:t>
  </x:si>
  <x:si>
    <x:t xml:space="preserve">C11-F2-W6</x:t>
  </x:si>
  <x:si>
    <x:t xml:space="preserve">C11-F2-W10</x:t>
  </x:si>
  <x:si>
    <x:t xml:space="preserve">C11-F4-W6</x:t>
  </x:si>
  <x:si>
    <x:t xml:space="preserve">C11-F4-W10</x:t>
  </x:si>
  <x:si>
    <x:t xml:space="preserve">C11-F6-W6</x:t>
  </x:si>
  <x:si>
    <x:t xml:space="preserve">C11-F6-W10</x:t>
  </x:si>
  <x:si>
    <x:t xml:space="preserve">C12-F0-W6</x:t>
  </x:si>
  <x:si>
    <x:t xml:space="preserve">C12-F0-W10</x:t>
  </x:si>
  <x:si>
    <x:t xml:space="preserve">C12-F4-W6</x:t>
  </x:si>
  <x:si>
    <x:t xml:space="preserve">C12-F4-W10</x:t>
  </x:si>
  <x:si>
    <x:t xml:space="preserve">C12-F6-W6</x:t>
  </x:si>
  <x:si>
    <x:t xml:space="preserve">C12-F6-W10</x:t>
  </x:si>
  <x:si>
    <x:t xml:space="preserve">C13-F0-W6</x:t>
  </x:si>
  <x:si>
    <x:t xml:space="preserve">C13-F5-W6</x:t>
  </x:si>
  <x:si>
    <x:t xml:space="preserve">C13-F6-W6</x:t>
  </x:si>
  <x:si>
    <x:t xml:space="preserve">O01-F0-W7</x:t>
  </x:si>
  <x:si>
    <x:t xml:space="preserve">O01-F2-W7</x:t>
  </x:si>
  <x:si>
    <x:t xml:space="preserve">O01-F6-W7</x:t>
  </x:si>
  <x:si>
    <x:t xml:space="preserve">O02-F0-W7</x:t>
  </x:si>
  <x:si>
    <x:t xml:space="preserve">O02-F2-W7</x:t>
  </x:si>
  <x:si>
    <x:t xml:space="preserve">O02-F5-W7</x:t>
  </x:si>
  <x:si>
    <x:t xml:space="preserve">O02-F6-W7</x:t>
  </x:si>
  <x:si>
    <x:t xml:space="preserve">O03-F0-W7</x:t>
  </x:si>
  <x:si>
    <x:t xml:space="preserve">O03-F2-W7</x:t>
  </x:si>
  <x:si>
    <x:t xml:space="preserve">O03-F6-W7</x:t>
  </x:si>
  <x:si>
    <x:t xml:space="preserve">O04-F0-W7</x:t>
  </x:si>
  <x:si>
    <x:t xml:space="preserve">O04-F2-W7</x:t>
  </x:si>
  <x:si>
    <x:t xml:space="preserve">O04-F6-W7</x:t>
  </x:si>
  <x:si>
    <x:t xml:space="preserve">O05-F0-W7</x:t>
  </x:si>
  <x:si>
    <x:t xml:space="preserve">O05-F4-W7</x:t>
  </x:si>
  <x:si>
    <x:t xml:space="preserve">O05-F6-W7</x:t>
  </x:si>
  <x:si>
    <x:t xml:space="preserve">O06-F0-W7</x:t>
  </x:si>
  <x:si>
    <x:t xml:space="preserve">O06-F4-W7</x:t>
  </x:si>
  <x:si>
    <x:t xml:space="preserve">O06-F6-W7</x:t>
  </x:si>
  <x:si>
    <x:t xml:space="preserve">O07-F0-W7</x:t>
  </x:si>
  <x:si>
    <x:t xml:space="preserve">O07-F2-W7</x:t>
  </x:si>
  <x:si>
    <x:t xml:space="preserve">O07-F6-W7</x:t>
  </x:si>
  <x:si>
    <x:t xml:space="preserve">O08-F0-W7</x:t>
  </x:si>
  <x:si>
    <x:t xml:space="preserve">O08-F5-W7</x:t>
  </x:si>
  <x:si>
    <x:t xml:space="preserve">O08-F6-W7</x:t>
  </x:si>
  <x:si>
    <x:t xml:space="preserve">P01-F0-W2</x:t>
  </x:si>
  <x:si>
    <x:t xml:space="preserve">BEEBS-DelayAVF 论文负载（md5、libbubblesort、libstrstr、matmult、libfibcall）</x:t>
  </x:si>
  <x:si>
    <x:t xml:space="preserve">BEEBS-DelayAVF 论文负载（md5、libbubblesort、libstrstr、matmult、libfibcall）
执行定义与 oracle：md5、libbubblesort、libstrstr、matmult、libfibcall</x:t>
  </x:si>
  <x:si>
    <x:t xml:space="preserve">P01-F0-W8</x:t>
  </x:si>
  <x:si>
    <x:t xml:space="preserve">Prefetch-Stride 预取探针（正/负/交错 stride、pointer chase、跨页 stride、训练后变步长）</x:t>
  </x:si>
  <x:si>
    <x:t xml:space="preserve">Prefetch-Stride 预取探针（正/负/交错 stride、pointer chase、跨页 stride、训练后变步长）
执行定义与 oracle：正/负/交错 stride、随机 pointer chase、跨页 stride、训练后变步长、需求/预取竞争</x:t>
  </x:si>
  <x:si>
    <x:t xml:space="preserve">P01-F1-W2</x:t>
  </x:si>
  <x:si>
    <x:t xml:space="preserve">P01-F1-W8</x:t>
  </x:si>
  <x:si>
    <x:t xml:space="preserve">P01-F2-W2</x:t>
  </x:si>
  <x:si>
    <x:t xml:space="preserve">P01-F2-W8</x:t>
  </x:si>
  <x:si>
    <x:t xml:space="preserve">P02-F0-W8</x:t>
  </x:si>
  <x:si>
    <x:t xml:space="preserve">P02-F0-W10</x:t>
  </x:si>
  <x:si>
    <x:t xml:space="preserve">P02-F3-W8</x:t>
  </x:si>
  <x:si>
    <x:t xml:space="preserve">P02-F3-W10</x:t>
  </x:si>
  <x:si>
    <x:t xml:space="preserve">P02-F5-W8</x:t>
  </x:si>
  <x:si>
    <x:t xml:space="preserve">P02-F5-W10</x:t>
  </x:si>
  <x:si>
    <x:t xml:space="preserve">P03-F0-W8</x:t>
  </x:si>
  <x:si>
    <x:t xml:space="preserve">P03-F0-W9</x:t>
  </x:si>
  <x:si>
    <x:t xml:space="preserve">P03-F2-W8</x:t>
  </x:si>
  <x:si>
    <x:t xml:space="preserve">P03-F2-W9</x:t>
  </x:si>
  <x:si>
    <x:t xml:space="preserve">P03-F6-W8</x:t>
  </x:si>
  <x:si>
    <x:t xml:space="preserve">P03-F6-W9</x:t>
  </x:si>
  <x:si>
    <x:t xml:space="preserve">P04-F0-W2</x:t>
  </x:si>
  <x:si>
    <x:t xml:space="preserve">P04-F0-W8</x:t>
  </x:si>
  <x:si>
    <x:t xml:space="preserve">P04-F4-W2</x:t>
  </x:si>
  <x:si>
    <x:t xml:space="preserve">P04-F4-W8</x:t>
  </x:si>
  <x:si>
    <x:t xml:space="preserve">P04-F5-W2</x:t>
  </x:si>
  <x:si>
    <x:t xml:space="preserve">P04-F5-W8</x:t>
  </x:si>
  <x:si>
    <x:t xml:space="preserve">P05-F0-W8</x:t>
  </x:si>
  <x:si>
    <x:t xml:space="preserve">P05-F0-W10</x:t>
  </x:si>
  <x:si>
    <x:t xml:space="preserve">P05-F4-W8</x:t>
  </x:si>
  <x:si>
    <x:t xml:space="preserve">P05-F4-W10</x:t>
  </x:si>
  <x:si>
    <x:t xml:space="preserve">P05-F6-W8</x:t>
  </x:si>
  <x:si>
    <x:t xml:space="preserve">P05-F6-W10</x:t>
  </x:si>
  <x:si>
    <x:t xml:space="preserve">P06-F0-W6</x:t>
  </x:si>
  <x:si>
    <x:t xml:space="preserve">P06-F0-W8</x:t>
  </x:si>
  <x:si>
    <x:t xml:space="preserve">P06-F2-W6</x:t>
  </x:si>
  <x:si>
    <x:t xml:space="preserve">P06-F2-W8</x:t>
  </x:si>
  <x:si>
    <x:t xml:space="preserve">P06-F6-W6</x:t>
  </x:si>
  <x:si>
    <x:t xml:space="preserve">P06-F6-W8</x:t>
  </x:si>
  <x:si>
    <x:t xml:space="preserve">P07-F0-W6</x:t>
  </x:si>
  <x:si>
    <x:t xml:space="preserve">P07-F0-W8</x:t>
  </x:si>
  <x:si>
    <x:t xml:space="preserve">P07-F2-W6</x:t>
  </x:si>
  <x:si>
    <x:t xml:space="preserve">P07-F2-W8</x:t>
  </x:si>
  <x:si>
    <x:t xml:space="preserve">P07-F6-W6</x:t>
  </x:si>
  <x:si>
    <x:t xml:space="preserve">P07-F6-W8</x:t>
  </x:si>
  <x:si>
    <x:t xml:space="preserve">P08-F5-W8</x:t>
  </x:si>
  <x:si>
    <x:t xml:space="preserve">P08-F5-W10</x:t>
  </x:si>
  <x:si>
    <x:t xml:space="preserve">代码</x:t>
  </x:si>
  <x:si>
    <x:t xml:space="preserve">标题/资源</x:t>
  </x:si>
  <x:si>
    <x:t xml:space="preserve">类型/发表</x:t>
  </x:si>
  <x:si>
    <x:t xml:space="preserve">核对方式</x:t>
  </x:si>
  <x:si>
    <x:t xml:space="preserve">本工作簿用途</x:t>
  </x:si>
  <x:si>
    <x:t xml:space="preserve">定位</x:t>
  </x:si>
  <x:si>
    <x:t xml:space="preserve">GEM5-O3</x:t>
  </x:si>
  <x:si>
    <x:t xml:space="preserve">gem5 stable: configs/common/cores/arm/O3_ARM_v7a.py</x:t>
  </x:si>
  <x:si>
    <x:t xml:space="preserve">官方源码</x:t>
  </x:si>
  <x:si>
    <x:t xml:space="preserve">2026-09-24核对</x:t>
  </x:si>
  <x:si>
    <x:t xml:space="preserve">LQ/SQ、FU、LSQDepCheckShift、L1D、MSHR、预取器</x:t>
  </x:si>
  <x:si>
    <x:t xml:space="preserve">https://raw.githubusercontent.com/gem5/gem5/stable/configs/common/cores/arm/O3_ARM_v7a.py</x:t>
  </x:si>
  <x:si>
    <x:t xml:space="preserve">GEM5-BASE</x:t>
  </x:si>
  <x:si>
    <x:t xml:space="preserve">gem5 stable: src/cpu/o3/BaseO3CPU.py</x:t>
  </x:si>
  <x:si>
    <x:t xml:space="preserve">LSQCheckLoads、Store Set、cache ports</x:t>
  </x:si>
  <x:si>
    <x:t xml:space="preserve">https://raw.githubusercontent.com/gem5/gem5/stable/src/cpu/o3/BaseO3CPU.py</x:t>
  </x:si>
  <x:si>
    <x:t xml:space="preserve">GEM5-MMU</x:t>
  </x:si>
  <x:si>
    <x:t xml:space="preserve">gem5 stable: ArmMMU.py / ArmTLB.py</x:t>
  </x:si>
  <x:si>
    <x:t xml:space="preserve">Arm TLB默认64项全相联、L2 TLB 1280项5-way</x:t>
  </x:si>
  <x:si>
    <x:t xml:space="preserve">https://raw.githubusercontent.com/gem5/gem5/stable/src/arch/arm/ArmTLB.py</x:t>
  </x:si>
  <x:si>
    <x:t xml:space="preserve">GEM5-SYS</x:t>
  </x:si>
  <x:si>
    <x:t xml:space="preserve">gem5 stable: src/sim/System.py</x:t>
  </x:si>
  <x:si>
    <x:t xml:space="preserve">cache_line_size=64</x:t>
  </x:si>
  <x:si>
    <x:t xml:space="preserve">https://raw.githubusercontent.com/gem5/gem5/stable/src/sim/System.py</x:t>
  </x:si>
  <x:si>
    <x:t xml:space="preserve">IISWC15</x:t>
  </x:si>
  <x:si>
    <x:t xml:space="preserve">Differential Fault Injection on Microarchitectural Simulators</x:t>
  </x:si>
  <x:si>
    <x:t xml:space="preserve">IISWC 2015</x:t>
  </x:si>
  <x:si>
    <x:t xml:space="preserve">本地PDF</x:t>
  </x:si>
  <x:si>
    <x:t xml:space="preserve">LSQ/SQ和L1D单bit、2000次/结构/负载、MiBench</x:t>
  </x:si>
  <x:si>
    <x:t xml:space="preserve">Differential_Fault_Injection_on_Microarchitectural_Simulators.pdf</x:t>
  </x:si>
  <x:si>
    <x:t xml:space="preserve">TC22</x:t>
  </x:si>
  <x:si>
    <x:t xml:space="preserve">Soft Error Effects on Arm Microprocessors: Early Estimations versus Chip Measurements</x:t>
  </x:si>
  <x:si>
    <x:t xml:space="preserve">IEEE TC 2022</x:t>
  </x:si>
  <x:si>
    <x:t xml:space="preserve">Arm A5/A9 DTLB/L1D，gem5与中子束</x:t>
  </x:si>
  <x:si>
    <x:t xml:space="preserve">Soft_Error_Effects_on_Arm_Microprocessors_Early_Estimations_versus_Chip_Measurements.pdf</x:t>
  </x:si>
  <x:si>
    <x:t xml:space="preserve">TC23</x:t>
  </x:si>
  <x:si>
    <x:t xml:space="preserve">Silent Data Corruptions: Microarchitectural Perspectives</x:t>
  </x:si>
  <x:si>
    <x:t xml:space="preserve">IEEE TC 2023</x:t>
  </x:si>
  <x:si>
    <x:t xml:space="preserve">Armv8/Armv7 DTLB、LQ/SQ、L1D；2000次/负载</x:t>
  </x:si>
  <x:si>
    <x:t xml:space="preserve">Silent_Data_Corruptions_Microarchitectural_Perspectives.pdf</x:t>
  </x:si>
  <x:si>
    <x:t xml:space="preserve">HPCA24</x:t>
  </x:si>
  <x:si>
    <x:t xml:space="preserve">gem5-MARVEL: Microarchitecture-Level Resilience Analysis of Heterogeneous SoC Architectures</x:t>
  </x:si>
  <x:si>
    <x:t xml:space="preserve">HPCA 2024</x:t>
  </x:si>
  <x:si>
    <x:t xml:space="preserve">Arm/x86/RISC-V的LQ/SQ/L1D瞬态与永久结果</x:t>
  </x:si>
  <x:si>
    <x:t xml:space="preserve">Gem5-MARVEL_Microarchitecture-Level_Resilience_Analysis_of_Heterogeneous_SoC_Architectures.pdf</x:t>
  </x:si>
  <x:si>
    <x:t xml:space="preserve">MICRO24</x:t>
  </x:si>
  <x:si>
    <x:t xml:space="preserve">DelayAVF: Calculating Architectural Vulnerability Factors for Delay Faults</x:t>
  </x:si>
  <x:si>
    <x:t xml:space="preserve">MICRO 2024</x:t>
  </x:si>
  <x:si>
    <x:t xml:space="preserve">Ibex LSU与prefetch buffer的小延迟故障；DelayAVF不是SDC率</x:t>
  </x:si>
  <x:si>
    <x:t xml:space="preserve">MICRO2024 DelayAVF_Calculating_Architectural_Vulnerability_Factors_for_Delay_Faults.pdf</x:t>
  </x:si>
  <x:si>
    <x:t xml:space="preserve">MICRO25</x:t>
  </x:si>
  <x:si>
    <x:t xml:space="preserve">Harpocrates++: Automated Functional Program Generation Against CPU Faults and Silent Data Corruptions</x:t>
  </x:si>
  <x:si>
    <x:t xml:space="preserve">IEEE Micro 2025</x:t>
  </x:si>
  <x:si>
    <x:t xml:space="preserve">SQ/L1D检测率；指标不是SDC率</x:t>
  </x:si>
  <x:si>
    <x:t xml:space="preserve">Harpocrates_Automated_Functional_Program_Generation_Against_CPU_Faults_and_Silent_Data_Corruptions.pdf</x:t>
  </x:si>
  <x:si>
    <x:t xml:space="preserve">CHAOS26</x:t>
  </x:si>
  <x:si>
    <x:t xml:space="preserve">CHAOS: Controlled Hardware fAult injectOr System for gem5</x:t>
  </x:si>
  <x:si>
    <x:t xml:space="preserve">arXiv 2602.02119, 2026</x:t>
  </x:si>
  <x:si>
    <x:t xml:space="preserve">频率、单/多bit、stuck-at与HPC偏差规律</x:t>
  </x:si>
  <x:si>
    <x:t xml:space="preserve">Chaos Controlled Hardware Fault Injector System for Gem5.pdf</x:t>
  </x:si>
</x:sst>
</file>

<file path=xl/styles.xml><?xml version="1.0" encoding="utf-8"?>
<x:styleSheet xmlns:x="http://schemas.openxmlformats.org/spreadsheetml/2006/main">
  <x:numFmts count="1">
    <x:numFmt numFmtId="200" formatCode="0.00%"/>
  </x:numFmts>
  <x:fonts count="13">
    <x:font>
      <x:sz val="11"/>
      <x:color theme="1"/>
      <x:name val="等线"/>
    </x:font>
    <x:font>
      <x:sz val="11"/>
      <x:name val="Carlito"/>
    </x:font>
    <x:font>
      <x:b/>
      <x:sz val="13"/>
      <x:color rgb="FF1F1F1F"/>
      <x:name val="微软雅黑"/>
    </x:font>
    <x:font>
      <x:sz val="9"/>
      <x:name val="等线"/>
    </x:font>
    <x:font>
      <x:sz val="10"/>
      <x:color rgb="FF1F1F1F"/>
      <x:name val="微软雅黑"/>
    </x:font>
    <x:font>
      <x:b/>
      <x:sz val="10"/>
      <x:color rgb="FF1F4E78"/>
      <x:name val="微软雅黑"/>
    </x:font>
    <x:font>
      <x:b/>
      <x:sz val="11"/>
      <x:color rgb="FFFFFFFF"/>
      <x:name val="微软雅黑"/>
    </x:font>
    <x:font>
      <x:b/>
      <x:sz val="9"/>
      <x:color rgb="FF1F1F1F"/>
      <x:name val="微软雅黑"/>
    </x:font>
    <x:font>
      <x:sz val="9"/>
      <x:color rgb="FF1F1F1F"/>
      <x:name val="微软雅黑"/>
    </x:font>
    <x:font>
      <x:b/>
      <x:sz val="9"/>
      <x:color rgb="FF1F4E78"/>
      <x:name val="微软雅黑"/>
    </x:font>
    <x:font>
      <x:b/>
      <x:sz val="8"/>
      <x:color rgb="FF1F1F1F"/>
      <x:name val="微软雅黑"/>
    </x:font>
    <x:font>
      <x:sz val="8"/>
      <x:color rgb="FF1F1F1F"/>
      <x:name val="微软雅黑"/>
    </x:font>
    <x:font>
      <x:sz val="8"/>
      <x:color rgb="FF9C5700"/>
      <x:name val="微软雅黑"/>
    </x:font>
  </x:fonts>
  <x:fills count="14">
    <x:fill>
      <x:patternFill patternType="none"/>
    </x:fill>
    <x:fill>
      <x:patternFill patternType="gray125"/>
    </x:fill>
    <x:fill>
      <x:patternFill patternType="solid">
        <x:fgColor rgb="FF4472C4"/>
      </x:patternFill>
    </x:fill>
    <x:fill>
      <x:patternFill patternType="solid">
        <x:fgColor rgb="FFD9E1F2"/>
      </x:patternFill>
    </x:fill>
    <x:fill>
      <x:patternFill patternType="solid">
        <x:fgColor rgb="FFE2F0D9"/>
      </x:patternFill>
    </x:fill>
    <x:fill>
      <x:patternFill patternType="solid">
        <x:fgColor rgb="FFFCE4D6"/>
      </x:patternFill>
    </x:fill>
    <x:fill>
      <x:patternFill patternType="solid">
        <x:fgColor rgb="FFDDEBF7"/>
      </x:patternFill>
    </x:fill>
    <x:fill>
      <x:patternFill patternType="solid">
        <x:fgColor rgb="FFE7E6E6"/>
      </x:patternFill>
    </x:fill>
    <x:fill>
      <x:patternFill patternType="solid">
        <x:fgColor rgb="FFFFF2CC"/>
      </x:patternFill>
    </x:fill>
    <x:fill>
      <x:patternFill patternType="solid">
        <x:fgColor rgb="FFFCE4D6"/>
      </x:patternFill>
    </x:fill>
    <x:fill>
      <x:patternFill patternType="solid">
        <x:fgColor rgb="FFE2F0D9"/>
      </x:patternFill>
    </x:fill>
    <x:fill>
      <x:patternFill patternType="solid">
        <x:fgColor rgb="FFDDEBF7"/>
      </x:patternFill>
    </x:fill>
    <x:fill>
      <x:patternFill patternType="solid">
        <x:fgColor rgb="FFE7E6E6"/>
      </x:patternFill>
    </x:fill>
    <x:fill>
      <x:patternFill patternType="solid">
        <x:fgColor rgb="FFFFF2CC"/>
      </x:patternFill>
    </x:fill>
  </x:fills>
  <x:borders count="2">
    <x:border/>
    <x:border>
      <x:left style="thin">
        <x:color rgb="FFBFBFBF"/>
      </x:left>
      <x:right style="thin">
        <x:color rgb="FFBFBFBF"/>
      </x:right>
      <x:top style="thin">
        <x:color rgb="FFBFBFBF"/>
      </x:top>
      <x:bottom style="thin">
        <x:color rgb="FFBFBFBF"/>
      </x:bottom>
    </x:border>
  </x:borders>
  <x:cellStyleXfs count="3">
    <x:xf numFmtId="0" fontId="0" fillId="0" borderId="0">
      <x:alignment vertical="center"/>
    </x:xf>
    <x:xf numFmtId="0" fontId="1" fillId="0" borderId="0"/>
    <x:xf numFmtId="0" fontId="1" fillId="0" borderId="0"/>
  </x:cellStyleXfs>
  <x:cellXfs count="83">
    <x:xf numFmtId="0" fontId="0" fillId="0" borderId="0" xfId="0">
      <x:alignment vertical="center"/>
    </x:xf>
    <x:xf numFmtId="0" fontId="2" fillId="0" borderId="0" xfId="1" applyFont="1" applyAlignment="1">
      <x:alignment vertical="top" wrapText="1"/>
    </x:xf>
    <x:xf numFmtId="0" fontId="1" fillId="0" borderId="0" xfId="2"/>
    <x:xf numFmtId="0" fontId="4" fillId="0" borderId="0" xfId="1" applyFont="1" applyAlignment="1">
      <x:alignment vertical="top" wrapText="1"/>
    </x:xf>
    <x:xf numFmtId="0" fontId="5" fillId="0" borderId="0" xfId="1" applyFont="1" applyAlignment="1">
      <x:alignment vertical="top" wrapText="1"/>
    </x:xf>
    <x:xf numFmtId="0" fontId="6" fillId="2" borderId="1" xfId="1" applyFont="1" applyFill="1" applyBorder="1" applyAlignment="1">
      <x:alignment horizontal="center" vertical="center" wrapText="1"/>
    </x:xf>
    <x:xf numFmtId="0" fontId="7" fillId="3" borderId="1" xfId="1" applyFont="1" applyFill="1" applyBorder="1" applyAlignment="1">
      <x:alignment horizontal="left" vertical="top" wrapText="1"/>
    </x:xf>
    <x:xf numFmtId="0" fontId="8" fillId="3" borderId="1" xfId="1" applyFont="1" applyFill="1" applyBorder="1" applyAlignment="1">
      <x:alignment horizontal="left" vertical="top" wrapText="1"/>
    </x:xf>
    <x:xf numFmtId="0" fontId="7" fillId="4" borderId="1" xfId="1" applyFont="1" applyFill="1" applyBorder="1" applyAlignment="1">
      <x:alignment horizontal="left" vertical="top" wrapText="1"/>
    </x:xf>
    <x:xf numFmtId="0" fontId="8" fillId="4" borderId="1" xfId="1" applyFont="1" applyFill="1" applyBorder="1" applyAlignment="1">
      <x:alignment horizontal="left" vertical="top" wrapText="1"/>
    </x:xf>
    <x:xf numFmtId="0" fontId="7" fillId="5" borderId="1" xfId="1" applyFont="1" applyFill="1" applyBorder="1" applyAlignment="1">
      <x:alignment horizontal="left" vertical="top" wrapText="1"/>
    </x:xf>
    <x:xf numFmtId="0" fontId="8" fillId="5" borderId="1" xfId="1" applyFont="1" applyFill="1" applyBorder="1" applyAlignment="1">
      <x:alignment horizontal="left" vertical="top" wrapText="1"/>
    </x:xf>
    <x:xf numFmtId="0" fontId="7" fillId="6" borderId="1" xfId="1" applyFont="1" applyFill="1" applyBorder="1" applyAlignment="1">
      <x:alignment horizontal="left" vertical="top" wrapText="1"/>
    </x:xf>
    <x:xf numFmtId="0" fontId="8" fillId="6" borderId="1" xfId="1" applyFont="1" applyFill="1" applyBorder="1" applyAlignment="1">
      <x:alignment horizontal="left" vertical="top" wrapText="1"/>
    </x:xf>
    <x:xf numFmtId="0" fontId="7" fillId="7" borderId="1" xfId="1" applyFont="1" applyFill="1" applyBorder="1" applyAlignment="1">
      <x:alignment horizontal="left" vertical="top" wrapText="1"/>
    </x:xf>
    <x:xf numFmtId="0" fontId="8" fillId="7" borderId="1" xfId="1" applyFont="1" applyFill="1" applyBorder="1" applyAlignment="1">
      <x:alignment horizontal="left" vertical="top" wrapText="1"/>
    </x:xf>
    <x:xf numFmtId="0" fontId="7" fillId="8" borderId="1" xfId="1" applyFont="1" applyFill="1" applyBorder="1" applyAlignment="1">
      <x:alignment horizontal="left" vertical="top" wrapText="1"/>
    </x:xf>
    <x:xf numFmtId="0" fontId="8" fillId="8" borderId="1" xfId="1" applyFont="1" applyFill="1" applyBorder="1" applyAlignment="1">
      <x:alignment horizontal="left" vertical="top" wrapText="1"/>
    </x:xf>
    <x:xf numFmtId="0" fontId="7" fillId="0" borderId="1" xfId="1" applyFont="1" applyBorder="1" applyAlignment="1">
      <x:alignment horizontal="left" vertical="top" wrapText="1"/>
    </x:xf>
    <x:xf numFmtId="0" fontId="8" fillId="0" borderId="1" xfId="1" applyFont="1" applyBorder="1" applyAlignment="1">
      <x:alignment horizontal="left" vertical="top" wrapText="1"/>
    </x:xf>
    <x:xf numFmtId="0" fontId="8" fillId="0" borderId="1" xfId="1" applyFont="1" applyBorder="1" applyAlignment="1">
      <x:alignment horizontal="left" vertical="top" wrapText="1"/>
    </x:xf>
    <x:xf numFmtId="0" fontId="9" fillId="0" borderId="1" xfId="1" applyFont="1" applyBorder="1" applyAlignment="1">
      <x:alignment horizontal="left" vertical="top" wrapText="1"/>
    </x:xf>
    <x:xf numFmtId="0" fontId="10" fillId="0" borderId="1" xfId="1" applyFont="1" applyBorder="1" applyAlignment="1">
      <x:alignment horizontal="left" vertical="top" wrapText="1"/>
    </x:xf>
    <x:xf numFmtId="0" fontId="11" fillId="0" borderId="1" xfId="1" applyFont="1" applyBorder="1" applyAlignment="1">
      <x:alignment horizontal="left" vertical="top" wrapText="1"/>
    </x:xf>
    <x:xf numFmtId="0" fontId="11" fillId="8" borderId="1" xfId="1" applyFont="1" applyFill="1" applyBorder="1" applyAlignment="1">
      <x:alignment horizontal="left" vertical="top" wrapText="1"/>
    </x:xf>
    <x:xf numFmtId="10" fontId="11" fillId="6" borderId="1" xfId="1" applyNumberFormat="1" applyFont="1" applyFill="1" applyBorder="1" applyAlignment="1">
      <x:alignment horizontal="left" vertical="top" wrapText="1"/>
    </x:xf>
    <x:xf numFmtId="0" fontId="11" fillId="6" borderId="1" xfId="1" applyFont="1" applyFill="1" applyBorder="1" applyAlignment="1">
      <x:alignment horizontal="left" vertical="top" wrapText="1"/>
    </x:xf>
    <x:xf numFmtId="0" fontId="5" fillId="0" borderId="0" xfId="0" applyNumberFormat="1" applyFont="1" applyFill="1" applyBorder="1" applyAlignment="1">
      <x:alignment vertical="center"/>
    </x:xf>
    <x:xf numFmtId="0" fontId="5" fillId="0" borderId="0" xfId="0" applyNumberFormat="1" applyFont="1" applyFill="1" applyBorder="1" applyAlignment="1">
      <x:alignment vertical="center" wrapText="1"/>
    </x:xf>
    <x:xf numFmtId="0" fontId="4" fillId="0" borderId="0" xfId="0" applyNumberFormat="1" applyFont="1" applyFill="1" applyBorder="1" applyAlignment="1">
      <x:alignment vertical="center"/>
    </x:xf>
    <x:xf numFmtId="0" fontId="4" fillId="0" borderId="0" xfId="0" applyNumberFormat="1" applyFont="1" applyFill="1" applyBorder="1" applyAlignment="1">
      <x:alignment vertical="center" wrapText="1"/>
    </x:xf>
    <x:xf numFmtId="0" fontId="0" fillId="9" borderId="0" xfId="0" applyNumberFormat="1" applyFont="1" applyFill="1" applyBorder="1" applyAlignment="1">
      <x:alignment vertical="center"/>
    </x:xf>
    <x:xf numFmtId="0" fontId="8" fillId="9" borderId="0" xfId="0" applyNumberFormat="1" applyFont="1" applyFill="1" applyBorder="1" applyAlignment="1">
      <x:alignment vertical="center"/>
    </x:xf>
    <x:xf numFmtId="0" fontId="8" fillId="9" borderId="1" xfId="0" applyNumberFormat="1" applyFont="1" applyFill="1" applyBorder="1" applyAlignment="1">
      <x:alignment vertical="center"/>
    </x:xf>
    <x:xf numFmtId="0" fontId="8" fillId="9" borderId="1" xfId="0" applyNumberFormat="1" applyFont="1" applyFill="1" applyBorder="1" applyAlignment="1">
      <x:alignment vertical="center" wrapText="1"/>
    </x:xf>
    <x:xf numFmtId="0" fontId="8" fillId="9" borderId="1" xfId="0" applyNumberFormat="1" applyFont="1" applyFill="1" applyBorder="1" applyAlignment="1">
      <x:alignment horizontal="left" vertical="center" wrapText="1"/>
    </x:xf>
    <x:xf numFmtId="0" fontId="8" fillId="9" borderId="1" xfId="0" applyNumberFormat="1" applyFont="1" applyFill="1" applyBorder="1" applyAlignment="1">
      <x:alignment horizontal="left" vertical="top" wrapText="1"/>
    </x:xf>
    <x:xf numFmtId="0" fontId="7" fillId="9" borderId="1" xfId="0" applyNumberFormat="1" applyFont="1" applyFill="1" applyBorder="1" applyAlignment="1">
      <x:alignment horizontal="left" vertical="top" wrapText="1"/>
    </x:xf>
    <x:xf numFmtId="0" fontId="8" fillId="0" borderId="0" xfId="0" applyNumberFormat="1" applyFont="1" applyFill="1" applyBorder="1" applyAlignment="1">
      <x:alignment vertical="center"/>
    </x:xf>
    <x:xf numFmtId="0" fontId="8" fillId="0" borderId="1" xfId="0" applyNumberFormat="1" applyFont="1" applyFill="1" applyBorder="1" applyAlignment="1">
      <x:alignment vertical="center"/>
    </x:xf>
    <x:xf numFmtId="0" fontId="8" fillId="0" borderId="1" xfId="0" applyNumberFormat="1" applyFont="1" applyFill="1" applyBorder="1" applyAlignment="1">
      <x:alignment vertical="center" wrapText="1"/>
    </x:xf>
    <x:xf numFmtId="0" fontId="8" fillId="0" borderId="1" xfId="0" applyNumberFormat="1" applyFont="1" applyFill="1" applyBorder="1" applyAlignment="1">
      <x:alignment horizontal="left" vertical="center" wrapText="1"/>
    </x:xf>
    <x:xf numFmtId="0" fontId="8" fillId="0" borderId="1" xfId="0" applyNumberFormat="1" applyFont="1" applyFill="1" applyBorder="1" applyAlignment="1">
      <x:alignment horizontal="left" vertical="top" wrapText="1"/>
    </x:xf>
    <x:xf numFmtId="0" fontId="7" fillId="0" borderId="1" xfId="0" applyNumberFormat="1" applyFont="1" applyFill="1" applyBorder="1" applyAlignment="1">
      <x:alignment horizontal="left" vertical="top" wrapText="1"/>
    </x:xf>
    <x:xf numFmtId="0" fontId="0" fillId="10" borderId="0" xfId="0" applyNumberFormat="1" applyFont="1" applyFill="1" applyBorder="1" applyAlignment="1">
      <x:alignment vertical="center"/>
    </x:xf>
    <x:xf numFmtId="0" fontId="8" fillId="10" borderId="0" xfId="0" applyNumberFormat="1" applyFont="1" applyFill="1" applyBorder="1" applyAlignment="1">
      <x:alignment vertical="center"/>
    </x:xf>
    <x:xf numFmtId="0" fontId="8" fillId="10" borderId="1" xfId="0" applyNumberFormat="1" applyFont="1" applyFill="1" applyBorder="1" applyAlignment="1">
      <x:alignment vertical="center"/>
    </x:xf>
    <x:xf numFmtId="0" fontId="8" fillId="10" borderId="1" xfId="0" applyNumberFormat="1" applyFont="1" applyFill="1" applyBorder="1" applyAlignment="1">
      <x:alignment vertical="center" wrapText="1"/>
    </x:xf>
    <x:xf numFmtId="0" fontId="8" fillId="10" borderId="1" xfId="0" applyNumberFormat="1" applyFont="1" applyFill="1" applyBorder="1" applyAlignment="1">
      <x:alignment horizontal="left" vertical="center" wrapText="1"/>
    </x:xf>
    <x:xf numFmtId="0" fontId="8" fillId="10" borderId="1" xfId="0" applyNumberFormat="1" applyFont="1" applyFill="1" applyBorder="1" applyAlignment="1">
      <x:alignment horizontal="left" vertical="top" wrapText="1"/>
    </x:xf>
    <x:xf numFmtId="0" fontId="7" fillId="10" borderId="1" xfId="0" applyNumberFormat="1" applyFont="1" applyFill="1" applyBorder="1" applyAlignment="1">
      <x:alignment horizontal="left" vertical="top" wrapText="1"/>
    </x:xf>
    <x:xf numFmtId="0" fontId="0" fillId="11" borderId="0" xfId="0" applyNumberFormat="1" applyFont="1" applyFill="1" applyBorder="1" applyAlignment="1">
      <x:alignment vertical="center"/>
    </x:xf>
    <x:xf numFmtId="0" fontId="8" fillId="11" borderId="0" xfId="0" applyNumberFormat="1" applyFont="1" applyFill="1" applyBorder="1" applyAlignment="1">
      <x:alignment vertical="center"/>
    </x:xf>
    <x:xf numFmtId="0" fontId="8" fillId="11" borderId="1" xfId="0" applyNumberFormat="1" applyFont="1" applyFill="1" applyBorder="1" applyAlignment="1">
      <x:alignment vertical="center"/>
    </x:xf>
    <x:xf numFmtId="0" fontId="8" fillId="11" borderId="1" xfId="0" applyNumberFormat="1" applyFont="1" applyFill="1" applyBorder="1" applyAlignment="1">
      <x:alignment vertical="center" wrapText="1"/>
    </x:xf>
    <x:xf numFmtId="0" fontId="8" fillId="11" borderId="1" xfId="0" applyNumberFormat="1" applyFont="1" applyFill="1" applyBorder="1" applyAlignment="1">
      <x:alignment horizontal="left" vertical="center" wrapText="1"/>
    </x:xf>
    <x:xf numFmtId="0" fontId="8" fillId="11" borderId="1" xfId="0" applyNumberFormat="1" applyFont="1" applyFill="1" applyBorder="1" applyAlignment="1">
      <x:alignment horizontal="left" vertical="top" wrapText="1"/>
    </x:xf>
    <x:xf numFmtId="0" fontId="7" fillId="11" borderId="1" xfId="0" applyNumberFormat="1" applyFont="1" applyFill="1" applyBorder="1" applyAlignment="1">
      <x:alignment horizontal="left" vertical="top" wrapText="1"/>
    </x:xf>
    <x:xf numFmtId="0" fontId="0" fillId="12" borderId="0" xfId="0" applyNumberFormat="1" applyFont="1" applyFill="1" applyBorder="1" applyAlignment="1">
      <x:alignment vertical="center"/>
    </x:xf>
    <x:xf numFmtId="0" fontId="8" fillId="12" borderId="0" xfId="0" applyNumberFormat="1" applyFont="1" applyFill="1" applyBorder="1" applyAlignment="1">
      <x:alignment vertical="center"/>
    </x:xf>
    <x:xf numFmtId="0" fontId="8" fillId="12" borderId="1" xfId="0" applyNumberFormat="1" applyFont="1" applyFill="1" applyBorder="1" applyAlignment="1">
      <x:alignment vertical="center"/>
    </x:xf>
    <x:xf numFmtId="0" fontId="8" fillId="12" borderId="1" xfId="0" applyNumberFormat="1" applyFont="1" applyFill="1" applyBorder="1" applyAlignment="1">
      <x:alignment vertical="center" wrapText="1"/>
    </x:xf>
    <x:xf numFmtId="0" fontId="8" fillId="12" borderId="1" xfId="0" applyNumberFormat="1" applyFont="1" applyFill="1" applyBorder="1" applyAlignment="1">
      <x:alignment horizontal="left" vertical="center" wrapText="1"/>
    </x:xf>
    <x:xf numFmtId="0" fontId="8" fillId="12" borderId="1" xfId="0" applyNumberFormat="1" applyFont="1" applyFill="1" applyBorder="1" applyAlignment="1">
      <x:alignment horizontal="left" vertical="top" wrapText="1"/>
    </x:xf>
    <x:xf numFmtId="0" fontId="7" fillId="12" borderId="1" xfId="0" applyNumberFormat="1" applyFont="1" applyFill="1" applyBorder="1" applyAlignment="1">
      <x:alignment horizontal="left" vertical="top" wrapText="1"/>
    </x:xf>
    <x:xf numFmtId="0" fontId="0" fillId="13" borderId="0" xfId="0" applyNumberFormat="1" applyFont="1" applyFill="1" applyBorder="1" applyAlignment="1">
      <x:alignment vertical="center"/>
    </x:xf>
    <x:xf numFmtId="0" fontId="8" fillId="13" borderId="0" xfId="0" applyNumberFormat="1" applyFont="1" applyFill="1" applyBorder="1" applyAlignment="1">
      <x:alignment vertical="center"/>
    </x:xf>
    <x:xf numFmtId="0" fontId="8" fillId="13" borderId="1" xfId="0" applyNumberFormat="1" applyFont="1" applyFill="1" applyBorder="1" applyAlignment="1">
      <x:alignment vertical="center"/>
    </x:xf>
    <x:xf numFmtId="0" fontId="8" fillId="13" borderId="1" xfId="0" applyNumberFormat="1" applyFont="1" applyFill="1" applyBorder="1" applyAlignment="1">
      <x:alignment vertical="center" wrapText="1"/>
    </x:xf>
    <x:xf numFmtId="0" fontId="8" fillId="13" borderId="1" xfId="0" applyNumberFormat="1" applyFont="1" applyFill="1" applyBorder="1" applyAlignment="1">
      <x:alignment horizontal="left" vertical="center" wrapText="1"/>
    </x:xf>
    <x:xf numFmtId="0" fontId="8" fillId="13" borderId="1" xfId="0" applyNumberFormat="1" applyFont="1" applyFill="1" applyBorder="1" applyAlignment="1">
      <x:alignment horizontal="left" vertical="top" wrapText="1"/>
    </x:xf>
    <x:xf numFmtId="0" fontId="7" fillId="13" borderId="1" xfId="0" applyNumberFormat="1" applyFont="1" applyFill="1" applyBorder="1" applyAlignment="1">
      <x:alignment horizontal="left" vertical="top" wrapText="1"/>
    </x:xf>
    <x:xf numFmtId="0" fontId="11" fillId="0" borderId="0" xfId="0" applyNumberFormat="1" applyFont="1" applyFill="1" applyBorder="1" applyAlignment="1">
      <x:alignment vertical="center"/>
    </x:xf>
    <x:xf numFmtId="0" fontId="11" fillId="0" borderId="1" xfId="0" applyNumberFormat="1" applyFont="1" applyFill="1" applyBorder="1" applyAlignment="1">
      <x:alignment vertical="center"/>
    </x:xf>
    <x:xf numFmtId="0" fontId="11" fillId="0" borderId="1" xfId="0" applyNumberFormat="1" applyFont="1" applyFill="1" applyBorder="1" applyAlignment="1">
      <x:alignment vertical="center" wrapText="1"/>
    </x:xf>
    <x:xf numFmtId="0" fontId="11" fillId="0" borderId="1" xfId="0" applyNumberFormat="1" applyFont="1" applyFill="1" applyBorder="1" applyAlignment="1">
      <x:alignment horizontal="left" vertical="center" wrapText="1"/>
    </x:xf>
    <x:xf numFmtId="0" fontId="11" fillId="0" borderId="1" xfId="0" applyNumberFormat="1" applyFont="1" applyFill="1" applyBorder="1" applyAlignment="1">
      <x:alignment horizontal="left" vertical="top" wrapText="1"/>
    </x:xf>
    <x:xf numFmtId="0" fontId="10" fillId="0" borderId="1" xfId="0" applyNumberFormat="1" applyFont="1" applyFill="1" applyBorder="1" applyAlignment="1">
      <x:alignment horizontal="left" vertical="top" wrapText="1"/>
    </x:xf>
    <x:xf numFmtId="0" fontId="11" fillId="13" borderId="1" xfId="0" applyNumberFormat="1" applyFont="1" applyFill="1" applyBorder="1" applyAlignment="1">
      <x:alignment horizontal="left" vertical="top" wrapText="1"/>
    </x:xf>
    <x:xf numFmtId="0" fontId="11" fillId="11" borderId="1" xfId="0" applyNumberFormat="1" applyFont="1" applyFill="1" applyBorder="1" applyAlignment="1">
      <x:alignment horizontal="left" vertical="top" wrapText="1"/>
    </x:xf>
    <x:xf numFmtId="0" fontId="12" fillId="13" borderId="1" xfId="0" applyNumberFormat="1" applyFont="1" applyFill="1" applyBorder="1" applyAlignment="1">
      <x:alignment horizontal="left" vertical="top" wrapText="1"/>
    </x:xf>
    <x:xf numFmtId="200" fontId="11" fillId="6" borderId="1" xfId="0" applyNumberFormat="1" applyFont="1" applyFill="1" applyBorder="1" applyAlignment="1">
      <x:alignment horizontal="left" vertical="top" wrapText="1"/>
    </x:xf>
    <x:xf numFmtId="200" fontId="11" fillId="11" borderId="1" xfId="0" applyNumberFormat="1" applyFont="1" applyFill="1" applyBorder="1" applyAlignment="1">
      <x:alignment horizontal="left" vertical="top" wrapText="1"/>
    </x:xf>
  </x:cellXfs>
  <x:cellStyles count="3">
    <x:cellStyle name="Normal" xfId="1"/>
    <x:cellStyle name="常规" xfId="0"/>
    <x:cellStyle name="常规 2" xfId="2"/>
  </x:cellStyles>
  <x:dxfs count="3">
    <x:dxf>
      <x:font>
        <x:color rgb="FF9C5700"/>
      </x:font>
      <x:fill>
        <x:patternFill>
          <x:bgColor rgb="FFFFF2CC"/>
        </x:patternFill>
      </x:fill>
    </x:dxf>
    <x:dxf>
      <x:font>
        <x:b/>
        <x:color rgb="FF9C0006"/>
      </x:font>
      <x:fill>
        <x:patternFill>
          <x:bgColor rgb="FFF4CCCC"/>
        </x:patternFill>
      </x:fill>
    </x:dxf>
    <x:dxf>
      <x:font>
        <x:b/>
        <x:color rgb="FF9C5700"/>
      </x:font>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3e4484662474239" /><Relationship Type="http://schemas.openxmlformats.org/officeDocument/2006/relationships/theme" Target="/xl/theme/theme1.xml" Id="Ra31cb91b8a324410" /><Relationship Type="http://schemas.openxmlformats.org/officeDocument/2006/relationships/sharedStrings" Target="/xl/sharedStrings.xml" Id="R08fe49a4c1c64cb6" /><Relationship Type="http://schemas.openxmlformats.org/officeDocument/2006/relationships/worksheet" Target="/xl/worksheets/sheet1.xml" Id="R74568ab0eb784053" /><Relationship Type="http://schemas.openxmlformats.org/officeDocument/2006/relationships/worksheet" Target="/xl/worksheets/sheet2.xml" Id="R4377db08cd7f459a" /><Relationship Type="http://schemas.openxmlformats.org/officeDocument/2006/relationships/worksheet" Target="/xl/worksheets/sheet3.xml" Id="Rc33a10bdf55e4973" /><Relationship Type="http://schemas.openxmlformats.org/officeDocument/2006/relationships/worksheet" Target="/xl/worksheets/sheet4.xml" Id="R90b9983535b442d1" /><Relationship Type="http://schemas.openxmlformats.org/officeDocument/2006/relationships/worksheet" Target="/xl/worksheets/sheet5.xml" Id="Rdebf7eee778c42d4" /><Relationship Type="http://schemas.openxmlformats.org/officeDocument/2006/relationships/worksheet" Target="/xl/worksheets/sheet6.xml" Id="Re96cf808f16543d5" /><Relationship Type="http://schemas.openxmlformats.org/officeDocument/2006/relationships/worksheet" Target="/xl/worksheets/sheet7.xml" Id="Rcc4cbf4d58cd42f9" /><Relationship Type="http://schemas.openxmlformats.org/officeDocument/2006/relationships/worksheet" Target="/xl/worksheets/sheet8.xml" Id="R07ca779d8a424044" /><Relationship Type="http://schemas.openxmlformats.org/officeDocument/2006/relationships/worksheet" Target="/xl/worksheets/sheet9.xml" Id="Rad63a88482034eac" /></Relationships>
</file>

<file path=xl/tables/table1.xml><?xml version="1.0" encoding="utf-8"?>
<x:table xmlns:x="http://schemas.openxmlformats.org/spreadsheetml/2006/main" id="1" name="ExistingResearch" displayName="ExistingResearch" ref="A1:G7" totalsRowShown="0">
  <x:autoFilter ref="A1:G7"/>
  <x:tableColumns count="7">
    <x:tableColumn id="1" name="单元"/>
    <x:tableColumn id="2" name="作用"/>
    <x:tableColumn id="3" name="现有文章"/>
    <x:tableColumn id="4" name="现有文章结果"/>
    <x:tableColumn id="5" name="指标口径"/>
    <x:tableColumn id="6" name="证据直接性"/>
    <x:tableColumn id="7" name="研究空白/本方案增量"/>
  </x:tableColumns>
  <x:tableStyleInfo name="TableStyleMedium2" showFirstColumn="0" showLastColumn="0" showRowStripes="0" showColumnStripes="0"/>
</x:table>
</file>

<file path=xl/tables/table2.xml><?xml version="1.0" encoding="utf-8"?>
<x:table xmlns:x="http://schemas.openxmlformats.org/spreadsheetml/2006/main" id="2" name="LSUParameters" displayName="LSUParameters" ref="A1:E20" totalsRowShown="0">
  <x:autoFilter ref="A1:E20"/>
  <x:tableColumns count="5">
    <x:tableColumn id="1" name="结构/参数"/>
    <x:tableColumn id="2" name="B0最终值"/>
    <x:tableColumn id="3" name="处理"/>
    <x:tableColumn id="4" name="依据/合理性判断"/>
    <x:tableColumn id="5" name="敏感性配置"/>
  </x:tableColumns>
  <x:tableStyleInfo name="TableStyleMedium2" showFirstColumn="0" showLastColumn="0" showRowStripes="0" showColumnStripes="0"/>
</x:table>
</file>

<file path=xl/tables/table3.xml><?xml version="1.0" encoding="utf-8"?>
<x:table xmlns:x="http://schemas.openxmlformats.org/spreadsheetml/2006/main" id="3" name="ObservationLevels" displayName="ObservationLevels" ref="A1:F7" totalsRowShown="0">
  <x:autoFilter ref="A1:F7"/>
  <x:tableColumns count="6">
    <x:tableColumn id="1" name="层级"/>
    <x:tableColumn id="2" name="名称"/>
    <x:tableColumn id="3" name="定义"/>
    <x:tableColumn id="4" name="必须采集量"/>
    <x:tableColumn id="5" name="适用范围"/>
    <x:tableColumn id="6" name="判定规则"/>
  </x:tableColumns>
  <x:tableStyleInfo name="TableStyleMedium2" showFirstColumn="0" showLastColumn="0" showRowStripes="0" showColumnStripes="0"/>
</x:table>
</file>

<file path=xl/tables/table4.xml><?xml version="1.0" encoding="utf-8"?>
<x:table xmlns:x="http://schemas.openxmlformats.org/spreadsheetml/2006/main" id="4" name="FrequencyTiers" displayName="FrequencyTiers" ref="A1:E8" totalsRowShown="0">
  <x:autoFilter ref="A1:E8"/>
  <x:tableColumns count="5">
    <x:tableColumn id="1" name="档位"/>
    <x:tableColumn id="2" name="名称"/>
    <x:tableColumn id="3" name="定义"/>
    <x:tableColumn id="4" name="适用故障"/>
    <x:tableColumn id="5" name="设计意图"/>
  </x:tableColumns>
  <x:tableStyleInfo name="TableStyleMedium2" showFirstColumn="0" showLastColumn="0" showRowStripes="0" showColumnStripes="0"/>
</x:table>
</file>

<file path=xl/tables/table5.xml><?xml version="1.0" encoding="utf-8"?>
<x:table xmlns:x="http://schemas.openxmlformats.org/spreadsheetml/2006/main" id="5" name="StatRules" displayName="StatRules" ref="A11:F18" totalsRowShown="0">
  <x:autoFilter ref="A11:F18"/>
  <x:tableColumns count="6">
    <x:tableColumn id="1" name="统计项"/>
    <x:tableColumn id="2" name="规则/公式"/>
    <x:tableColumn id="3" name="筛查目标"/>
    <x:tableColumn id="4" name="主结果目标"/>
    <x:tableColumn id="5" name="原因"/>
    <x:tableColumn id="6" name="备注"/>
  </x:tableColumns>
  <x:tableStyleInfo name="TableStyleMedium2" showFirstColumn="0" showLastColumn="0" showRowStripes="0" showColumnStripes="0"/>
</x:table>
</file>

<file path=xl/tables/table6.xml><?xml version="1.0" encoding="utf-8"?>
<x:table xmlns:x="http://schemas.openxmlformats.org/spreadsheetml/2006/main" id="6" name="Workloads" displayName="Workloads" ref="A1:F13" totalsRowShown="0">
  <x:autoFilter ref="A1:F13"/>
  <x:tableColumns count="6">
    <x:tableColumn id="1" name="负载ID"/>
    <x:tableColumn id="2" name="名称"/>
    <x:tableColumn id="3" name="类型"/>
    <x:tableColumn id="4" name="定义/输入与oracle"/>
    <x:tableColumn id="5" name="主要覆盖单元"/>
    <x:tableColumn id="6" name="模式"/>
  </x:tableColumns>
  <x:tableStyleInfo name="TableStyleMedium2" showFirstColumn="0" showLastColumn="0" showRowStripes="0" showColumnStripes="0"/>
</x:table>
</file>

<file path=xl/tables/table7.xml><?xml version="1.0" encoding="utf-8"?>
<x:table xmlns:x="http://schemas.openxmlformats.org/spreadsheetml/2006/main" id="7" name="Sources" displayName="Sources" ref="A1:F12" totalsRowShown="0">
  <x:autoFilter ref="A1:F12"/>
  <x:tableColumns count="6">
    <x:tableColumn id="1" name="代码"/>
    <x:tableColumn id="2" name="标题/资源"/>
    <x:tableColumn id="3" name="类型/发表"/>
    <x:tableColumn id="4" name="核对方式"/>
    <x:tableColumn id="5" name="本工作簿用途"/>
    <x:tableColumn id="6" name="定位"/>
  </x:tableColumns>
  <x:tableStyleInfo name="TableStyleMedium2" showFirstColumn="0" showLastColumn="0" showRowStripes="0" showColumnStripes="0"/>
</x: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772e01b17a94455" /></Relationships>
</file>

<file path=xl/worksheets/_rels/sheet3.xml.rels>&#65279;<?xml version="1.0" encoding="utf-8"?><Relationships xmlns="http://schemas.openxmlformats.org/package/2006/relationships"><Relationship Type="http://schemas.openxmlformats.org/officeDocument/2006/relationships/table" Target="/xl/tables/table2.xml" Id="R3bc63b978d54464a" /></Relationships>
</file>

<file path=xl/worksheets/_rels/sheet5.xml.rels>&#65279;<?xml version="1.0" encoding="utf-8"?><Relationships xmlns="http://schemas.openxmlformats.org/package/2006/relationships"><Relationship Type="http://schemas.openxmlformats.org/officeDocument/2006/relationships/table" Target="/xl/tables/table3.xml" Id="R5f9f06b3ece249a9" /></Relationships>
</file>

<file path=xl/worksheets/_rels/sheet6.xml.rels>&#65279;<?xml version="1.0" encoding="utf-8"?><Relationships xmlns="http://schemas.openxmlformats.org/package/2006/relationships"><Relationship Type="http://schemas.openxmlformats.org/officeDocument/2006/relationships/table" Target="/xl/tables/table4.xml" Id="R6ea4b6a3a5454f0e" /><Relationship Type="http://schemas.openxmlformats.org/officeDocument/2006/relationships/table" Target="/xl/tables/table5.xml" Id="R21ec4784ee214b23" /></Relationships>
</file>

<file path=xl/worksheets/_rels/sheet7.xml.rels>&#65279;<?xml version="1.0" encoding="utf-8"?><Relationships xmlns="http://schemas.openxmlformats.org/package/2006/relationships"><Relationship Type="http://schemas.openxmlformats.org/officeDocument/2006/relationships/table" Target="/xl/tables/table6.xml" Id="R8194f0a9ea354d2f" /></Relationships>
</file>

<file path=xl/worksheets/_rels/sheet9.xml.rels>&#65279;<?xml version="1.0" encoding="utf-8"?><Relationships xmlns="http://schemas.openxmlformats.org/package/2006/relationships"><Relationship Type="http://schemas.openxmlformats.org/officeDocument/2006/relationships/table" Target="/xl/tables/table7.xml" Id="R73e4310a56ac4ea7" /></Relationships>
</file>

<file path=xl/worksheets/sheet1.xml><?xml version="1.0" encoding="utf-8"?>
<x:worksheet xmlns:x="http://schemas.openxmlformats.org/spreadsheetml/2006/main">
  <x:sheetPr>
    <x:tabColor rgb="FF1F4E78"/>
  </x:sheetPr>
  <x:sheetViews>
    <x:sheetView showGridLines="0" workbookViewId="0"/>
  </x:sheetViews>
  <x:sheetFormatPr defaultRowHeight="14.25"/>
  <x:cols>
    <x:col min="1" max="1" width="135" style="2" customWidth="1"/>
    <x:col min="2" max="16384" width="9" style="2" customWidth="0"/>
  </x:cols>
  <x:sheetData>
    <x:row r="1" ht="27.950000762939453" customHeight="1">
      <x:c r="A1" s="1" t="s">
        <x:v>0</x:v>
      </x:c>
    </x:row>
    <x:row r="2" ht="16.5">
      <x:c r="A2" s="3"/>
    </x:row>
    <x:row r="3" ht="15" customHeight="1">
      <x:c r="A3" s="3" t="str">
        <x:v>范围：AGU、L1d-TLB、Load Queue、Store Queue、L1d-Cache、原子与同步、数据预取器。</x:v>
      </x:c>
    </x:row>
    <x:row r="4" ht="15" customHeight="1">
      <x:c r="A4" s="3" t="s">
        <x:v>1</x:v>
      </x:c>
    </x:row>
    <x:row r="5" ht="24" customHeight="1">
      <x:c r="A5" s="3" t="s">
        <x:v>2</x:v>
      </x:c>
    </x:row>
    <x:row r="6" ht="15" customHeight="1">
      <x:c r="A6" s="3"/>
    </x:row>
    <x:row r="7" ht="15" customHeight="1">
      <x:c r="A7" s="4" t="s">
        <x:v>3</x:v>
      </x:c>
    </x:row>
    <x:row r="8" ht="15" customHeight="1">
      <x:c r="A8" s="3" t="s">
        <x:v>4</x:v>
      </x:c>
    </x:row>
    <x:row r="9" ht="15" customHeight="1">
      <x:c r="A9" s="3" t="s">
        <x:v>5</x:v>
      </x:c>
    </x:row>
    <x:row r="10" ht="15" customHeight="1">
      <x:c r="A10" s="3" t="s">
        <x:v>6</x:v>
      </x:c>
    </x:row>
    <x:row r="11" ht="15" customHeight="1">
      <x:c r="A11" s="3" t="s">
        <x:v>7</x:v>
      </x:c>
    </x:row>
    <x:row r="12" ht="15" customHeight="1">
      <x:c r="A12" s="3" t="s">
        <x:v>8</x:v>
      </x:c>
    </x:row>
    <x:row r="13" ht="15" customHeight="1">
      <x:c r="A13" s="3" t="s">
        <x:v>9</x:v>
      </x:c>
    </x:row>
    <x:row r="14" ht="15" customHeight="1">
      <x:c r="A14" s="3" t="s">
        <x:v>10</x:v>
      </x:c>
    </x:row>
    <x:row r="15" ht="15" customHeight="1">
      <x:c r="A15" s="3" t="s">
        <x:v>11</x:v>
      </x:c>
    </x:row>
    <x:row r="16" ht="15" customHeight="1">
      <x:c r="A16" s="3"/>
    </x:row>
    <x:row r="17" ht="15" customHeight="1">
      <x:c r="A17" s="4" t="s">
        <x:v>12</x:v>
      </x:c>
    </x:row>
    <x:row r="18" ht="15" customHeight="1">
      <x:c r="A18" s="3" t="s">
        <x:v>13</x:v>
      </x:c>
    </x:row>
    <x:row r="19" ht="15" customHeight="1">
      <x:c r="A19" s="3" t="s">
        <x:v>14</x:v>
      </x:c>
    </x:row>
    <x:row r="20" ht="24" customHeight="1">
      <x:c r="A20" s="3" t="s">
        <x:v>15</x:v>
      </x:c>
    </x:row>
    <x:row r="21" ht="15" customHeight="1">
      <x:c r="A21" s="3" t="s">
        <x:v>16</x:v>
      </x:c>
    </x:row>
    <x:row r="22" ht="15" customHeight="1">
      <x:c r="A22" s="3" t="s">
        <x:v>17</x:v>
      </x:c>
    </x:row>
    <x:row r="24" ht="24" customHeight="1">
      <x:c r="A24" s="28" t="str">
        <x:v>完善版增量</x:v>
      </x:c>
    </x:row>
    <x:row r="25" ht="48" customHeight="1">
      <x:c r="A25" s="30" t="str">
        <x:v>补充PPN与SQ基础对照、Load Queue、MSHR资源记账、原子操作数、预取触发脏驱逐、真实应用负载，以及F1-F4按运行聚类的统计规则；原58条模型扩展为68条。</x:v>
      </x:c>
    </x:row>
  </x:sheetData>
  <x:pageMargins left="0.7" right="0.7" top="0.75" bottom="0.75" header="0.3" footer="0.3"/>
</x:worksheet>
</file>

<file path=xl/worksheets/sheet2.xml><?xml version="1.0" encoding="utf-8"?>
<x:worksheet xmlns:x="http://schemas.openxmlformats.org/spreadsheetml/2006/main">
  <x:sheetPr>
    <x:tabColor rgb="FF4472C4"/>
  </x:sheetPr>
  <x:sheetViews>
    <x:sheetView showGridLines="0" workbookViewId="0">
      <x:pane xSplit="1" ySplit="1" topLeftCell="B2" activePane="bottomRight" state="frozen"/>
    </x:sheetView>
  </x:sheetViews>
  <x:sheetFormatPr defaultRowHeight="14.25"/>
  <x:cols>
    <x:col min="1" max="1" width="15" style="2" customWidth="1"/>
    <x:col min="2" max="2" width="34" style="2" customWidth="1"/>
    <x:col min="3" max="3" width="58" style="2" customWidth="1"/>
    <x:col min="4" max="4" width="60" style="2" customWidth="1"/>
    <x:col min="5" max="5" width="25" style="2" customWidth="1"/>
    <x:col min="6" max="6" width="17" style="2" customWidth="1"/>
    <x:col min="7" max="7" width="34" style="2" customWidth="1"/>
    <x:col min="8" max="16384" width="9" style="2" customWidth="0"/>
  </x:cols>
  <x:sheetData>
    <x:row r="1" ht="33.95000076293945" customHeight="1">
      <x:c r="A1" s="5" t="s">
        <x:v>18</x:v>
      </x:c>
      <x:c r="B1" s="5" t="s">
        <x:v>19</x:v>
      </x:c>
      <x:c r="C1" s="5" t="s">
        <x:v>20</x:v>
      </x:c>
      <x:c r="D1" s="5" t="s">
        <x:v>21</x:v>
      </x:c>
      <x:c r="E1" s="5" t="s">
        <x:v>22</x:v>
      </x:c>
      <x:c r="F1" s="5" t="s">
        <x:v>23</x:v>
      </x:c>
      <x:c r="G1" s="5" t="s">
        <x:v>24</x:v>
      </x:c>
    </x:row>
    <x:row r="2" ht="122.0999984741211" customHeight="1">
      <x:c r="A2" s="6" t="s">
        <x:v>25</x:v>
      </x:c>
      <x:c r="B2" s="7" t="s">
        <x:v>26</x:v>
      </x:c>
      <x:c r="C2" s="7" t="s">
        <x:v>27</x:v>
      </x:c>
      <x:c r="D2" s="7" t="s">
        <x:v>28</x:v>
      </x:c>
      <x:c r="E2" s="7" t="s">
        <x:v>29</x:v>
      </x:c>
      <x:c r="F2" s="7" t="s">
        <x:v>30</x:v>
      </x:c>
      <x:c r="G2" s="7" t="s">
        <x:v>31</x:v>
      </x:c>
    </x:row>
    <x:row r="3" ht="122.0999984741211" customHeight="1">
      <x:c r="A3" s="8" t="s">
        <x:v>32</x:v>
      </x:c>
      <x:c r="B3" s="9" t="s">
        <x:v>33</x:v>
      </x:c>
      <x:c r="C3" s="9" t="s">
        <x:v>34</x:v>
      </x:c>
      <x:c r="D3" s="9" t="s">
        <x:v>35</x:v>
      </x:c>
      <x:c r="E3" s="9" t="s">
        <x:v>36</x:v>
      </x:c>
      <x:c r="F3" s="9" t="s">
        <x:v>37</x:v>
      </x:c>
      <x:c r="G3" s="9" t="s">
        <x:v>38</x:v>
      </x:c>
    </x:row>
    <x:row r="4" ht="122.0999984741211" customHeight="1">
      <x:c r="A4" s="10" t="s">
        <x:v>39</x:v>
      </x:c>
      <x:c r="B4" s="11" t="s">
        <x:v>40</x:v>
      </x:c>
      <x:c r="C4" s="11" t="s">
        <x:v>41</x:v>
      </x:c>
      <x:c r="D4" s="11" t="s">
        <x:v>42</x:v>
      </x:c>
      <x:c r="E4" s="11" t="s">
        <x:v>43</x:v>
      </x:c>
      <x:c r="F4" s="11" t="s">
        <x:v>44</x:v>
      </x:c>
      <x:c r="G4" s="11" t="s">
        <x:v>45</x:v>
      </x:c>
    </x:row>
    <x:row r="5" ht="122.0999984741211" customHeight="1">
      <x:c r="A5" s="12" t="s">
        <x:v>46</x:v>
      </x:c>
      <x:c r="B5" s="13" t="s">
        <x:v>47</x:v>
      </x:c>
      <x:c r="C5" s="13" t="s">
        <x:v>48</x:v>
      </x:c>
      <x:c r="D5" s="13" t="s">
        <x:v>49</x:v>
      </x:c>
      <x:c r="E5" s="13" t="s">
        <x:v>50</x:v>
      </x:c>
      <x:c r="F5" s="13" t="s">
        <x:v>37</x:v>
      </x:c>
      <x:c r="G5" s="13" t="s">
        <x:v>51</x:v>
      </x:c>
    </x:row>
    <x:row r="6" ht="122.0999984741211" customHeight="1">
      <x:c r="A6" s="14" t="s">
        <x:v>52</x:v>
      </x:c>
      <x:c r="B6" s="15" t="s">
        <x:v>53</x:v>
      </x:c>
      <x:c r="C6" s="15" t="s">
        <x:v>54</x:v>
      </x:c>
      <x:c r="D6" s="15" t="s">
        <x:v>28</x:v>
      </x:c>
      <x:c r="E6" s="15" t="s">
        <x:v>29</x:v>
      </x:c>
      <x:c r="F6" s="15" t="s">
        <x:v>55</x:v>
      </x:c>
      <x:c r="G6" s="15" t="s">
        <x:v>56</x:v>
      </x:c>
    </x:row>
    <x:row r="7" ht="122.0999984741211" customHeight="1">
      <x:c r="A7" s="16" t="s">
        <x:v>57</x:v>
      </x:c>
      <x:c r="B7" s="17" t="s">
        <x:v>58</x:v>
      </x:c>
      <x:c r="C7" s="17" t="s">
        <x:v>59</x:v>
      </x:c>
      <x:c r="D7" s="17" t="s">
        <x:v>60</x:v>
      </x:c>
      <x:c r="E7" s="17" t="s">
        <x:v>61</x:v>
      </x:c>
      <x:c r="F7" s="17" t="s">
        <x:v>62</x:v>
      </x:c>
      <x:c r="G7" s="17" t="s">
        <x:v>63</x:v>
      </x:c>
    </x:row>
    <x:row r="8" ht="120" customHeight="1">
      <x:c r="A8" s="37" t="str">
        <x:v>Load Queue</x:v>
      </x:c>
      <x:c r="B8" s="36" t="str">
        <x:v>跟踪在飞load的地址、发射/完成状态、与更老store的冲突及violation/replay；还参与cache response与目标动态指令配对。</x:v>
      </x:c>
      <x:c r="C8" s="36" t="str">
        <x:v>TC'23对16项LQ直接注入；HPCA'24对32项LQ报告Arm总AVF；IISWC'15覆盖LSQ数据/地址类字段。</x:v>
      </x:c>
      <x:c r="D8" s="36" t="str">
        <x:v>TC'23报告LQ SDC概率为0并归因于commit前依赖检查；HPCA'24 Arm LQ总AVF约2.4%-8.6%。两者指标口径不同。</x:v>
      </x:c>
      <x:c r="E8" s="36" t="str">
        <x:v>条件SDC、总AVF和replay/检测率分开报告</x:v>
      </x:c>
      <x:c r="F8" s="36" t="str">
        <x:v>直接+机制扩展</x:v>
      </x:c>
      <x:c r="G8" s="36" t="str">
        <x:v>空白：生命周期状态、violation/replay本身、response transaction ID与目标load错配、保护链。</x:v>
      </x:c>
    </x:row>
  </x:sheetData>
  <x:pageMargins left="0.7" right="0.7" top="0.75" bottom="0.75" header="0.3" footer="0.3"/>
  <x:tableParts count="1">
    <x:tablePart xmlns:r="http://schemas.openxmlformats.org/officeDocument/2006/relationships" r:id="R9772e01b17a94455"/>
  </x:tableParts>
</x:worksheet>
</file>

<file path=xl/worksheets/sheet3.xml><?xml version="1.0" encoding="utf-8"?>
<x:worksheet xmlns:x="http://schemas.openxmlformats.org/spreadsheetml/2006/main">
  <x:sheetPr>
    <x:tabColor rgb="FF4472C4"/>
  </x:sheetPr>
  <x:sheetViews>
    <x:sheetView showGridLines="0" workbookViewId="0">
      <x:pane xSplit="1" ySplit="1" topLeftCell="B2" activePane="bottomRight" state="frozen"/>
    </x:sheetView>
  </x:sheetViews>
  <x:sheetFormatPr defaultRowHeight="14.25"/>
  <x:cols>
    <x:col min="1" max="1" width="27" style="2" customWidth="1"/>
    <x:col min="2" max="2" width="33" style="2" customWidth="1"/>
    <x:col min="3" max="3" width="18" style="2" customWidth="1"/>
    <x:col min="4" max="4" width="72" style="2" customWidth="1"/>
    <x:col min="5" max="5" width="24" style="2" customWidth="1"/>
    <x:col min="6" max="16384" width="9" style="2" customWidth="0"/>
  </x:cols>
  <x:sheetData>
    <x:row r="1" ht="33.95000076293945" customHeight="1">
      <x:c r="A1" s="5" t="s">
        <x:v>64</x:v>
      </x:c>
      <x:c r="B1" s="5" t="s">
        <x:v>65</x:v>
      </x:c>
      <x:c r="C1" s="5" t="s">
        <x:v>66</x:v>
      </x:c>
      <x:c r="D1" s="5" t="s">
        <x:v>67</x:v>
      </x:c>
      <x:c r="E1" s="5" t="s">
        <x:v>68</x:v>
      </x:c>
    </x:row>
    <x:row r="2" ht="48" customHeight="1">
      <x:c r="A2" s="18" t="s">
        <x:v>69</x:v>
      </x:c>
      <x:c r="B2" s="19">
        <x:v>16</x:v>
      </x:c>
      <x:c r="C2" s="19" t="s">
        <x:v>70</x:v>
      </x:c>
      <x:c r="D2" s="19" t="s">
        <x:v>71</x:v>
      </x:c>
      <x:c r="E2" s="19" t="s">
        <x:v>72</x:v>
      </x:c>
    </x:row>
    <x:row r="3" ht="48" customHeight="1">
      <x:c r="A3" s="18" t="s">
        <x:v>73</x:v>
      </x:c>
      <x:c r="B3" s="19">
        <x:v>16</x:v>
      </x:c>
      <x:c r="C3" s="19" t="s">
        <x:v>70</x:v>
      </x:c>
      <x:c r="D3" s="19" t="s">
        <x:v>71</x:v>
      </x:c>
      <x:c r="E3" s="19" t="s">
        <x:v>72</x:v>
      </x:c>
    </x:row>
    <x:row r="4" ht="48" customHeight="1">
      <x:c r="A4" s="18" t="s">
        <x:v>74</x:v>
      </x:c>
      <x:c r="B4" s="19" t="s">
        <x:v>75</x:v>
      </x:c>
      <x:c r="C4" s="19" t="s">
        <x:v>76</x:v>
      </x:c>
      <x:c r="D4" s="19" t="s">
        <x:v>77</x:v>
      </x:c>
      <x:c r="E4" s="19" t="s">
        <x:v>72</x:v>
      </x:c>
    </x:row>
    <x:row r="5" ht="48" customHeight="1">
      <x:c r="A5" s="18" t="s">
        <x:v>78</x:v>
      </x:c>
      <x:c r="B5" s="19" t="s">
        <x:v>79</x:v>
      </x:c>
      <x:c r="C5" s="19" t="s">
        <x:v>76</x:v>
      </x:c>
      <x:c r="D5" s="19" t="s">
        <x:v>80</x:v>
      </x:c>
      <x:c r="E5" s="19" t="s">
        <x:v>72</x:v>
      </x:c>
    </x:row>
    <x:row r="6" ht="48" customHeight="1">
      <x:c r="A6" s="18" t="s">
        <x:v>81</x:v>
      </x:c>
      <x:c r="B6" s="19">
        <x:v>0</x:v>
      </x:c>
      <x:c r="C6" s="19" t="s">
        <x:v>76</x:v>
      </x:c>
      <x:c r="D6" s="19" t="s">
        <x:v>82</x:v>
      </x:c>
      <x:c r="E6" s="19" t="s">
        <x:v>83</x:v>
      </x:c>
    </x:row>
    <x:row r="7" ht="48" customHeight="1">
      <x:c r="A7" s="18" t="s">
        <x:v>84</x:v>
      </x:c>
      <x:c r="B7" s="20" t="b">
        <x:v>1</x:v>
      </x:c>
      <x:c r="C7" s="19" t="s">
        <x:v>70</x:v>
      </x:c>
      <x:c r="D7" s="19" t="s">
        <x:v>85</x:v>
      </x:c>
      <x:c r="E7" s="19" t="s">
        <x:v>72</x:v>
      </x:c>
    </x:row>
    <x:row r="8" ht="48" customHeight="1">
      <x:c r="A8" s="18" t="s">
        <x:v>86</x:v>
      </x:c>
      <x:c r="B8" s="19" t="s">
        <x:v>87</x:v>
      </x:c>
      <x:c r="C8" s="19" t="s">
        <x:v>70</x:v>
      </x:c>
      <x:c r="D8" s="19" t="s">
        <x:v>88</x:v>
      </x:c>
      <x:c r="E8" s="19" t="s">
        <x:v>72</x:v>
      </x:c>
    </x:row>
    <x:row r="9" ht="48" customHeight="1">
      <x:c r="A9" s="18" t="s">
        <x:v>89</x:v>
      </x:c>
      <x:c r="B9" s="19">
        <x:v>250000</x:v>
      </x:c>
      <x:c r="C9" s="19" t="s">
        <x:v>70</x:v>
      </x:c>
      <x:c r="D9" s="19" t="s">
        <x:v>90</x:v>
      </x:c>
      <x:c r="E9" s="19" t="s">
        <x:v>72</x:v>
      </x:c>
    </x:row>
    <x:row r="10" ht="48" customHeight="1">
      <x:c r="A10" s="18" t="s">
        <x:v>91</x:v>
      </x:c>
      <x:c r="B10" s="19" t="s">
        <x:v>92</x:v>
      </x:c>
      <x:c r="C10" s="19" t="s">
        <x:v>93</x:v>
      </x:c>
      <x:c r="D10" s="19" t="s">
        <x:v>94</x:v>
      </x:c>
      <x:c r="E10" s="19" t="s">
        <x:v>72</x:v>
      </x:c>
    </x:row>
    <x:row r="11" ht="48" customHeight="1">
      <x:c r="A11" s="18" t="s">
        <x:v>95</x:v>
      </x:c>
      <x:c r="B11" s="19" t="s">
        <x:v>96</x:v>
      </x:c>
      <x:c r="C11" s="19" t="s">
        <x:v>97</x:v>
      </x:c>
      <x:c r="D11" s="19" t="s">
        <x:v>98</x:v>
      </x:c>
      <x:c r="E11" s="19" t="s">
        <x:v>99</x:v>
      </x:c>
    </x:row>
    <x:row r="12" ht="48" customHeight="1">
      <x:c r="A12" s="18" t="s">
        <x:v>100</x:v>
      </x:c>
      <x:c r="B12" s="19" t="s">
        <x:v>101</x:v>
      </x:c>
      <x:c r="C12" s="19" t="s">
        <x:v>102</x:v>
      </x:c>
      <x:c r="D12" s="19" t="s">
        <x:v>103</x:v>
      </x:c>
      <x:c r="E12" s="19" t="s">
        <x:v>72</x:v>
      </x:c>
    </x:row>
    <x:row r="13" ht="48" customHeight="1">
      <x:c r="A13" s="18" t="s">
        <x:v>104</x:v>
      </x:c>
      <x:c r="B13" s="19" t="s">
        <x:v>105</x:v>
      </x:c>
      <x:c r="C13" s="19" t="s">
        <x:v>76</x:v>
      </x:c>
      <x:c r="D13" s="19" t="s">
        <x:v>106</x:v>
      </x:c>
      <x:c r="E13" s="19" t="s">
        <x:v>107</x:v>
      </x:c>
    </x:row>
    <x:row r="14" ht="48" customHeight="1">
      <x:c r="A14" s="18" t="s">
        <x:v>108</x:v>
      </x:c>
      <x:c r="B14" s="19" t="s">
        <x:v>109</x:v>
      </x:c>
      <x:c r="C14" s="19" t="s">
        <x:v>110</x:v>
      </x:c>
      <x:c r="D14" s="19" t="s">
        <x:v>111</x:v>
      </x:c>
      <x:c r="E14" s="19" t="s">
        <x:v>72</x:v>
      </x:c>
    </x:row>
    <x:row r="15" ht="48" customHeight="1">
      <x:c r="A15" s="18" t="s">
        <x:v>112</x:v>
      </x:c>
      <x:c r="B15" s="19" t="s">
        <x:v>113</x:v>
      </x:c>
      <x:c r="C15" s="19" t="s">
        <x:v>76</x:v>
      </x:c>
      <x:c r="D15" s="19" t="s">
        <x:v>114</x:v>
      </x:c>
      <x:c r="E15" s="19" t="s">
        <x:v>72</x:v>
      </x:c>
    </x:row>
    <x:row r="16" ht="48" customHeight="1">
      <x:c r="A16" s="18" t="s">
        <x:v>115</x:v>
      </x:c>
      <x:c r="B16" s="19" t="s">
        <x:v>116</x:v>
      </x:c>
      <x:c r="C16" s="19" t="s">
        <x:v>117</x:v>
      </x:c>
      <x:c r="D16" s="19" t="s">
        <x:v>118</x:v>
      </x:c>
      <x:c r="E16" s="19" t="s">
        <x:v>72</x:v>
      </x:c>
    </x:row>
    <x:row r="17" ht="48" customHeight="1">
      <x:c r="A17" s="18" t="s">
        <x:v>119</x:v>
      </x:c>
      <x:c r="B17" s="19">
        <x:v>16</x:v>
      </x:c>
      <x:c r="C17" s="19" t="s">
        <x:v>102</x:v>
      </x:c>
      <x:c r="D17" s="19" t="s">
        <x:v>120</x:v>
      </x:c>
      <x:c r="E17" s="19" t="s">
        <x:v>72</x:v>
      </x:c>
    </x:row>
    <x:row r="18" ht="48" customHeight="1">
      <x:c r="A18" s="18" t="s">
        <x:v>121</x:v>
      </x:c>
      <x:c r="B18" s="19" t="s">
        <x:v>122</x:v>
      </x:c>
      <x:c r="C18" s="19" t="s">
        <x:v>123</x:v>
      </x:c>
      <x:c r="D18" s="19" t="s">
        <x:v>124</x:v>
      </x:c>
      <x:c r="E18" s="19" t="s">
        <x:v>125</x:v>
      </x:c>
    </x:row>
    <x:row r="19" ht="48" customHeight="1">
      <x:c r="A19" s="18" t="s">
        <x:v>57</x:v>
      </x:c>
      <x:c r="B19" s="19" t="s">
        <x:v>126</x:v>
      </x:c>
      <x:c r="C19" s="19" t="s">
        <x:v>76</x:v>
      </x:c>
      <x:c r="D19" s="19" t="s">
        <x:v>127</x:v>
      </x:c>
      <x:c r="E19" s="19" t="s">
        <x:v>128</x:v>
      </x:c>
    </x:row>
    <x:row r="20" ht="48" customHeight="1">
      <x:c r="A20" s="18" t="s">
        <x:v>129</x:v>
      </x:c>
      <x:c r="B20" s="19" t="s">
        <x:v>130</x:v>
      </x:c>
      <x:c r="C20" s="19" t="s">
        <x:v>93</x:v>
      </x:c>
      <x:c r="D20" s="19" t="s">
        <x:v>131</x:v>
      </x:c>
      <x:c r="E20" s="19" t="s">
        <x:v>72</x:v>
      </x:c>
    </x:row>
  </x:sheetData>
  <x:conditionalFormatting sqref="C2:C20">
    <x:cfRule type="containsText" dxfId="2" priority="1" operator="containsText" text="修正"/>
  </x:conditionalFormatting>
  <x:pageMargins left="0.7" right="0.7" top="0.75" bottom="0.75" header="0.3" footer="0.3"/>
  <x:tableParts count="1">
    <x:tablePart xmlns:r="http://schemas.openxmlformats.org/officeDocument/2006/relationships" r:id="R3bc63b978d54464a"/>
  </x:tableParts>
</x:worksheet>
</file>

<file path=xl/worksheets/sheet4.xml><?xml version="1.0" encoding="utf-8"?>
<x:worksheet xmlns:x="http://schemas.openxmlformats.org/spreadsheetml/2006/main">
  <x:sheetPr>
    <x:tabColor rgb="FF4472C4"/>
  </x:sheetPr>
  <x:sheetFormatPr defaultRowHeight="14.25"/>
  <x:cols>
    <x:col min="1" max="1" width="10" customWidth="1"/>
    <x:col min="2" max="2" width="15" customWidth="1"/>
    <x:col min="3" max="3" width="58" customWidth="1"/>
    <x:col min="4" max="4" width="17" customWidth="1"/>
    <x:col min="5" max="5" width="82" customWidth="1"/>
    <x:col min="6" max="6" width="18" customWidth="1"/>
    <x:col min="7" max="7" width="50" customWidth="1"/>
    <x:col min="8" max="8" width="30" customWidth="1"/>
    <x:col min="9" max="9" width="72" customWidth="1"/>
    <x:col min="10" max="10" width="46" customWidth="1"/>
    <x:col min="11" max="11" width="48" customWidth="1"/>
    <x:col min="12" max="12" width="35" customWidth="1"/>
  </x:cols>
  <x:sheetData>
    <x:row r="1" ht="33.95000076293945" customHeight="1">
      <x:c r="A1" s="5" t="s">
        <x:v>132</x:v>
      </x:c>
      <x:c r="B1" s="5" t="s">
        <x:v>18</x:v>
      </x:c>
      <x:c r="C1" s="5" t="s">
        <x:v>133</x:v>
      </x:c>
      <x:c r="D1" s="5" t="s">
        <x:v>134</x:v>
      </x:c>
      <x:c r="E1" s="5" t="s">
        <x:v>135</x:v>
      </x:c>
      <x:c r="F1" s="5" t="s">
        <x:v>136</x:v>
      </x:c>
      <x:c r="G1" s="5" t="s">
        <x:v>137</x:v>
      </x:c>
      <x:c r="H1" s="5" t="s">
        <x:v>138</x:v>
      </x:c>
      <x:c r="I1" s="5" t="s">
        <x:v>139</x:v>
      </x:c>
      <x:c r="J1" s="5" t="s">
        <x:v>140</x:v>
      </x:c>
      <x:c r="K1" s="5" t="s">
        <x:v>141</x:v>
      </x:c>
      <x:c r="L1" s="5" t="s">
        <x:v>142</x:v>
      </x:c>
    </x:row>
    <x:row r="2" ht="188.10000610351562" customHeight="1">
      <x:c r="A2" s="6" t="s">
        <x:v>143</x:v>
      </x:c>
      <x:c r="B2" s="6" t="s">
        <x:v>25</x:v>
      </x:c>
      <x:c r="C2" s="7" t="s">
        <x:v>144</x:v>
      </x:c>
      <x:c r="D2" s="7" t="s">
        <x:v>145</x:v>
      </x:c>
      <x:c r="E2" s="7" t="s">
        <x:v>146</x:v>
      </x:c>
      <x:c r="F2" s="7" t="s">
        <x:v>147</x:v>
      </x:c>
      <x:c r="G2" s="7" t="s">
        <x:v>148</x:v>
      </x:c>
      <x:c r="H2" s="7" t="s">
        <x:v>149</x:v>
      </x:c>
      <x:c r="I2" s="7" t="s">
        <x:v>150</x:v>
      </x:c>
      <x:c r="J2" s="7" t="s">
        <x:v>151</x:v>
      </x:c>
      <x:c r="K2" s="7" t="s">
        <x:v>152</x:v>
      </x:c>
      <x:c r="L2" s="7" t="s">
        <x:v>153</x:v>
      </x:c>
    </x:row>
    <x:row r="3" ht="188.10000610351562" customHeight="1">
      <x:c r="A3" s="6" t="s">
        <x:v>154</x:v>
      </x:c>
      <x:c r="B3" s="6" t="s">
        <x:v>25</x:v>
      </x:c>
      <x:c r="C3" s="7" t="s">
        <x:v>155</x:v>
      </x:c>
      <x:c r="D3" s="7" t="s">
        <x:v>156</x:v>
      </x:c>
      <x:c r="E3" s="7" t="s">
        <x:v>157</x:v>
      </x:c>
      <x:c r="F3" s="7" t="s">
        <x:v>158</x:v>
      </x:c>
      <x:c r="G3" s="7" t="s">
        <x:v>148</x:v>
      </x:c>
      <x:c r="H3" s="7" t="s">
        <x:v>149</x:v>
      </x:c>
      <x:c r="I3" s="7" t="s">
        <x:v>159</x:v>
      </x:c>
      <x:c r="J3" s="7" t="s">
        <x:v>160</x:v>
      </x:c>
      <x:c r="K3" s="7" t="s">
        <x:v>161</x:v>
      </x:c>
      <x:c r="L3" s="7" t="s">
        <x:v>162</x:v>
      </x:c>
    </x:row>
    <x:row r="4" ht="188.10000610351562" customHeight="1">
      <x:c r="A4" s="6" t="s">
        <x:v>163</x:v>
      </x:c>
      <x:c r="B4" s="6" t="s">
        <x:v>25</x:v>
      </x:c>
      <x:c r="C4" s="7" t="s">
        <x:v>164</x:v>
      </x:c>
      <x:c r="D4" s="7" t="s">
        <x:v>165</x:v>
      </x:c>
      <x:c r="E4" s="7" t="s">
        <x:v>166</x:v>
      </x:c>
      <x:c r="F4" s="7" t="s">
        <x:v>167</x:v>
      </x:c>
      <x:c r="G4" s="7" t="s">
        <x:v>168</x:v>
      </x:c>
      <x:c r="H4" s="7" t="s">
        <x:v>169</x:v>
      </x:c>
      <x:c r="I4" s="7" t="s">
        <x:v>170</x:v>
      </x:c>
      <x:c r="J4" s="7" t="s">
        <x:v>171</x:v>
      </x:c>
      <x:c r="K4" s="7" t="s">
        <x:v>172</x:v>
      </x:c>
      <x:c r="L4" s="7" t="s">
        <x:v>173</x:v>
      </x:c>
    </x:row>
    <x:row r="5" ht="188.10000610351562" customHeight="1">
      <x:c r="A5" s="6" t="s">
        <x:v>174</x:v>
      </x:c>
      <x:c r="B5" s="6" t="s">
        <x:v>25</x:v>
      </x:c>
      <x:c r="C5" s="7" t="s">
        <x:v>175</x:v>
      </x:c>
      <x:c r="D5" s="7" t="s">
        <x:v>176</x:v>
      </x:c>
      <x:c r="E5" s="7" t="s">
        <x:v>177</x:v>
      </x:c>
      <x:c r="F5" s="7" t="s">
        <x:v>178</x:v>
      </x:c>
      <x:c r="G5" s="7" t="s">
        <x:v>179</x:v>
      </x:c>
      <x:c r="H5" s="7" t="s">
        <x:v>180</x:v>
      </x:c>
      <x:c r="I5" s="7" t="s">
        <x:v>181</x:v>
      </x:c>
      <x:c r="J5" s="7" t="s">
        <x:v>182</x:v>
      </x:c>
      <x:c r="K5" s="7" t="s">
        <x:v>183</x:v>
      </x:c>
      <x:c r="L5" s="7" t="s">
        <x:v>184</x:v>
      </x:c>
    </x:row>
    <x:row r="6" ht="188.10000610351562" customHeight="1">
      <x:c r="A6" s="6" t="s">
        <x:v>185</x:v>
      </x:c>
      <x:c r="B6" s="6" t="s">
        <x:v>25</x:v>
      </x:c>
      <x:c r="C6" s="7" t="s">
        <x:v>186</x:v>
      </x:c>
      <x:c r="D6" s="7" t="s">
        <x:v>187</x:v>
      </x:c>
      <x:c r="E6" s="7" t="s">
        <x:v>188</x:v>
      </x:c>
      <x:c r="F6" s="7" t="s">
        <x:v>178</x:v>
      </x:c>
      <x:c r="G6" s="7" t="s">
        <x:v>189</x:v>
      </x:c>
      <x:c r="H6" s="7" t="s">
        <x:v>190</x:v>
      </x:c>
      <x:c r="I6" s="7" t="s">
        <x:v>191</x:v>
      </x:c>
      <x:c r="J6" s="7" t="s">
        <x:v>192</x:v>
      </x:c>
      <x:c r="K6" s="7" t="s">
        <x:v>193</x:v>
      </x:c>
      <x:c r="L6" s="7" t="s">
        <x:v>173</x:v>
      </x:c>
    </x:row>
    <x:row r="7" ht="188.10000610351562" customHeight="1">
      <x:c r="A7" s="6" t="s">
        <x:v>194</x:v>
      </x:c>
      <x:c r="B7" s="6" t="s">
        <x:v>25</x:v>
      </x:c>
      <x:c r="C7" s="7" t="s">
        <x:v>195</x:v>
      </x:c>
      <x:c r="D7" s="7" t="s">
        <x:v>196</x:v>
      </x:c>
      <x:c r="E7" s="7" t="s">
        <x:v>197</x:v>
      </x:c>
      <x:c r="F7" s="7" t="s">
        <x:v>178</x:v>
      </x:c>
      <x:c r="G7" s="7" t="s">
        <x:v>198</x:v>
      </x:c>
      <x:c r="H7" s="7" t="s">
        <x:v>199</x:v>
      </x:c>
      <x:c r="I7" s="7" t="s">
        <x:v>200</x:v>
      </x:c>
      <x:c r="J7" s="7" t="s">
        <x:v>201</x:v>
      </x:c>
      <x:c r="K7" s="7" t="s">
        <x:v>202</x:v>
      </x:c>
      <x:c r="L7" s="7" t="s">
        <x:v>184</x:v>
      </x:c>
    </x:row>
    <x:row r="8" ht="188.10000610351562" customHeight="1">
      <x:c r="A8" s="6" t="s">
        <x:v>203</x:v>
      </x:c>
      <x:c r="B8" s="6" t="s">
        <x:v>25</x:v>
      </x:c>
      <x:c r="C8" s="7" t="s">
        <x:v>204</x:v>
      </x:c>
      <x:c r="D8" s="7" t="s">
        <x:v>205</x:v>
      </x:c>
      <x:c r="E8" s="7" t="s">
        <x:v>206</x:v>
      </x:c>
      <x:c r="F8" s="7" t="s">
        <x:v>207</x:v>
      </x:c>
      <x:c r="G8" s="7" t="s">
        <x:v>198</x:v>
      </x:c>
      <x:c r="H8" s="7" t="s">
        <x:v>208</x:v>
      </x:c>
      <x:c r="I8" s="7" t="s">
        <x:v>209</x:v>
      </x:c>
      <x:c r="J8" s="7" t="s">
        <x:v>210</x:v>
      </x:c>
      <x:c r="K8" s="7" t="s">
        <x:v>211</x:v>
      </x:c>
      <x:c r="L8" s="7" t="s">
        <x:v>212</x:v>
      </x:c>
    </x:row>
    <x:row r="9" ht="188.10000610351562" customHeight="1">
      <x:c r="A9" s="6" t="s">
        <x:v>213</x:v>
      </x:c>
      <x:c r="B9" s="6" t="s">
        <x:v>25</x:v>
      </x:c>
      <x:c r="C9" s="7" t="s">
        <x:v>214</x:v>
      </x:c>
      <x:c r="D9" s="7" t="s">
        <x:v>176</x:v>
      </x:c>
      <x:c r="E9" s="7" t="s">
        <x:v>215</x:v>
      </x:c>
      <x:c r="F9" s="7" t="s">
        <x:v>178</x:v>
      </x:c>
      <x:c r="G9" s="7" t="s">
        <x:v>198</x:v>
      </x:c>
      <x:c r="H9" s="7" t="s">
        <x:v>216</x:v>
      </x:c>
      <x:c r="I9" s="7" t="s">
        <x:v>217</x:v>
      </x:c>
      <x:c r="J9" s="7" t="s">
        <x:v>218</x:v>
      </x:c>
      <x:c r="K9" s="7" t="s">
        <x:v>219</x:v>
      </x:c>
      <x:c r="L9" s="7" t="s">
        <x:v>173</x:v>
      </x:c>
    </x:row>
    <x:row r="10" ht="188.10000610351562" customHeight="1">
      <x:c r="A10" s="8" t="s">
        <x:v>220</x:v>
      </x:c>
      <x:c r="B10" s="8" t="s">
        <x:v>32</x:v>
      </x:c>
      <x:c r="C10" s="9" t="s">
        <x:v>221</x:v>
      </x:c>
      <x:c r="D10" s="9" t="s">
        <x:v>145</x:v>
      </x:c>
      <x:c r="E10" s="9" t="s">
        <x:v>222</x:v>
      </x:c>
      <x:c r="F10" s="9" t="s">
        <x:v>147</x:v>
      </x:c>
      <x:c r="G10" s="9" t="s">
        <x:v>223</x:v>
      </x:c>
      <x:c r="H10" s="9" t="s">
        <x:v>224</x:v>
      </x:c>
      <x:c r="I10" s="9" t="s">
        <x:v>225</x:v>
      </x:c>
      <x:c r="J10" s="9" t="s">
        <x:v>226</x:v>
      </x:c>
      <x:c r="K10" s="9" t="s">
        <x:v>227</x:v>
      </x:c>
      <x:c r="L10" s="9" t="s">
        <x:v>228</x:v>
      </x:c>
    </x:row>
    <x:row r="11" ht="188.10000610351562" customHeight="1">
      <x:c r="A11" s="8" t="s">
        <x:v>229</x:v>
      </x:c>
      <x:c r="B11" s="8" t="s">
        <x:v>32</x:v>
      </x:c>
      <x:c r="C11" s="9" t="s">
        <x:v>230</x:v>
      </x:c>
      <x:c r="D11" s="9" t="s">
        <x:v>156</x:v>
      </x:c>
      <x:c r="E11" s="9" t="s">
        <x:v>231</x:v>
      </x:c>
      <x:c r="F11" s="9" t="s">
        <x:v>158</x:v>
      </x:c>
      <x:c r="G11" s="9" t="s">
        <x:v>223</x:v>
      </x:c>
      <x:c r="H11" s="9" t="s">
        <x:v>232</x:v>
      </x:c>
      <x:c r="I11" s="9" t="s">
        <x:v>233</x:v>
      </x:c>
      <x:c r="J11" s="9" t="s">
        <x:v>234</x:v>
      </x:c>
      <x:c r="K11" s="9" t="s">
        <x:v>235</x:v>
      </x:c>
      <x:c r="L11" s="9" t="s">
        <x:v>236</x:v>
      </x:c>
    </x:row>
    <x:row r="12" ht="188.10000610351562" customHeight="1">
      <x:c r="A12" s="8" t="s">
        <x:v>237</x:v>
      </x:c>
      <x:c r="B12" s="8" t="s">
        <x:v>32</x:v>
      </x:c>
      <x:c r="C12" s="9" t="s">
        <x:v>238</x:v>
      </x:c>
      <x:c r="D12" s="9" t="s">
        <x:v>165</x:v>
      </x:c>
      <x:c r="E12" s="9" t="s">
        <x:v>239</x:v>
      </x:c>
      <x:c r="F12" s="9" t="s">
        <x:v>167</x:v>
      </x:c>
      <x:c r="G12" s="9" t="s">
        <x:v>240</x:v>
      </x:c>
      <x:c r="H12" s="9" t="s">
        <x:v>241</x:v>
      </x:c>
      <x:c r="I12" s="9" t="s">
        <x:v>242</x:v>
      </x:c>
      <x:c r="J12" s="9" t="s">
        <x:v>243</x:v>
      </x:c>
      <x:c r="K12" s="9" t="s">
        <x:v>244</x:v>
      </x:c>
      <x:c r="L12" s="9" t="s">
        <x:v>245</x:v>
      </x:c>
    </x:row>
    <x:row r="13" ht="188.10000610351562" customHeight="1">
      <x:c r="A13" s="8" t="s">
        <x:v>246</x:v>
      </x:c>
      <x:c r="B13" s="8" t="s">
        <x:v>32</x:v>
      </x:c>
      <x:c r="C13" s="9" t="s">
        <x:v>247</x:v>
      </x:c>
      <x:c r="D13" s="9" t="s">
        <x:v>176</x:v>
      </x:c>
      <x:c r="E13" s="9" t="s">
        <x:v>248</x:v>
      </x:c>
      <x:c r="F13" s="9" t="s">
        <x:v>178</x:v>
      </x:c>
      <x:c r="G13" s="9" t="s">
        <x:v>249</x:v>
      </x:c>
      <x:c r="H13" s="9" t="s">
        <x:v>250</x:v>
      </x:c>
      <x:c r="I13" s="9" t="s">
        <x:v>251</x:v>
      </x:c>
      <x:c r="J13" s="9" t="s">
        <x:v>252</x:v>
      </x:c>
      <x:c r="K13" s="9" t="s">
        <x:v>253</x:v>
      </x:c>
      <x:c r="L13" s="9" t="s">
        <x:v>184</x:v>
      </x:c>
    </x:row>
    <x:row r="14" ht="188.10000610351562" customHeight="1">
      <x:c r="A14" s="8" t="s">
        <x:v>254</x:v>
      </x:c>
      <x:c r="B14" s="8" t="s">
        <x:v>32</x:v>
      </x:c>
      <x:c r="C14" s="9" t="s">
        <x:v>255</x:v>
      </x:c>
      <x:c r="D14" s="9" t="s">
        <x:v>196</x:v>
      </x:c>
      <x:c r="E14" s="9" t="s">
        <x:v>256</x:v>
      </x:c>
      <x:c r="F14" s="9" t="s">
        <x:v>178</x:v>
      </x:c>
      <x:c r="G14" s="9" t="s">
        <x:v>249</x:v>
      </x:c>
      <x:c r="H14" s="9" t="s">
        <x:v>257</x:v>
      </x:c>
      <x:c r="I14" s="9" t="s">
        <x:v>258</x:v>
      </x:c>
      <x:c r="J14" s="9" t="s">
        <x:v>259</x:v>
      </x:c>
      <x:c r="K14" s="9" t="s">
        <x:v>260</x:v>
      </x:c>
      <x:c r="L14" s="9" t="s">
        <x:v>261</x:v>
      </x:c>
    </x:row>
    <x:row r="15" ht="188.10000610351562" customHeight="1">
      <x:c r="A15" s="8" t="s">
        <x:v>262</x:v>
      </x:c>
      <x:c r="B15" s="8" t="s">
        <x:v>32</x:v>
      </x:c>
      <x:c r="C15" s="9" t="s">
        <x:v>263</x:v>
      </x:c>
      <x:c r="D15" s="9" t="s">
        <x:v>176</x:v>
      </x:c>
      <x:c r="E15" s="9" t="s">
        <x:v>264</x:v>
      </x:c>
      <x:c r="F15" s="9" t="s">
        <x:v>178</x:v>
      </x:c>
      <x:c r="G15" s="9" t="s">
        <x:v>249</x:v>
      </x:c>
      <x:c r="H15" s="9" t="s">
        <x:v>265</x:v>
      </x:c>
      <x:c r="I15" s="9" t="s">
        <x:v>266</x:v>
      </x:c>
      <x:c r="J15" s="9" t="s">
        <x:v>267</x:v>
      </x:c>
      <x:c r="K15" s="9" t="s">
        <x:v>268</x:v>
      </x:c>
      <x:c r="L15" s="9" t="s">
        <x:v>184</x:v>
      </x:c>
    </x:row>
    <x:row r="16" ht="188.10000610351562" customHeight="1">
      <x:c r="A16" s="8" t="s">
        <x:v>269</x:v>
      </x:c>
      <x:c r="B16" s="8" t="s">
        <x:v>32</x:v>
      </x:c>
      <x:c r="C16" s="9" t="s">
        <x:v>270</x:v>
      </x:c>
      <x:c r="D16" s="9" t="s">
        <x:v>196</x:v>
      </x:c>
      <x:c r="E16" s="9" t="s">
        <x:v>271</x:v>
      </x:c>
      <x:c r="F16" s="9" t="s">
        <x:v>207</x:v>
      </x:c>
      <x:c r="G16" s="9" t="s">
        <x:v>249</x:v>
      </x:c>
      <x:c r="H16" s="9" t="s">
        <x:v>272</x:v>
      </x:c>
      <x:c r="I16" s="9" t="s">
        <x:v>273</x:v>
      </x:c>
      <x:c r="J16" s="9" t="s">
        <x:v>274</x:v>
      </x:c>
      <x:c r="K16" s="9" t="s">
        <x:v>275</x:v>
      </x:c>
      <x:c r="L16" s="9" t="s">
        <x:v>173</x:v>
      </x:c>
    </x:row>
    <x:row r="17" ht="188.10000610351562" customHeight="1">
      <x:c r="A17" s="8" t="s">
        <x:v>276</x:v>
      </x:c>
      <x:c r="B17" s="8" t="s">
        <x:v>32</x:v>
      </x:c>
      <x:c r="C17" s="9" t="s">
        <x:v>277</x:v>
      </x:c>
      <x:c r="D17" s="9" t="s">
        <x:v>205</x:v>
      </x:c>
      <x:c r="E17" s="9" t="s">
        <x:v>278</x:v>
      </x:c>
      <x:c r="F17" s="9" t="s">
        <x:v>207</x:v>
      </x:c>
      <x:c r="G17" s="9" t="s">
        <x:v>240</x:v>
      </x:c>
      <x:c r="H17" s="9" t="s">
        <x:v>279</x:v>
      </x:c>
      <x:c r="I17" s="9" t="s">
        <x:v>280</x:v>
      </x:c>
      <x:c r="J17" s="9" t="s">
        <x:v>281</x:v>
      </x:c>
      <x:c r="K17" s="9" t="s">
        <x:v>282</x:v>
      </x:c>
      <x:c r="L17" s="9" t="s">
        <x:v>184</x:v>
      </x:c>
    </x:row>
    <x:row r="18" ht="188.10000610351562" customHeight="1">
      <x:c r="A18" s="8" t="s">
        <x:v>283</x:v>
      </x:c>
      <x:c r="B18" s="8" t="s">
        <x:v>32</x:v>
      </x:c>
      <x:c r="C18" s="9" t="s">
        <x:v>284</x:v>
      </x:c>
      <x:c r="D18" s="9" t="s">
        <x:v>285</x:v>
      </x:c>
      <x:c r="E18" s="9" t="s">
        <x:v>286</x:v>
      </x:c>
      <x:c r="F18" s="9" t="s">
        <x:v>287</x:v>
      </x:c>
      <x:c r="G18" s="9" t="s">
        <x:v>249</x:v>
      </x:c>
      <x:c r="H18" s="9" t="s">
        <x:v>288</x:v>
      </x:c>
      <x:c r="I18" s="9" t="s">
        <x:v>289</x:v>
      </x:c>
      <x:c r="J18" s="9" t="s">
        <x:v>290</x:v>
      </x:c>
      <x:c r="K18" s="9" t="s">
        <x:v>291</x:v>
      </x:c>
      <x:c r="L18" s="9" t="s">
        <x:v>292</x:v>
      </x:c>
    </x:row>
    <x:row r="19" ht="188.10000610351562" customHeight="1">
      <x:c r="A19" s="10" t="s">
        <x:v>293</x:v>
      </x:c>
      <x:c r="B19" s="10" t="s">
        <x:v>39</x:v>
      </x:c>
      <x:c r="C19" s="11" t="s">
        <x:v>294</x:v>
      </x:c>
      <x:c r="D19" s="11" t="s">
        <x:v>145</x:v>
      </x:c>
      <x:c r="E19" s="11" t="s">
        <x:v>295</x:v>
      </x:c>
      <x:c r="F19" s="11" t="s">
        <x:v>147</x:v>
      </x:c>
      <x:c r="G19" s="11" t="s">
        <x:v>296</x:v>
      </x:c>
      <x:c r="H19" s="11" t="s">
        <x:v>297</x:v>
      </x:c>
      <x:c r="I19" s="11" t="s">
        <x:v>298</x:v>
      </x:c>
      <x:c r="J19" s="11" t="s">
        <x:v>299</x:v>
      </x:c>
      <x:c r="K19" s="11" t="s">
        <x:v>300</x:v>
      </x:c>
      <x:c r="L19" s="11" t="s">
        <x:v>301</x:v>
      </x:c>
    </x:row>
    <x:row r="20" ht="188.10000610351562" customHeight="1">
      <x:c r="A20" s="10" t="s">
        <x:v>302</x:v>
      </x:c>
      <x:c r="B20" s="10" t="s">
        <x:v>39</x:v>
      </x:c>
      <x:c r="C20" s="11" t="s">
        <x:v>303</x:v>
      </x:c>
      <x:c r="D20" s="11" t="s">
        <x:v>156</x:v>
      </x:c>
      <x:c r="E20" s="11" t="s">
        <x:v>304</x:v>
      </x:c>
      <x:c r="F20" s="11" t="s">
        <x:v>158</x:v>
      </x:c>
      <x:c r="G20" s="11" t="s">
        <x:v>305</x:v>
      </x:c>
      <x:c r="H20" s="11" t="s">
        <x:v>306</x:v>
      </x:c>
      <x:c r="I20" s="11" t="s">
        <x:v>307</x:v>
      </x:c>
      <x:c r="J20" s="11" t="s">
        <x:v>308</x:v>
      </x:c>
      <x:c r="K20" s="11" t="s">
        <x:v>309</x:v>
      </x:c>
      <x:c r="L20" s="11" t="s">
        <x:v>310</x:v>
      </x:c>
    </x:row>
    <x:row r="21" ht="188.10000610351562" customHeight="1">
      <x:c r="A21" s="10" t="s">
        <x:v>311</x:v>
      </x:c>
      <x:c r="B21" s="10" t="s">
        <x:v>39</x:v>
      </x:c>
      <x:c r="C21" s="11" t="s">
        <x:v>312</x:v>
      </x:c>
      <x:c r="D21" s="11" t="s">
        <x:v>165</x:v>
      </x:c>
      <x:c r="E21" s="11" t="s">
        <x:v>313</x:v>
      </x:c>
      <x:c r="F21" s="11" t="s">
        <x:v>167</x:v>
      </x:c>
      <x:c r="G21" s="11" t="s">
        <x:v>314</x:v>
      </x:c>
      <x:c r="H21" s="11" t="s">
        <x:v>315</x:v>
      </x:c>
      <x:c r="I21" s="11" t="s">
        <x:v>316</x:v>
      </x:c>
      <x:c r="J21" s="11" t="s">
        <x:v>317</x:v>
      </x:c>
      <x:c r="K21" s="11" t="s">
        <x:v>318</x:v>
      </x:c>
      <x:c r="L21" s="11" t="s">
        <x:v>319</x:v>
      </x:c>
    </x:row>
    <x:row r="22" ht="188.10000610351562" customHeight="1">
      <x:c r="A22" s="10" t="s">
        <x:v>320</x:v>
      </x:c>
      <x:c r="B22" s="10" t="s">
        <x:v>39</x:v>
      </x:c>
      <x:c r="C22" s="11" t="s">
        <x:v>321</x:v>
      </x:c>
      <x:c r="D22" s="11" t="s">
        <x:v>176</x:v>
      </x:c>
      <x:c r="E22" s="11" t="s">
        <x:v>322</x:v>
      </x:c>
      <x:c r="F22" s="11" t="s">
        <x:v>178</x:v>
      </x:c>
      <x:c r="G22" s="11" t="s">
        <x:v>323</x:v>
      </x:c>
      <x:c r="H22" s="11" t="s">
        <x:v>324</x:v>
      </x:c>
      <x:c r="I22" s="11" t="s">
        <x:v>325</x:v>
      </x:c>
      <x:c r="J22" s="11" t="s">
        <x:v>326</x:v>
      </x:c>
      <x:c r="K22" s="11" t="s">
        <x:v>327</x:v>
      </x:c>
      <x:c r="L22" s="11" t="s">
        <x:v>328</x:v>
      </x:c>
    </x:row>
    <x:row r="23" ht="188.10000610351562" customHeight="1">
      <x:c r="A23" s="10" t="s">
        <x:v>329</x:v>
      </x:c>
      <x:c r="B23" s="10" t="s">
        <x:v>39</x:v>
      </x:c>
      <x:c r="C23" s="11" t="s">
        <x:v>330</x:v>
      </x:c>
      <x:c r="D23" s="11" t="s">
        <x:v>187</x:v>
      </x:c>
      <x:c r="E23" s="11" t="s">
        <x:v>331</x:v>
      </x:c>
      <x:c r="F23" s="11" t="s">
        <x:v>178</x:v>
      </x:c>
      <x:c r="G23" s="11" t="s">
        <x:v>332</x:v>
      </x:c>
      <x:c r="H23" s="11" t="s">
        <x:v>333</x:v>
      </x:c>
      <x:c r="I23" s="11" t="s">
        <x:v>334</x:v>
      </x:c>
      <x:c r="J23" s="11" t="s">
        <x:v>335</x:v>
      </x:c>
      <x:c r="K23" s="11" t="s">
        <x:v>336</x:v>
      </x:c>
      <x:c r="L23" s="11" t="s">
        <x:v>173</x:v>
      </x:c>
    </x:row>
    <x:row r="24" ht="188.10000610351562" customHeight="1">
      <x:c r="A24" s="10" t="s">
        <x:v>337</x:v>
      </x:c>
      <x:c r="B24" s="10" t="s">
        <x:v>39</x:v>
      </x:c>
      <x:c r="C24" s="11" t="s">
        <x:v>338</x:v>
      </x:c>
      <x:c r="D24" s="11" t="s">
        <x:v>196</x:v>
      </x:c>
      <x:c r="E24" s="11" t="s">
        <x:v>339</x:v>
      </x:c>
      <x:c r="F24" s="11" t="s">
        <x:v>178</x:v>
      </x:c>
      <x:c r="G24" s="11" t="s">
        <x:v>340</x:v>
      </x:c>
      <x:c r="H24" s="11" t="s">
        <x:v>341</x:v>
      </x:c>
      <x:c r="I24" s="11" t="s">
        <x:v>342</x:v>
      </x:c>
      <x:c r="J24" s="11" t="s">
        <x:v>343</x:v>
      </x:c>
      <x:c r="K24" s="11" t="s">
        <x:v>344</x:v>
      </x:c>
      <x:c r="L24" s="11" t="s">
        <x:v>345</x:v>
      </x:c>
    </x:row>
    <x:row r="25" ht="188.10000610351562" customHeight="1">
      <x:c r="A25" s="10" t="s">
        <x:v>346</x:v>
      </x:c>
      <x:c r="B25" s="10" t="s">
        <x:v>39</x:v>
      </x:c>
      <x:c r="C25" s="11" t="s">
        <x:v>347</x:v>
      </x:c>
      <x:c r="D25" s="11" t="s">
        <x:v>176</x:v>
      </x:c>
      <x:c r="E25" s="11" t="s">
        <x:v>348</x:v>
      </x:c>
      <x:c r="F25" s="11" t="s">
        <x:v>207</x:v>
      </x:c>
      <x:c r="G25" s="11" t="s">
        <x:v>349</x:v>
      </x:c>
      <x:c r="H25" s="11" t="s">
        <x:v>350</x:v>
      </x:c>
      <x:c r="I25" s="11" t="s">
        <x:v>351</x:v>
      </x:c>
      <x:c r="J25" s="11" t="s">
        <x:v>352</x:v>
      </x:c>
      <x:c r="K25" s="11" t="s">
        <x:v>353</x:v>
      </x:c>
      <x:c r="L25" s="11" t="s">
        <x:v>173</x:v>
      </x:c>
    </x:row>
    <x:row r="26" ht="188.10000610351562" customHeight="1">
      <x:c r="A26" s="10" t="s">
        <x:v>354</x:v>
      </x:c>
      <x:c r="B26" s="10" t="s">
        <x:v>39</x:v>
      </x:c>
      <x:c r="C26" s="11" t="s">
        <x:v>355</x:v>
      </x:c>
      <x:c r="D26" s="11" t="s">
        <x:v>176</x:v>
      </x:c>
      <x:c r="E26" s="11" t="s">
        <x:v>356</x:v>
      </x:c>
      <x:c r="F26" s="11" t="s">
        <x:v>178</x:v>
      </x:c>
      <x:c r="G26" s="11" t="s">
        <x:v>349</x:v>
      </x:c>
      <x:c r="H26" s="11" t="s">
        <x:v>357</x:v>
      </x:c>
      <x:c r="I26" s="11" t="s">
        <x:v>358</x:v>
      </x:c>
      <x:c r="J26" s="11" t="s">
        <x:v>359</x:v>
      </x:c>
      <x:c r="K26" s="11" t="s">
        <x:v>360</x:v>
      </x:c>
      <x:c r="L26" s="11" t="s">
        <x:v>173</x:v>
      </x:c>
    </x:row>
    <x:row r="27" ht="188.10000610351562" customHeight="1">
      <x:c r="A27" s="10" t="s">
        <x:v>361</x:v>
      </x:c>
      <x:c r="B27" s="10" t="s">
        <x:v>39</x:v>
      </x:c>
      <x:c r="C27" s="11" t="s">
        <x:v>362</x:v>
      </x:c>
      <x:c r="D27" s="11" t="s">
        <x:v>187</x:v>
      </x:c>
      <x:c r="E27" s="11" t="s">
        <x:v>363</x:v>
      </x:c>
      <x:c r="F27" s="11" t="s">
        <x:v>178</x:v>
      </x:c>
      <x:c r="G27" s="11" t="s">
        <x:v>349</x:v>
      </x:c>
      <x:c r="H27" s="11" t="s">
        <x:v>364</x:v>
      </x:c>
      <x:c r="I27" s="11" t="s">
        <x:v>365</x:v>
      </x:c>
      <x:c r="J27" s="11" t="s">
        <x:v>366</x:v>
      </x:c>
      <x:c r="K27" s="11" t="s">
        <x:v>367</x:v>
      </x:c>
      <x:c r="L27" s="11" t="s">
        <x:v>184</x:v>
      </x:c>
    </x:row>
    <x:row r="28" ht="188.10000610351562" customHeight="1">
      <x:c r="A28" s="10" t="s">
        <x:v>368</x:v>
      </x:c>
      <x:c r="B28" s="10" t="s">
        <x:v>39</x:v>
      </x:c>
      <x:c r="C28" s="11" t="s">
        <x:v>369</x:v>
      </x:c>
      <x:c r="D28" s="11" t="s">
        <x:v>176</x:v>
      </x:c>
      <x:c r="E28" s="11" t="s">
        <x:v>370</x:v>
      </x:c>
      <x:c r="F28" s="11" t="s">
        <x:v>371</x:v>
      </x:c>
      <x:c r="G28" s="11" t="s">
        <x:v>372</x:v>
      </x:c>
      <x:c r="H28" s="11" t="s">
        <x:v>373</x:v>
      </x:c>
      <x:c r="I28" s="11" t="s">
        <x:v>374</x:v>
      </x:c>
      <x:c r="J28" s="11" t="s">
        <x:v>375</x:v>
      </x:c>
      <x:c r="K28" s="11" t="s">
        <x:v>376</x:v>
      </x:c>
      <x:c r="L28" s="11" t="s">
        <x:v>377</x:v>
      </x:c>
    </x:row>
    <x:row r="29" ht="188.10000610351562" customHeight="1">
      <x:c r="A29" s="10" t="s">
        <x:v>378</x:v>
      </x:c>
      <x:c r="B29" s="10" t="s">
        <x:v>39</x:v>
      </x:c>
      <x:c r="C29" s="11" t="s">
        <x:v>379</x:v>
      </x:c>
      <x:c r="D29" s="11" t="s">
        <x:v>205</x:v>
      </x:c>
      <x:c r="E29" s="11" t="s">
        <x:v>380</x:v>
      </x:c>
      <x:c r="F29" s="11" t="s">
        <x:v>207</x:v>
      </x:c>
      <x:c r="G29" s="11" t="s">
        <x:v>340</x:v>
      </x:c>
      <x:c r="H29" s="11" t="s">
        <x:v>381</x:v>
      </x:c>
      <x:c r="I29" s="11" t="s">
        <x:v>382</x:v>
      </x:c>
      <x:c r="J29" s="11" t="s">
        <x:v>383</x:v>
      </x:c>
      <x:c r="K29" s="11" t="s">
        <x:v>384</x:v>
      </x:c>
      <x:c r="L29" s="11" t="s">
        <x:v>385</x:v>
      </x:c>
    </x:row>
    <x:row r="30" ht="188.10000610351562" customHeight="1">
      <x:c r="A30" s="10" t="s">
        <x:v>386</x:v>
      </x:c>
      <x:c r="B30" s="10" t="s">
        <x:v>39</x:v>
      </x:c>
      <x:c r="C30" s="11" t="s">
        <x:v>387</x:v>
      </x:c>
      <x:c r="D30" s="11" t="s">
        <x:v>285</x:v>
      </x:c>
      <x:c r="E30" s="11" t="s">
        <x:v>388</x:v>
      </x:c>
      <x:c r="F30" s="11" t="s">
        <x:v>287</x:v>
      </x:c>
      <x:c r="G30" s="11" t="s">
        <x:v>349</x:v>
      </x:c>
      <x:c r="H30" s="11" t="s">
        <x:v>288</x:v>
      </x:c>
      <x:c r="I30" s="11" t="s">
        <x:v>389</x:v>
      </x:c>
      <x:c r="J30" s="11" t="s">
        <x:v>390</x:v>
      </x:c>
      <x:c r="K30" s="11" t="s">
        <x:v>391</x:v>
      </x:c>
      <x:c r="L30" s="11" t="s">
        <x:v>392</x:v>
      </x:c>
    </x:row>
    <x:row r="31" ht="188.10000610351562" customHeight="1">
      <x:c r="A31" s="12" t="s">
        <x:v>393</x:v>
      </x:c>
      <x:c r="B31" s="12" t="s">
        <x:v>46</x:v>
      </x:c>
      <x:c r="C31" s="13" t="s">
        <x:v>394</x:v>
      </x:c>
      <x:c r="D31" s="13" t="s">
        <x:v>145</x:v>
      </x:c>
      <x:c r="E31" s="13" t="s">
        <x:v>395</x:v>
      </x:c>
      <x:c r="F31" s="13" t="s">
        <x:v>147</x:v>
      </x:c>
      <x:c r="G31" s="13" t="s">
        <x:v>396</x:v>
      </x:c>
      <x:c r="H31" s="13" t="s">
        <x:v>397</x:v>
      </x:c>
      <x:c r="I31" s="13" t="s">
        <x:v>398</x:v>
      </x:c>
      <x:c r="J31" s="13" t="s">
        <x:v>399</x:v>
      </x:c>
      <x:c r="K31" s="13" t="s">
        <x:v>400</x:v>
      </x:c>
      <x:c r="L31" s="13" t="s">
        <x:v>401</x:v>
      </x:c>
    </x:row>
    <x:row r="32" ht="188.10000610351562" customHeight="1">
      <x:c r="A32" s="12" t="s">
        <x:v>402</x:v>
      </x:c>
      <x:c r="B32" s="12" t="s">
        <x:v>46</x:v>
      </x:c>
      <x:c r="C32" s="13" t="s">
        <x:v>403</x:v>
      </x:c>
      <x:c r="D32" s="13" t="s">
        <x:v>156</x:v>
      </x:c>
      <x:c r="E32" s="13" t="s">
        <x:v>404</x:v>
      </x:c>
      <x:c r="F32" s="13" t="s">
        <x:v>158</x:v>
      </x:c>
      <x:c r="G32" s="13" t="s">
        <x:v>405</x:v>
      </x:c>
      <x:c r="H32" s="13" t="s">
        <x:v>406</x:v>
      </x:c>
      <x:c r="I32" s="13" t="s">
        <x:v>407</x:v>
      </x:c>
      <x:c r="J32" s="13" t="s">
        <x:v>408</x:v>
      </x:c>
      <x:c r="K32" s="13" t="s">
        <x:v>409</x:v>
      </x:c>
      <x:c r="L32" s="13" t="s">
        <x:v>410</x:v>
      </x:c>
    </x:row>
    <x:row r="33" ht="188.10000610351562" customHeight="1">
      <x:c r="A33" s="12" t="s">
        <x:v>411</x:v>
      </x:c>
      <x:c r="B33" s="12" t="s">
        <x:v>46</x:v>
      </x:c>
      <x:c r="C33" s="13" t="s">
        <x:v>412</x:v>
      </x:c>
      <x:c r="D33" s="13" t="s">
        <x:v>165</x:v>
      </x:c>
      <x:c r="E33" s="13" t="s">
        <x:v>413</x:v>
      </x:c>
      <x:c r="F33" s="13" t="s">
        <x:v>167</x:v>
      </x:c>
      <x:c r="G33" s="13" t="s">
        <x:v>414</x:v>
      </x:c>
      <x:c r="H33" s="13" t="s">
        <x:v>415</x:v>
      </x:c>
      <x:c r="I33" s="13" t="s">
        <x:v>416</x:v>
      </x:c>
      <x:c r="J33" s="13" t="s">
        <x:v>417</x:v>
      </x:c>
      <x:c r="K33" s="13" t="s">
        <x:v>418</x:v>
      </x:c>
      <x:c r="L33" s="13" t="s">
        <x:v>419</x:v>
      </x:c>
    </x:row>
    <x:row r="34" ht="188.10000610351562" customHeight="1">
      <x:c r="A34" s="12" t="s">
        <x:v>420</x:v>
      </x:c>
      <x:c r="B34" s="12" t="s">
        <x:v>46</x:v>
      </x:c>
      <x:c r="C34" s="13" t="s">
        <x:v>421</x:v>
      </x:c>
      <x:c r="D34" s="13" t="s">
        <x:v>145</x:v>
      </x:c>
      <x:c r="E34" s="13" t="s">
        <x:v>422</x:v>
      </x:c>
      <x:c r="F34" s="13" t="s">
        <x:v>147</x:v>
      </x:c>
      <x:c r="G34" s="13" t="s">
        <x:v>396</x:v>
      </x:c>
      <x:c r="H34" s="13" t="s">
        <x:v>406</x:v>
      </x:c>
      <x:c r="I34" s="13" t="s">
        <x:v>423</x:v>
      </x:c>
      <x:c r="J34" s="13" t="s">
        <x:v>424</x:v>
      </x:c>
      <x:c r="K34" s="13" t="s">
        <x:v>425</x:v>
      </x:c>
      <x:c r="L34" s="13" t="s">
        <x:v>228</x:v>
      </x:c>
    </x:row>
    <x:row r="35" ht="188.10000610351562" customHeight="1">
      <x:c r="A35" s="12" t="s">
        <x:v>426</x:v>
      </x:c>
      <x:c r="B35" s="12" t="s">
        <x:v>46</x:v>
      </x:c>
      <x:c r="C35" s="13" t="s">
        <x:v>427</x:v>
      </x:c>
      <x:c r="D35" s="13" t="s">
        <x:v>176</x:v>
      </x:c>
      <x:c r="E35" s="13" t="s">
        <x:v>428</x:v>
      </x:c>
      <x:c r="F35" s="13" t="s">
        <x:v>178</x:v>
      </x:c>
      <x:c r="G35" s="13" t="s">
        <x:v>429</x:v>
      </x:c>
      <x:c r="H35" s="13" t="s">
        <x:v>430</x:v>
      </x:c>
      <x:c r="I35" s="13" t="s">
        <x:v>431</x:v>
      </x:c>
      <x:c r="J35" s="13" t="s">
        <x:v>432</x:v>
      </x:c>
      <x:c r="K35" s="13" t="s">
        <x:v>433</x:v>
      </x:c>
      <x:c r="L35" s="13" t="s">
        <x:v>184</x:v>
      </x:c>
    </x:row>
    <x:row r="36" ht="188.10000610351562" customHeight="1">
      <x:c r="A36" s="12" t="s">
        <x:v>434</x:v>
      </x:c>
      <x:c r="B36" s="12" t="s">
        <x:v>46</x:v>
      </x:c>
      <x:c r="C36" s="13" t="s">
        <x:v>435</x:v>
      </x:c>
      <x:c r="D36" s="13" t="s">
        <x:v>196</x:v>
      </x:c>
      <x:c r="E36" s="13" t="s">
        <x:v>436</x:v>
      </x:c>
      <x:c r="F36" s="13" t="s">
        <x:v>371</x:v>
      </x:c>
      <x:c r="G36" s="13" t="s">
        <x:v>429</x:v>
      </x:c>
      <x:c r="H36" s="13" t="s">
        <x:v>437</x:v>
      </x:c>
      <x:c r="I36" s="13" t="s">
        <x:v>438</x:v>
      </x:c>
      <x:c r="J36" s="13" t="s">
        <x:v>439</x:v>
      </x:c>
      <x:c r="K36" s="13" t="s">
        <x:v>440</x:v>
      </x:c>
      <x:c r="L36" s="13" t="s">
        <x:v>441</x:v>
      </x:c>
    </x:row>
    <x:row r="37" ht="188.10000610351562" customHeight="1">
      <x:c r="A37" s="12" t="s">
        <x:v>442</x:v>
      </x:c>
      <x:c r="B37" s="12" t="s">
        <x:v>46</x:v>
      </x:c>
      <x:c r="C37" s="13" t="s">
        <x:v>443</x:v>
      </x:c>
      <x:c r="D37" s="13" t="s">
        <x:v>196</x:v>
      </x:c>
      <x:c r="E37" s="13" t="s">
        <x:v>444</x:v>
      </x:c>
      <x:c r="F37" s="13" t="s">
        <x:v>445</x:v>
      </x:c>
      <x:c r="G37" s="13" t="s">
        <x:v>429</x:v>
      </x:c>
      <x:c r="H37" s="13" t="s">
        <x:v>446</x:v>
      </x:c>
      <x:c r="I37" s="13" t="s">
        <x:v>447</x:v>
      </x:c>
      <x:c r="J37" s="13" t="s">
        <x:v>448</x:v>
      </x:c>
      <x:c r="K37" s="13" t="s">
        <x:v>449</x:v>
      </x:c>
      <x:c r="L37" s="13" t="s">
        <x:v>184</x:v>
      </x:c>
    </x:row>
    <x:row r="38" ht="188.10000610351562" customHeight="1">
      <x:c r="A38" s="12" t="s">
        <x:v>450</x:v>
      </x:c>
      <x:c r="B38" s="12" t="s">
        <x:v>46</x:v>
      </x:c>
      <x:c r="C38" s="13" t="s">
        <x:v>451</x:v>
      </x:c>
      <x:c r="D38" s="13" t="s">
        <x:v>176</x:v>
      </x:c>
      <x:c r="E38" s="13" t="s">
        <x:v>452</x:v>
      </x:c>
      <x:c r="F38" s="13" t="s">
        <x:v>445</x:v>
      </x:c>
      <x:c r="G38" s="13" t="s">
        <x:v>453</x:v>
      </x:c>
      <x:c r="H38" s="13" t="s">
        <x:v>454</x:v>
      </x:c>
      <x:c r="I38" s="13" t="s">
        <x:v>455</x:v>
      </x:c>
      <x:c r="J38" s="13" t="s">
        <x:v>456</x:v>
      </x:c>
      <x:c r="K38" s="13" t="s">
        <x:v>457</x:v>
      </x:c>
      <x:c r="L38" s="13" t="s">
        <x:v>458</x:v>
      </x:c>
    </x:row>
    <x:row r="39" ht="188.10000610351562" customHeight="1">
      <x:c r="A39" s="12" t="s">
        <x:v>459</x:v>
      </x:c>
      <x:c r="B39" s="12" t="s">
        <x:v>46</x:v>
      </x:c>
      <x:c r="C39" s="13" t="s">
        <x:v>460</x:v>
      </x:c>
      <x:c r="D39" s="13" t="s">
        <x:v>187</x:v>
      </x:c>
      <x:c r="E39" s="13" t="s">
        <x:v>461</x:v>
      </x:c>
      <x:c r="F39" s="13" t="s">
        <x:v>178</x:v>
      </x:c>
      <x:c r="G39" s="13" t="s">
        <x:v>414</x:v>
      </x:c>
      <x:c r="H39" s="13" t="s">
        <x:v>462</x:v>
      </x:c>
      <x:c r="I39" s="13" t="s">
        <x:v>463</x:v>
      </x:c>
      <x:c r="J39" s="13" t="s">
        <x:v>464</x:v>
      </x:c>
      <x:c r="K39" s="13" t="s">
        <x:v>465</x:v>
      </x:c>
      <x:c r="L39" s="13" t="s">
        <x:v>184</x:v>
      </x:c>
    </x:row>
    <x:row r="40" ht="188.10000610351562" customHeight="1">
      <x:c r="A40" s="12" t="s">
        <x:v>466</x:v>
      </x:c>
      <x:c r="B40" s="12" t="s">
        <x:v>46</x:v>
      </x:c>
      <x:c r="C40" s="13" t="s">
        <x:v>467</x:v>
      </x:c>
      <x:c r="D40" s="13" t="s">
        <x:v>196</x:v>
      </x:c>
      <x:c r="E40" s="13" t="s">
        <x:v>468</x:v>
      </x:c>
      <x:c r="F40" s="13" t="s">
        <x:v>469</x:v>
      </x:c>
      <x:c r="G40" s="13" t="s">
        <x:v>414</x:v>
      </x:c>
      <x:c r="H40" s="13" t="s">
        <x:v>470</x:v>
      </x:c>
      <x:c r="I40" s="13" t="s">
        <x:v>471</x:v>
      </x:c>
      <x:c r="J40" s="13" t="s">
        <x:v>472</x:v>
      </x:c>
      <x:c r="K40" s="13" t="s">
        <x:v>473</x:v>
      </x:c>
      <x:c r="L40" s="13" t="s">
        <x:v>474</x:v>
      </x:c>
    </x:row>
    <x:row r="41" ht="188.10000610351562" customHeight="1">
      <x:c r="A41" s="12" t="s">
        <x:v>475</x:v>
      </x:c>
      <x:c r="B41" s="12" t="s">
        <x:v>46</x:v>
      </x:c>
      <x:c r="C41" s="13" t="s">
        <x:v>476</x:v>
      </x:c>
      <x:c r="D41" s="13" t="s">
        <x:v>176</x:v>
      </x:c>
      <x:c r="E41" s="13" t="s">
        <x:v>477</x:v>
      </x:c>
      <x:c r="F41" s="13" t="s">
        <x:v>478</x:v>
      </x:c>
      <x:c r="G41" s="13" t="s">
        <x:v>414</x:v>
      </x:c>
      <x:c r="H41" s="13" t="s">
        <x:v>479</x:v>
      </x:c>
      <x:c r="I41" s="13" t="s">
        <x:v>480</x:v>
      </x:c>
      <x:c r="J41" s="13" t="s">
        <x:v>481</x:v>
      </x:c>
      <x:c r="K41" s="13" t="s">
        <x:v>482</x:v>
      </x:c>
      <x:c r="L41" s="13" t="s">
        <x:v>483</x:v>
      </x:c>
    </x:row>
    <x:row r="42" ht="188.10000610351562" customHeight="1">
      <x:c r="A42" s="12" t="s">
        <x:v>484</x:v>
      </x:c>
      <x:c r="B42" s="12" t="s">
        <x:v>46</x:v>
      </x:c>
      <x:c r="C42" s="13" t="s">
        <x:v>485</x:v>
      </x:c>
      <x:c r="D42" s="13" t="s">
        <x:v>205</x:v>
      </x:c>
      <x:c r="E42" s="13" t="s">
        <x:v>486</x:v>
      </x:c>
      <x:c r="F42" s="13" t="s">
        <x:v>207</x:v>
      </x:c>
      <x:c r="G42" s="13" t="s">
        <x:v>414</x:v>
      </x:c>
      <x:c r="H42" s="13" t="s">
        <x:v>487</x:v>
      </x:c>
      <x:c r="I42" s="13" t="s">
        <x:v>488</x:v>
      </x:c>
      <x:c r="J42" s="13" t="s">
        <x:v>489</x:v>
      </x:c>
      <x:c r="K42" s="13" t="s">
        <x:v>490</x:v>
      </x:c>
      <x:c r="L42" s="13" t="s">
        <x:v>184</x:v>
      </x:c>
    </x:row>
    <x:row r="43" ht="188.10000610351562" customHeight="1">
      <x:c r="A43" s="12" t="s">
        <x:v>491</x:v>
      </x:c>
      <x:c r="B43" s="12" t="s">
        <x:v>46</x:v>
      </x:c>
      <x:c r="C43" s="13" t="s">
        <x:v>492</x:v>
      </x:c>
      <x:c r="D43" s="13" t="s">
        <x:v>285</x:v>
      </x:c>
      <x:c r="E43" s="13" t="s">
        <x:v>493</x:v>
      </x:c>
      <x:c r="F43" s="13" t="s">
        <x:v>287</x:v>
      </x:c>
      <x:c r="G43" s="13" t="s">
        <x:v>429</x:v>
      </x:c>
      <x:c r="H43" s="13" t="s">
        <x:v>288</x:v>
      </x:c>
      <x:c r="I43" s="13" t="s">
        <x:v>494</x:v>
      </x:c>
      <x:c r="J43" s="13" t="s">
        <x:v>495</x:v>
      </x:c>
      <x:c r="K43" s="13" t="s">
        <x:v>496</x:v>
      </x:c>
      <x:c r="L43" s="13" t="s">
        <x:v>497</x:v>
      </x:c>
    </x:row>
    <x:row r="44" ht="188.10000610351562" customHeight="1">
      <x:c r="A44" s="14" t="s">
        <x:v>498</x:v>
      </x:c>
      <x:c r="B44" s="14" t="s">
        <x:v>52</x:v>
      </x:c>
      <x:c r="C44" s="15" t="s">
        <x:v>499</x:v>
      </x:c>
      <x:c r="D44" s="15" t="s">
        <x:v>145</x:v>
      </x:c>
      <x:c r="E44" s="15" t="s">
        <x:v>500</x:v>
      </x:c>
      <x:c r="F44" s="15" t="s">
        <x:v>178</x:v>
      </x:c>
      <x:c r="G44" s="15" t="s">
        <x:v>501</x:v>
      </x:c>
      <x:c r="H44" s="15" t="s">
        <x:v>502</x:v>
      </x:c>
      <x:c r="I44" s="15" t="s">
        <x:v>503</x:v>
      </x:c>
      <x:c r="J44" s="15" t="s">
        <x:v>504</x:v>
      </x:c>
      <x:c r="K44" s="15" t="s">
        <x:v>505</x:v>
      </x:c>
      <x:c r="L44" s="15" t="s">
        <x:v>173</x:v>
      </x:c>
    </x:row>
    <x:row r="45" ht="188.10000610351562" customHeight="1">
      <x:c r="A45" s="14" t="s">
        <x:v>506</x:v>
      </x:c>
      <x:c r="B45" s="14" t="s">
        <x:v>52</x:v>
      </x:c>
      <x:c r="C45" s="15" t="s">
        <x:v>507</x:v>
      </x:c>
      <x:c r="D45" s="15" t="s">
        <x:v>196</x:v>
      </x:c>
      <x:c r="E45" s="15" t="s">
        <x:v>508</x:v>
      </x:c>
      <x:c r="F45" s="15" t="s">
        <x:v>445</x:v>
      </x:c>
      <x:c r="G45" s="15" t="s">
        <x:v>501</x:v>
      </x:c>
      <x:c r="H45" s="15" t="s">
        <x:v>509</x:v>
      </x:c>
      <x:c r="I45" s="15" t="s">
        <x:v>510</x:v>
      </x:c>
      <x:c r="J45" s="15" t="s">
        <x:v>511</x:v>
      </x:c>
      <x:c r="K45" s="15" t="s">
        <x:v>512</x:v>
      </x:c>
      <x:c r="L45" s="15" t="s">
        <x:v>173</x:v>
      </x:c>
    </x:row>
    <x:row r="46" ht="188.10000610351562" customHeight="1">
      <x:c r="A46" s="14" t="s">
        <x:v>513</x:v>
      </x:c>
      <x:c r="B46" s="14" t="s">
        <x:v>52</x:v>
      </x:c>
      <x:c r="C46" s="15" t="s">
        <x:v>514</x:v>
      </x:c>
      <x:c r="D46" s="15" t="s">
        <x:v>515</x:v>
      </x:c>
      <x:c r="E46" s="15" t="s">
        <x:v>516</x:v>
      </x:c>
      <x:c r="F46" s="15" t="s">
        <x:v>178</x:v>
      </x:c>
      <x:c r="G46" s="15" t="s">
        <x:v>501</x:v>
      </x:c>
      <x:c r="H46" s="15" t="s">
        <x:v>517</x:v>
      </x:c>
      <x:c r="I46" s="15" t="s">
        <x:v>518</x:v>
      </x:c>
      <x:c r="J46" s="15" t="s">
        <x:v>519</x:v>
      </x:c>
      <x:c r="K46" s="15" t="s">
        <x:v>520</x:v>
      </x:c>
      <x:c r="L46" s="15" t="s">
        <x:v>173</x:v>
      </x:c>
    </x:row>
    <x:row r="47" ht="188.10000610351562" customHeight="1">
      <x:c r="A47" s="14" t="s">
        <x:v>521</x:v>
      </x:c>
      <x:c r="B47" s="14" t="s">
        <x:v>52</x:v>
      </x:c>
      <x:c r="C47" s="15" t="s">
        <x:v>522</x:v>
      </x:c>
      <x:c r="D47" s="15" t="s">
        <x:v>187</x:v>
      </x:c>
      <x:c r="E47" s="15" t="s">
        <x:v>523</x:v>
      </x:c>
      <x:c r="F47" s="15" t="s">
        <x:v>178</x:v>
      </x:c>
      <x:c r="G47" s="15" t="s">
        <x:v>501</x:v>
      </x:c>
      <x:c r="H47" s="15" t="s">
        <x:v>524</x:v>
      </x:c>
      <x:c r="I47" s="15" t="s">
        <x:v>525</x:v>
      </x:c>
      <x:c r="J47" s="15" t="s">
        <x:v>526</x:v>
      </x:c>
      <x:c r="K47" s="15" t="s">
        <x:v>527</x:v>
      </x:c>
      <x:c r="L47" s="15" t="s">
        <x:v>173</x:v>
      </x:c>
    </x:row>
    <x:row r="48" ht="188.10000610351562" customHeight="1">
      <x:c r="A48" s="14" t="s">
        <x:v>528</x:v>
      </x:c>
      <x:c r="B48" s="14" t="s">
        <x:v>52</x:v>
      </x:c>
      <x:c r="C48" s="15" t="s">
        <x:v>529</x:v>
      </x:c>
      <x:c r="D48" s="15" t="s">
        <x:v>205</x:v>
      </x:c>
      <x:c r="E48" s="15" t="s">
        <x:v>530</x:v>
      </x:c>
      <x:c r="F48" s="15" t="s">
        <x:v>207</x:v>
      </x:c>
      <x:c r="G48" s="15" t="s">
        <x:v>501</x:v>
      </x:c>
      <x:c r="H48" s="15" t="s">
        <x:v>531</x:v>
      </x:c>
      <x:c r="I48" s="15" t="s">
        <x:v>532</x:v>
      </x:c>
      <x:c r="J48" s="15" t="s">
        <x:v>533</x:v>
      </x:c>
      <x:c r="K48" s="15" t="s">
        <x:v>534</x:v>
      </x:c>
      <x:c r="L48" s="15" t="s">
        <x:v>535</x:v>
      </x:c>
    </x:row>
    <x:row r="49" ht="188.10000610351562" customHeight="1">
      <x:c r="A49" s="14" t="s">
        <x:v>536</x:v>
      </x:c>
      <x:c r="B49" s="14" t="s">
        <x:v>52</x:v>
      </x:c>
      <x:c r="C49" s="15" t="s">
        <x:v>537</x:v>
      </x:c>
      <x:c r="D49" s="15" t="s">
        <x:v>205</x:v>
      </x:c>
      <x:c r="E49" s="15" t="s">
        <x:v>538</x:v>
      </x:c>
      <x:c r="F49" s="15" t="s">
        <x:v>207</x:v>
      </x:c>
      <x:c r="G49" s="15" t="s">
        <x:v>501</x:v>
      </x:c>
      <x:c r="H49" s="15" t="s">
        <x:v>539</x:v>
      </x:c>
      <x:c r="I49" s="15" t="s">
        <x:v>540</x:v>
      </x:c>
      <x:c r="J49" s="15" t="s">
        <x:v>541</x:v>
      </x:c>
      <x:c r="K49" s="15" t="s">
        <x:v>542</x:v>
      </x:c>
      <x:c r="L49" s="15" t="s">
        <x:v>173</x:v>
      </x:c>
    </x:row>
    <x:row r="50" ht="188.10000610351562" customHeight="1">
      <x:c r="A50" s="14" t="s">
        <x:v>543</x:v>
      </x:c>
      <x:c r="B50" s="14" t="s">
        <x:v>52</x:v>
      </x:c>
      <x:c r="C50" s="15" t="s">
        <x:v>544</x:v>
      </x:c>
      <x:c r="D50" s="15" t="s">
        <x:v>176</x:v>
      </x:c>
      <x:c r="E50" s="15" t="s">
        <x:v>545</x:v>
      </x:c>
      <x:c r="F50" s="15" t="s">
        <x:v>178</x:v>
      </x:c>
      <x:c r="G50" s="15" t="s">
        <x:v>501</x:v>
      </x:c>
      <x:c r="H50" s="15" t="s">
        <x:v>546</x:v>
      </x:c>
      <x:c r="I50" s="15" t="s">
        <x:v>547</x:v>
      </x:c>
      <x:c r="J50" s="15" t="s">
        <x:v>548</x:v>
      </x:c>
      <x:c r="K50" s="15" t="s">
        <x:v>549</x:v>
      </x:c>
      <x:c r="L50" s="15" t="s">
        <x:v>173</x:v>
      </x:c>
    </x:row>
    <x:row r="51" ht="188.10000610351562" customHeight="1">
      <x:c r="A51" s="14" t="s">
        <x:v>550</x:v>
      </x:c>
      <x:c r="B51" s="14" t="s">
        <x:v>52</x:v>
      </x:c>
      <x:c r="C51" s="15" t="s">
        <x:v>551</x:v>
      </x:c>
      <x:c r="D51" s="15" t="s">
        <x:v>285</x:v>
      </x:c>
      <x:c r="E51" s="15" t="s">
        <x:v>552</x:v>
      </x:c>
      <x:c r="F51" s="15" t="s">
        <x:v>287</x:v>
      </x:c>
      <x:c r="G51" s="15" t="s">
        <x:v>501</x:v>
      </x:c>
      <x:c r="H51" s="15" t="s">
        <x:v>553</x:v>
      </x:c>
      <x:c r="I51" s="15" t="s">
        <x:v>554</x:v>
      </x:c>
      <x:c r="J51" s="15" t="s">
        <x:v>555</x:v>
      </x:c>
      <x:c r="K51" s="15" t="s">
        <x:v>556</x:v>
      </x:c>
      <x:c r="L51" s="15" t="s">
        <x:v>557</x:v>
      </x:c>
    </x:row>
    <x:row r="52" ht="188.10000610351562" customHeight="1">
      <x:c r="A52" s="16" t="s">
        <x:v>558</x:v>
      </x:c>
      <x:c r="B52" s="16" t="s">
        <x:v>57</x:v>
      </x:c>
      <x:c r="C52" s="17" t="s">
        <x:v>559</x:v>
      </x:c>
      <x:c r="D52" s="17" t="s">
        <x:v>145</x:v>
      </x:c>
      <x:c r="E52" s="17" t="s">
        <x:v>560</x:v>
      </x:c>
      <x:c r="F52" s="17" t="s">
        <x:v>147</x:v>
      </x:c>
      <x:c r="G52" s="17" t="s">
        <x:v>561</x:v>
      </x:c>
      <x:c r="H52" s="17" t="s">
        <x:v>562</x:v>
      </x:c>
      <x:c r="I52" s="17" t="s">
        <x:v>563</x:v>
      </x:c>
      <x:c r="J52" s="17" t="s">
        <x:v>564</x:v>
      </x:c>
      <x:c r="K52" s="17" t="s">
        <x:v>565</x:v>
      </x:c>
      <x:c r="L52" s="17" t="s">
        <x:v>566</x:v>
      </x:c>
    </x:row>
    <x:row r="53" ht="188.10000610351562" customHeight="1">
      <x:c r="A53" s="16" t="s">
        <x:v>567</x:v>
      </x:c>
      <x:c r="B53" s="16" t="s">
        <x:v>57</x:v>
      </x:c>
      <x:c r="C53" s="17" t="s">
        <x:v>568</x:v>
      </x:c>
      <x:c r="D53" s="17" t="s">
        <x:v>196</x:v>
      </x:c>
      <x:c r="E53" s="17" t="s">
        <x:v>569</x:v>
      </x:c>
      <x:c r="F53" s="17" t="s">
        <x:v>469</x:v>
      </x:c>
      <x:c r="G53" s="17" t="s">
        <x:v>570</x:v>
      </x:c>
      <x:c r="H53" s="17" t="s">
        <x:v>571</x:v>
      </x:c>
      <x:c r="I53" s="17" t="s">
        <x:v>572</x:v>
      </x:c>
      <x:c r="J53" s="17" t="s">
        <x:v>573</x:v>
      </x:c>
      <x:c r="K53" s="17" t="s">
        <x:v>574</x:v>
      </x:c>
      <x:c r="L53" s="17" t="s">
        <x:v>575</x:v>
      </x:c>
    </x:row>
    <x:row r="54" ht="188.10000610351562" customHeight="1">
      <x:c r="A54" s="16" t="s">
        <x:v>576</x:v>
      </x:c>
      <x:c r="B54" s="16" t="s">
        <x:v>57</x:v>
      </x:c>
      <x:c r="C54" s="17" t="s">
        <x:v>577</x:v>
      </x:c>
      <x:c r="D54" s="17" t="s">
        <x:v>176</x:v>
      </x:c>
      <x:c r="E54" s="17" t="s">
        <x:v>578</x:v>
      </x:c>
      <x:c r="F54" s="17" t="s">
        <x:v>178</x:v>
      </x:c>
      <x:c r="G54" s="17" t="s">
        <x:v>579</x:v>
      </x:c>
      <x:c r="H54" s="17" t="s">
        <x:v>580</x:v>
      </x:c>
      <x:c r="I54" s="17" t="s">
        <x:v>581</x:v>
      </x:c>
      <x:c r="J54" s="17" t="s">
        <x:v>582</x:v>
      </x:c>
      <x:c r="K54" s="17" t="s">
        <x:v>583</x:v>
      </x:c>
      <x:c r="L54" s="17" t="s">
        <x:v>584</x:v>
      </x:c>
    </x:row>
    <x:row r="55" ht="188.10000610351562" customHeight="1">
      <x:c r="A55" s="16" t="s">
        <x:v>585</x:v>
      </x:c>
      <x:c r="B55" s="16" t="s">
        <x:v>57</x:v>
      </x:c>
      <x:c r="C55" s="17" t="s">
        <x:v>586</x:v>
      </x:c>
      <x:c r="D55" s="17" t="s">
        <x:v>196</x:v>
      </x:c>
      <x:c r="E55" s="17" t="s">
        <x:v>587</x:v>
      </x:c>
      <x:c r="F55" s="17" t="s">
        <x:v>588</x:v>
      </x:c>
      <x:c r="G55" s="17" t="s">
        <x:v>561</x:v>
      </x:c>
      <x:c r="H55" s="17" t="s">
        <x:v>589</x:v>
      </x:c>
      <x:c r="I55" s="17" t="s">
        <x:v>590</x:v>
      </x:c>
      <x:c r="J55" s="17" t="s">
        <x:v>591</x:v>
      </x:c>
      <x:c r="K55" s="17" t="s">
        <x:v>592</x:v>
      </x:c>
      <x:c r="L55" s="17" t="s">
        <x:v>593</x:v>
      </x:c>
    </x:row>
    <x:row r="56" ht="188.10000610351562" customHeight="1">
      <x:c r="A56" s="16" t="s">
        <x:v>594</x:v>
      </x:c>
      <x:c r="B56" s="16" t="s">
        <x:v>57</x:v>
      </x:c>
      <x:c r="C56" s="17" t="s">
        <x:v>595</x:v>
      </x:c>
      <x:c r="D56" s="17" t="s">
        <x:v>205</x:v>
      </x:c>
      <x:c r="E56" s="17" t="s">
        <x:v>596</x:v>
      </x:c>
      <x:c r="F56" s="17" t="s">
        <x:v>207</x:v>
      </x:c>
      <x:c r="G56" s="17" t="s">
        <x:v>570</x:v>
      </x:c>
      <x:c r="H56" s="17" t="s">
        <x:v>597</x:v>
      </x:c>
      <x:c r="I56" s="17" t="s">
        <x:v>598</x:v>
      </x:c>
      <x:c r="J56" s="17" t="s">
        <x:v>599</x:v>
      </x:c>
      <x:c r="K56" s="17" t="s">
        <x:v>600</x:v>
      </x:c>
      <x:c r="L56" s="17" t="s">
        <x:v>184</x:v>
      </x:c>
    </x:row>
    <x:row r="57" ht="188.10000610351562" customHeight="1">
      <x:c r="A57" s="16" t="s">
        <x:v>601</x:v>
      </x:c>
      <x:c r="B57" s="16" t="s">
        <x:v>57</x:v>
      </x:c>
      <x:c r="C57" s="17" t="s">
        <x:v>602</x:v>
      </x:c>
      <x:c r="D57" s="17" t="s">
        <x:v>176</x:v>
      </x:c>
      <x:c r="E57" s="17" t="s">
        <x:v>603</x:v>
      </x:c>
      <x:c r="F57" s="17" t="s">
        <x:v>178</x:v>
      </x:c>
      <x:c r="G57" s="17" t="s">
        <x:v>604</x:v>
      </x:c>
      <x:c r="H57" s="17" t="s">
        <x:v>605</x:v>
      </x:c>
      <x:c r="I57" s="17" t="s">
        <x:v>606</x:v>
      </x:c>
      <x:c r="J57" s="17" t="s">
        <x:v>607</x:v>
      </x:c>
      <x:c r="K57" s="17" t="s">
        <x:v>608</x:v>
      </x:c>
      <x:c r="L57" s="17" t="s">
        <x:v>609</x:v>
      </x:c>
    </x:row>
    <x:row r="58" ht="188.10000610351562" customHeight="1">
      <x:c r="A58" s="16" t="s">
        <x:v>610</x:v>
      </x:c>
      <x:c r="B58" s="16" t="s">
        <x:v>57</x:v>
      </x:c>
      <x:c r="C58" s="17" t="s">
        <x:v>611</x:v>
      </x:c>
      <x:c r="D58" s="17" t="s">
        <x:v>187</x:v>
      </x:c>
      <x:c r="E58" s="17" t="s">
        <x:v>612</x:v>
      </x:c>
      <x:c r="F58" s="17" t="s">
        <x:v>178</x:v>
      </x:c>
      <x:c r="G58" s="17" t="s">
        <x:v>604</x:v>
      </x:c>
      <x:c r="H58" s="17" t="s">
        <x:v>613</x:v>
      </x:c>
      <x:c r="I58" s="17" t="s">
        <x:v>614</x:v>
      </x:c>
      <x:c r="J58" s="17" t="s">
        <x:v>615</x:v>
      </x:c>
      <x:c r="K58" s="17" t="s">
        <x:v>616</x:v>
      </x:c>
      <x:c r="L58" s="17" t="s">
        <x:v>173</x:v>
      </x:c>
    </x:row>
    <x:row r="59" ht="188.10000610351562" customHeight="1">
      <x:c r="A59" s="16" t="s">
        <x:v>617</x:v>
      </x:c>
      <x:c r="B59" s="16" t="s">
        <x:v>57</x:v>
      </x:c>
      <x:c r="C59" s="17" t="s">
        <x:v>618</x:v>
      </x:c>
      <x:c r="D59" s="17" t="s">
        <x:v>619</x:v>
      </x:c>
      <x:c r="E59" s="17" t="s">
        <x:v>620</x:v>
      </x:c>
      <x:c r="F59" s="17" t="s">
        <x:v>167</x:v>
      </x:c>
      <x:c r="G59" s="17" t="s">
        <x:v>570</x:v>
      </x:c>
      <x:c r="H59" s="17" t="s">
        <x:v>621</x:v>
      </x:c>
      <x:c r="I59" s="17" t="s">
        <x:v>622</x:v>
      </x:c>
      <x:c r="J59" s="17" t="s">
        <x:v>623</x:v>
      </x:c>
      <x:c r="K59" s="17" t="s">
        <x:v>624</x:v>
      </x:c>
      <x:c r="L59" s="17" t="s">
        <x:v>625</x:v>
      </x:c>
    </x:row>
    <x:row r="60" ht="188.10000610351562" customHeight="1">
      <x:c r="A60" s="50" t="str">
        <x:v>T10</x:v>
      </x:c>
      <x:c r="B60" s="50" t="str">
        <x:v>L1d-TLB</x:v>
      </x:c>
      <x:c r="C60" s="49" t="str">
        <x:v>L1 d-TLB 有效表项的 PPN（Physical Page Number）数据字段。VPN/ASID 命中后，PPN 与页内偏移组成送往 L1D 的物理地址；该字段是 TC'23 类实验中最需要保留的基础对照。</x:v>
      </x:c>
      <x:c r="D60" s="49" t="str">
        <x:v>单比特翻转</x:v>
      </x:c>
      <x:c r="E60" s="49" t="str">
        <x:v>随机选择一个后续会再次命中的有效表项，在 PPN 内均匀翻转 1 bit；按低/中/高物理地址位分层，VPN、ASID、权限和页大小保持不变。仅当该表项之后被命中且故障 PPN 被用于形成物理地址时计为 activated；保存 entry、bit、原值、故障值和首次消费事务。</x:v>
      </x:c>
      <x:c r="F60" s="49" t="str">
        <x:v>F0 / F1 / F2</x:v>
      </x:c>
      <x:c r="G60" s="49" t="str">
        <x:v>MiBench-TC23 论文负载（blowfish、patricia、fft、gsm、dijkstra、rijndael、sha、bitcount、edge、smooth）
TLB-AliasPerm 地址翻译探针（4KiB/2MiB 页、ASID、同VA不同PA、权限、TLBI、跨页访问）
SPEC CPU2017 采样区间</x:v>
      </x:c>
      <x:c r="H60" s="49" t="str">
        <x:v>DTLB 中存在有效项且后续再次命中</x:v>
      </x:c>
      <x:c r="I60" s="49" t="str">
        <x:v>L0 attempted/activated；L1 PPN 原值/故障值与命中项；L2 翻译后PA、权限与页大小；L3 cache line/DRAM落点；L4首次错误load/store；L5结局；按bit区间统计</x:v>
      </x:c>
      <x:c r="J60" s="49" t="str">
        <x:v>高位翻转更可能触发地址异常或Crash；落入另一已映射物理页时可能产生SDC；与VPN-tag单比特结果不应混算</x:v>
      </x:c>
      <x:c r="K60" s="49" t="str">
        <x:v>补回旧版具备而新版缺失的字段级单比特基线，使PPN双比特、卡死和合法换值均有可比较的F0对照</x:v>
      </x:c>
      <x:c r="L60" s="49" t="str">
        <x:v>TC'22/TC'23 对 DTLB 瞬态注入提供直接机制与结果对照</x:v>
      </x:c>
    </x:row>
    <x:row r="61" ht="188.10000610351562" customHeight="1">
      <x:c r="A61" s="37" t="str">
        <x:v>S13</x:v>
      </x:c>
      <x:c r="B61" s="37" t="str">
        <x:v>Store Queue</x:v>
      </x:c>
      <x:c r="C61" s="36" t="str">
        <x:v>Store Queue 有效未提交表项的 store address/tag 字段。该字段决定最终写入地址，同时参与 store-to-load forwarding 和内存依赖冲突检查。</x:v>
      </x:c>
      <x:c r="D61" s="36" t="str">
        <x:v>单比特翻转</x:v>
      </x:c>
      <x:c r="E61" s="36" t="str">
        <x:v>在有效且未提交的 SQ 表项 address/tag 中翻转 1 bit，store data、byte-enable 和生命周期状态保持不变。只有当故障地址参与 forwarding 比较、冲突检查或最终 cache 写请求时计为 activated；记录是否被 violation/replay 或提交前检查捕获。</x:v>
      </x:c>
      <x:c r="F61" s="36" t="str">
        <x:v>F0 / F1 / F2</x:v>
      </x:c>
      <x:c r="G61" s="36" t="str">
        <x:v>MiBench-TC23 论文负载（blowfish、patricia、fft、gsm、dijkstra、rijndael、sha、bitcount、edge、smooth）
SQ-Forward 转发探针（同地址/部分重叠 store-to-load forwarding、字节掩码、alias、replay）
SPEC CPU2017 采样区间
SQLite-Speedtest1 真实应用（B树、事务与完整性检查）</x:v>
      </x:c>
      <x:c r="H61" s="36" t="str">
        <x:v>SQ 中存在地址已知、尚未提交且之后会被消费的 store</x:v>
      </x:c>
      <x:c r="I61" s="36" t="str">
        <x:v>L0目标寿命与activated；L1 SQ地址、age和状态；L2 forwarding/violation/replay、请求地址；L3实际写入line；L4 commit与内存副作用；L5结局</x:v>
      </x:c>
      <x:c r="J61" s="36" t="str">
        <x:v>大多数随机地址错误应被依赖检查、异常或回放捕获；少数形成合法错址时可能SDC，预期低于合法地址换值模型</x:v>
      </x:c>
      <x:c r="K61" s="36" t="str">
        <x:v>恢复保护机制基线，才能判断S04合法地址替换是否真正绕过了地址/tag通路的检查</x:v>
      </x:c>
      <x:c r="L61" s="36" t="str">
        <x:v>TC'23 对 LQ/SQ 地址类字段的低SDC结果可作直接对照；IISWC'15/HPCA'24提供LSQ背景</x:v>
      </x:c>
    </x:row>
    <x:row r="62" ht="188.10000610351562" customHeight="1">
      <x:c r="A62" s="37" t="str">
        <x:v>L01</x:v>
      </x:c>
      <x:c r="B62" s="37" t="str">
        <x:v>Load Queue</x:v>
      </x:c>
      <x:c r="C62" s="36" t="str">
        <x:v>Load Queue 有效表项的 load address/tag 字段。该字段保存已发射或等待完成的 load 地址，并用于与更老 store 做冲突检测和内存序违规检查。</x:v>
      </x:c>
      <x:c r="D62" s="36" t="str">
        <x:v>单比特翻转</x:v>
      </x:c>
      <x:c r="E62" s="36" t="str">
        <x:v>在有效 LQ 表项的地址/tag 中翻转 1 bit，目标 load 的目的寄存器、访问大小和其他状态不变。仅当故障字段之后参与 store 冲突比较、cache 请求或 violation 检查时计为 activated。</x:v>
      </x:c>
      <x:c r="F62" s="36" t="str">
        <x:v>F0 / F1 / F2</x:v>
      </x:c>
      <x:c r="G62" s="36" t="str">
        <x:v>MiBench-TC23 论文负载（blowfish、patricia、fft、gsm、dijkstra、rijndael、sha、bitcount、edge、smooth）
SQ-Forward 转发探针（同地址/部分重叠 store-to-load forwarding、字节掩码、alias、replay）
SQLite-Speedtest1 真实应用（B树、事务与完整性检查）</x:v>
      </x:c>
      <x:c r="H62" s="36" t="str">
        <x:v>LQ 中存在尚未退休且地址已知的有效 load</x:v>
      </x:c>
      <x:c r="I62" s="36" t="str">
        <x:v>L0目标寿命；L1 LQ地址/age/issued状态；L2 cache请求、store冲突、violation/replay；L3返回line；L4目的寄存器与commit；L5结局</x:v>
      </x:c>
      <x:c r="J62" s="36" t="str">
        <x:v>多数故障导致miss、replay或异常；若错误地址仍合法且违规检测未触发，可能把错误load值提交为SDC</x:v>
      </x:c>
      <x:c r="K62" s="36" t="str">
        <x:v>补齐旧版已有而新版完全删除的Load Queue基本存储字段覆盖</x:v>
      </x:c>
      <x:c r="L62" s="36" t="str">
        <x:v>TC'23、HPCA'24 对 LQ 直接注入；指标口径需与SQ分开</x:v>
      </x:c>
    </x:row>
    <x:row r="63" ht="188.10000610351562" customHeight="1">
      <x:c r="A63" s="37" t="str">
        <x:v>L02</x:v>
      </x:c>
      <x:c r="B63" s="37" t="str">
        <x:v>Load Queue</x:v>
      </x:c>
      <x:c r="C63" s="36" t="str">
        <x:v>Load Queue 表项的 valid、issued、completed、squashed 等生命周期状态。它们决定请求能否发出、返回值能否写回以及错误路径表项是否被清除。</x:v>
      </x:c>
      <x:c r="D63" s="36" t="str">
        <x:v>状态</x:v>
      </x:c>
      <x:c r="E63" s="36" t="str">
        <x:v>一次只改变一种状态转换：valid伪造/丢失、issued提前/丢失、completed提前、squashed未清除；不同时修改地址或数据。记录关联 dynamic instruction 和完整状态轨迹。只有故障状态被调度、完成或提交逻辑消费时计为 activated。</x:v>
      </x:c>
      <x:c r="F63" s="36" t="str">
        <x:v>F0 / F2 / F6</x:v>
      </x:c>
      <x:c r="G63" s="36" t="str">
        <x:v>SQ-Forward 转发探针（同地址/部分重叠 store-to-load forwarding、字节掩码、alias、replay）
SQLite-Speedtest1 真实应用（B树、事务与完整性检查）</x:v>
      </x:c>
      <x:c r="H63" s="36" t="str">
        <x:v>LQ 表项发生分配、发射、完成或清除状态转换</x:v>
      </x:c>
      <x:c r="I63" s="36" t="str">
        <x:v>L1状态轨迹与占用守恒；L2 issued/dropped/duplicate request；L3返回事务；L4写回、提交和错误路径副作用；L5结局</x:v>
      </x:c>
      <x:c r="J63" s="36" t="str">
        <x:v>completed提前或squashed未清除可能提交陈旧值；valid/issued丢失更常表现为重放、停顿或Timeout</x:v>
      </x:c>
      <x:c r="K63" s="36" t="str">
        <x:v>地址字段不足以代表LQ风险，生命周期错误可绕开单纯的数据完整性检查</x:v>
      </x:c>
      <x:c r="L63" s="36" t="str">
        <x:v>现有LQ文献多集中存储字段，本行为机制扩展</x:v>
      </x:c>
    </x:row>
    <x:row r="64" ht="188.10000610351562" customHeight="1">
      <x:c r="A64" s="37" t="str">
        <x:v>L03</x:v>
      </x:c>
      <x:c r="B64" s="37" t="str">
        <x:v>Load Queue</x:v>
      </x:c>
      <x:c r="C64" s="36" t="str">
        <x:v>Load Queue 的内存序违规检测与 replay 元数据，包括更老 store 的地址比较结果、violation 标记、replay 原因和重放选择。</x:v>
      </x:c>
      <x:c r="D64" s="36" t="str">
        <x:v>换值/时序</x:v>
      </x:c>
      <x:c r="E64" s="36" t="str">
        <x:v>当年轻 load 已执行而更老 store 地址稍后解析时，制造 false negative violation、丢失一次 replay，或把 replay 目标替换为另一条有效 load。三种子模型独立执行；数据本身不翻转。仅当存在真实或潜在地址冲突时计为 eligible。</x:v>
      </x:c>
      <x:c r="F64" s="36" t="str">
        <x:v>F0 / F4 / F6</x:v>
      </x:c>
      <x:c r="G64" s="36" t="str">
        <x:v>SQ-Forward 转发探针（同地址/部分重叠 store-to-load forwarding、字节掩码、alias、replay）
SQLite-Speedtest1 真实应用（B树、事务与完整性检查）</x:v>
      </x:c>
      <x:c r="H64" s="36" t="str">
        <x:v>年轻load先执行且更老store地址在后续周期解析</x:v>
      </x:c>
      <x:c r="I64" s="36" t="str">
        <x:v>L1比较向量与replay队列；L2 violation、replay、load数据来源；L3最终内存可见序；L4提交值；L5结局</x:v>
      </x:c>
      <x:c r="J64" s="36" t="str">
        <x:v>false negative或replay丢失可能让陈旧load值静默提交；false positive主要造成性能下降</x:v>
      </x:c>
      <x:c r="K64" s="36" t="str">
        <x:v>把内存依赖预测错误与最终正确性兜底机制分开，覆盖真正可能把预测错误升级为SDC的路径</x:v>
      </x:c>
      <x:c r="L64" s="36" t="str">
        <x:v>与TC'23所述提交前依赖检查保护机制直接相关；具体逻辑故障缺少现有实测</x:v>
      </x:c>
    </x:row>
    <x:row r="65" ht="188.10000610351562" customHeight="1">
      <x:c r="A65" s="37" t="str">
        <x:v>L04</x:v>
      </x:c>
      <x:c r="B65" s="37" t="str">
        <x:v>Load Queue</x:v>
      </x:c>
      <x:c r="C65" s="36" t="str">
        <x:v>cache 返回到 LSU/LQ 的 load response transaction ID、目标动态指令和目的寄存器路由。多个在途 load 返回时必须与原请求一一配对。</x:v>
      </x:c>
      <x:c r="D65" s="36" t="str">
        <x:v>换值</x:v>
      </x:c>
      <x:c r="E65" s="36" t="str">
        <x:v>在至少两个在途 load 时，把返回响应的 transaction ID 或目标动态指令替换为另一当前有效 load 的 ID；返回 data 保持原值。每次只错配一个响应，保存 source/target ID。只有错误响应被写回或参与提交时计为 activated。</x:v>
      </x:c>
      <x:c r="F65" s="36" t="str">
        <x:v>F0 / F2 / F6</x:v>
      </x:c>
      <x:c r="G65" s="36" t="str">
        <x:v>SQ-Forward 转发探针（同地址/部分重叠 store-to-load forwarding、字节掩码、alias、replay）
SPEC CPU2017 采样区间
SQLite-Speedtest1 真实应用（B树、事务与完整性检查）</x:v>
      </x:c>
      <x:c r="H65" s="36" t="str">
        <x:v>同时存在至少两个在途load且发生cache response</x:v>
      </x:c>
      <x:c r="I65" s="36" t="str">
        <x:v>L1 LQ目标与response ID；L2请求-响应配对；L3返回line；L4目的寄存器、首个错误commit及扇出；L5结局</x:v>
      </x:c>
      <x:c r="J65" s="36" t="str">
        <x:v>两个响应数据各自合法但送错消费者，异常检测较弱，可能形成高SDC路径</x:v>
      </x:c>
      <x:c r="K65" s="36" t="str">
        <x:v>补足LQ除地址/状态之外的返回配对风险，与MSHR target错配形成端到端对照</x:v>
      </x:c>
      <x:c r="L65" s="36" t="str">
        <x:v>无直接字段级文献；与MSHR/ROB目标错配机制类比</x:v>
      </x:c>
    </x:row>
    <x:row r="66" ht="188.10000610351562" customHeight="1">
      <x:c r="A66" s="57" t="str">
        <x:v>C14</x:v>
      </x:c>
      <x:c r="B66" s="57" t="str">
        <x:v>L1d-Cache</x:v>
      </x:c>
      <x:c r="C66" s="56" t="str">
        <x:v>L1D MSHR 表项的 busy/occupied 状态和释放路径。请求完成后表项应准确释放；状态卡死会逐步耗尽可用 MSHR。</x:v>
      </x:c>
      <x:c r="D66" s="56" t="str">
        <x:v>卡死</x:v>
      </x:c>
      <x:c r="E66" s="56" t="str">
        <x:v>warm-up 后选择一个 MSHR 表项，使 busy/occupied stuck-at-1；对应 miss 正常完成，但表项不回到 free list。每次运行只固定一个表项，并记录实际可用容量、排队长度和是否形成死锁。</x:v>
      </x:c>
      <x:c r="F66" s="56" t="str">
        <x:v>F5</x:v>
      </x:c>
      <x:c r="G66" s="56" t="str">
        <x:v>Cache-DirtyEvict 缓存探针（0.5×/1×/2×L1D working set、conflict set、dirty eviction、writeback）
STREAM+PointerChase（Copy、Scale、Add、Triad 与随机指针链）</x:v>
      </x:c>
      <x:c r="H66" s="56" t="str">
        <x:v>目标MSHR首次完成并应释放后持续</x:v>
      </x:c>
      <x:c r="I66" s="56" t="str">
        <x:v>L1 MSHR占用与free list；L2 miss发射/阻塞；L3fill完成；L4提交进度；L5性能、Timeout和结局</x:v>
      </x:c>
      <x:c r="J66" s="56" t="str">
        <x:v>主要表现为容量退化和Timeout；若实现错误复用被占用表项，则可能升级为数据错配</x:v>
      </x:c>
      <x:c r="K66" s="56" t="str">
        <x:v>恢复旧版已有的MSHR资源泄漏模型，与C11的数据/target错配分开归因</x:v>
      </x:c>
      <x:c r="L66" s="56" t="str">
        <x:v>无直接文献；资源状态机制推理</x:v>
      </x:c>
    </x:row>
    <x:row r="67" ht="188.10000610351562" customHeight="1">
      <x:c r="A67" s="57" t="str">
        <x:v>C15</x:v>
      </x:c>
      <x:c r="B67" s="57" t="str">
        <x:v>L1d-Cache</x:v>
      </x:c>
      <x:c r="C67" s="56" t="str">
        <x:v>L1D MSHR occupancy counter、free-list 和容量仲裁逻辑。它决定是否允许新 miss 分配以及选择哪个空闲表项。</x:v>
      </x:c>
      <x:c r="D67" s="56" t="str">
        <x:v>状态/换值</x:v>
      </x:c>
      <x:c r="E67" s="56" t="str">
        <x:v>独立执行三种子模型：占用计数±1、在容量已满时伪造空位、free-list选择另一在用表项。仅在仲裁结果真正允许/阻止一次miss分配时计为 activated；不得与C11 target错配同时注入。</x:v>
      </x:c>
      <x:c r="F67" s="56" t="str">
        <x:v>F0 / F4 / F6</x:v>
      </x:c>
      <x:c r="G67" s="56" t="str">
        <x:v>Cache-DirtyEvict 缓存探针（0.5×/1×/2×L1D working set、conflict set、dirty eviction、writeback）
STREAM+PointerChase（Copy、Scale、Add、Triad 与随机指针链）
SPEC CPU2017 采样区间</x:v>
      </x:c>
      <x:c r="H67" s="56" t="str">
        <x:v>MSHR接近或达到容量上限时发生新miss分配</x:v>
      </x:c>
      <x:c r="I67" s="56" t="str">
        <x:v>L1 occupancy/free-list守恒；L2分配、阻塞和覆盖对象；L3fill transaction ID；L4错误load值/停顿；L5结局</x:v>
      </x:c>
      <x:c r="J67" s="56" t="str">
        <x:v>少计可能覆盖在用表项并造成响应错配或SDC；多计主要降低并发度并增加Timeout风险</x:v>
      </x:c>
      <x:c r="K67" s="56" t="str">
        <x:v>补回旧版容量计数逻辑，并显式区分资源记账错误与MSHR内容错误</x:v>
      </x:c>
      <x:c r="L67" s="56" t="str">
        <x:v>无直接文献；MSHR容量和并发miss机制推理</x:v>
      </x:c>
    </x:row>
    <x:row r="68" ht="188.10000610351562" customHeight="1">
      <x:c r="A68" s="64" t="str">
        <x:v>O09</x:v>
      </x:c>
      <x:c r="B68" s="64" t="str">
        <x:v>原子与同步</x:v>
      </x:c>
      <x:c r="C68" s="63" t="str">
        <x:v>LSE 原子 RMW 指令的 compare、replacement、addend、old-value 或 result 数据锁存器。该位置保存原子操作真实参与计算或返回软件的数据。</x:v>
      </x:c>
      <x:c r="D68" s="63" t="str">
        <x:v>单比特翻转</x:v>
      </x:c>
      <x:c r="E68" s="63" t="str">
        <x:v>在一次 CAS/SWP/LDADD 等原子操作中，只对一个操作数或结果锁存器翻转 1 bit；地址、操作码、成功状态和事务时序不变。compare/replacement/addend/old-value 分开统计。仅当故障值参与比较、写内存或返回软件时计为 activated。</x:v>
      </x:c>
      <x:c r="F68" s="63" t="str">
        <x:v>F0 / F1 / F2</x:v>
      </x:c>
      <x:c r="G68" s="63" t="str">
        <x:v>Atomic-Litmus 并发探针（MP、SB、LB、IRIW、Dekker、ticket lock、CAS counter、LDXR/STXR）
PARSEC-Selected 多线程应用（共享队列、锁与任务并行）</x:v>
      </x:c>
      <x:c r="H68" s="63" t="str">
        <x:v>CAS/SWP/LDADD 等原子操作进入执行或返回阶段</x:v>
      </x:c>
      <x:c r="I68" s="63" t="str">
        <x:v>L1正确/故障操作数；L2原子请求和成功判定；L3内存更新与全局可见序；L4返回寄存器、共享变量和锁状态；L5结局</x:v>
      </x:c>
      <x:c r="J68" s="63" t="str">
        <x:v>可能造成错误比较、错误更新或错误返回，通常不触发地址异常；在复杂同步负载中可表现为lost update、死锁或SDC</x:v>
      </x:c>
      <x:c r="K68" s="63" t="str">
        <x:v>恢复旧版最基本的原子数据瞬态基线，使O04结构化MUX错选有可比较对象</x:v>
      </x:c>
      <x:c r="L68" s="63" t="str">
        <x:v>本地论文缺少原子单元直接结果；属于必要基础故障模型</x:v>
      </x:c>
    </x:row>
    <x:row r="69" ht="188.10000610351562" customHeight="1">
      <x:c r="A69" s="71" t="str">
        <x:v>P09</x:v>
      </x:c>
      <x:c r="B69" s="71" t="str">
        <x:v>数据预取器</x:v>
      </x:c>
      <x:c r="C69" s="70" t="str">
        <x:v>由预取请求触发的 cache victim 选择、dirty victim writeback 请求及完成握手。该路径与需求miss共享底层写回资源，但触发来源明确标记为prefetch。</x:v>
      </x:c>
      <x:c r="D69" s="70" t="str">
        <x:v>时序/状态</x:v>
      </x:c>
      <x:c r="E69" s="70" t="str">
        <x:v>仅在预取分配导致 dirty line 驱逐时，独立执行：丢失writeback request、提前报告writeback done、或把dirty状态错误清除。victim tag/data 保持不变；记录prefetch transaction和victim line。</x:v>
      </x:c>
      <x:c r="F69" s="70" t="str">
        <x:v>F0 / F4 / F6</x:v>
      </x:c>
      <x:c r="G69" s="70" t="str">
        <x:v>Cache-DirtyEvict 缓存探针（0.5×/1×/2×L1D working set、conflict set、dirty eviction、writeback）
Prefetch-Stride 预取探针（正/负/交错 stride、pointer chase、跨页 stride、训练后变步长）
PARSEC-Selected 多线程应用（共享队列、锁与任务并行）</x:v>
      </x:c>
      <x:c r="H69" s="70" t="str">
        <x:v>prefetch分配cache line并驱逐dirty victim</x:v>
      </x:c>
      <x:c r="I69" s="70" t="str">
        <x:v>L1预取来源与victim选择；L2prefetch/demand分类和request ID；L3dirty、writeback地址/数据及后续重读；L4共享变量/输出；L5结局</x:v>
      </x:c>
      <x:c r="J69" s="70" t="str">
        <x:v>跳过脏行写回会静默丢失最新数据；与普通预取地址错误不同，预期可产生非零SDC</x:v>
      </x:c>
      <x:c r="K69" s="70" t="str">
        <x:v>恢复旧版对预取触发脏驱逐的独立问题定义，用事件标签检验预取激进度是否放大正确性风险</x:v>
      </x:c>
      <x:c r="L69" s="70" t="str">
        <x:v>无直接预取器文献；与L1D dirty/writeback故障共享机制但触发来源不同</x:v>
      </x:c>
    </x:row>
  </x:sheetData>
  <x:pageMargins left="0.7" right="0.7" top="0.75" bottom="0.75" header="0.3" footer="0.3"/>
</x:worksheet>
</file>

<file path=xl/worksheets/sheet5.xml><?xml version="1.0" encoding="utf-8"?>
<x:worksheet xmlns:x="http://schemas.openxmlformats.org/spreadsheetml/2006/main">
  <x:sheetPr>
    <x:tabColor rgb="FF4472C4"/>
  </x:sheetPr>
  <x:sheetViews>
    <x:sheetView showGridLines="0" workbookViewId="0">
      <x:pane ySplit="1" topLeftCell="A2" activePane="bottomLeft" state="frozen"/>
    </x:sheetView>
  </x:sheetViews>
  <x:sheetFormatPr defaultRowHeight="14.25"/>
  <x:cols>
    <x:col min="1" max="1" width="10" style="2" customWidth="1"/>
    <x:col min="2" max="2" width="20" style="2" customWidth="1"/>
    <x:col min="3" max="3" width="66" style="2" customWidth="1"/>
    <x:col min="4" max="4" width="65" style="2" customWidth="1"/>
    <x:col min="5" max="5" width="28" style="2" customWidth="1"/>
    <x:col min="6" max="6" width="44" style="2" customWidth="1"/>
    <x:col min="7" max="16384" width="9" style="2" customWidth="0"/>
  </x:cols>
  <x:sheetData>
    <x:row r="1" ht="33.95000076293945" customHeight="1">
      <x:c r="A1" s="5" t="s">
        <x:v>626</x:v>
      </x:c>
      <x:c r="B1" s="5" t="s">
        <x:v>627</x:v>
      </x:c>
      <x:c r="C1" s="5" t="s">
        <x:v>628</x:v>
      </x:c>
      <x:c r="D1" s="5" t="s">
        <x:v>629</x:v>
      </x:c>
      <x:c r="E1" s="5" t="s">
        <x:v>630</x:v>
      </x:c>
      <x:c r="F1" s="5" t="s">
        <x:v>631</x:v>
      </x:c>
    </x:row>
    <x:row r="2" ht="81.94999694824219" customHeight="1">
      <x:c r="A2" s="21" t="s">
        <x:v>632</x:v>
      </x:c>
      <x:c r="B2" s="19" t="s">
        <x:v>633</x:v>
      </x:c>
      <x:c r="C2" s="19" t="s">
        <x:v>634</x:v>
      </x:c>
      <x:c r="D2" s="19" t="s">
        <x:v>635</x:v>
      </x:c>
      <x:c r="E2" s="19" t="s">
        <x:v>636</x:v>
      </x:c>
      <x:c r="F2" s="19" t="s">
        <x:v>637</x:v>
      </x:c>
    </x:row>
    <x:row r="3" ht="81.94999694824219" customHeight="1">
      <x:c r="A3" s="21" t="s">
        <x:v>638</x:v>
      </x:c>
      <x:c r="B3" s="19" t="s">
        <x:v>639</x:v>
      </x:c>
      <x:c r="C3" s="19" t="s">
        <x:v>640</x:v>
      </x:c>
      <x:c r="D3" s="19" t="s">
        <x:v>641</x:v>
      </x:c>
      <x:c r="E3" s="19" t="s">
        <x:v>642</x:v>
      </x:c>
      <x:c r="F3" s="19" t="s">
        <x:v>643</x:v>
      </x:c>
    </x:row>
    <x:row r="4" ht="81.94999694824219" customHeight="1">
      <x:c r="A4" s="21" t="s">
        <x:v>644</x:v>
      </x:c>
      <x:c r="B4" s="19" t="s">
        <x:v>645</x:v>
      </x:c>
      <x:c r="C4" s="19" t="s">
        <x:v>646</x:v>
      </x:c>
      <x:c r="D4" s="19" t="s">
        <x:v>647</x:v>
      </x:c>
      <x:c r="E4" s="19" t="s">
        <x:v>648</x:v>
      </x:c>
      <x:c r="F4" s="19" t="s">
        <x:v>643</x:v>
      </x:c>
    </x:row>
    <x:row r="5" ht="81.94999694824219" customHeight="1">
      <x:c r="A5" s="21" t="s">
        <x:v>649</x:v>
      </x:c>
      <x:c r="B5" s="19" t="s">
        <x:v>650</x:v>
      </x:c>
      <x:c r="C5" s="19" t="s">
        <x:v>651</x:v>
      </x:c>
      <x:c r="D5" s="19" t="s">
        <x:v>652</x:v>
      </x:c>
      <x:c r="E5" s="19" t="s">
        <x:v>653</x:v>
      </x:c>
      <x:c r="F5" s="19" t="s">
        <x:v>643</x:v>
      </x:c>
    </x:row>
    <x:row r="6" ht="81.94999694824219" customHeight="1">
      <x:c r="A6" s="21" t="s">
        <x:v>654</x:v>
      </x:c>
      <x:c r="B6" s="19" t="s">
        <x:v>655</x:v>
      </x:c>
      <x:c r="C6" s="19" t="s">
        <x:v>656</x:v>
      </x:c>
      <x:c r="D6" s="19" t="s">
        <x:v>657</x:v>
      </x:c>
      <x:c r="E6" s="19" t="s">
        <x:v>636</x:v>
      </x:c>
      <x:c r="F6" s="19" t="s">
        <x:v>643</x:v>
      </x:c>
    </x:row>
    <x:row r="7" ht="81.94999694824219" customHeight="1">
      <x:c r="A7" s="21" t="s">
        <x:v>658</x:v>
      </x:c>
      <x:c r="B7" s="19" t="s">
        <x:v>659</x:v>
      </x:c>
      <x:c r="C7" s="19" t="s">
        <x:v>660</x:v>
      </x:c>
      <x:c r="D7" s="19" t="s">
        <x:v>661</x:v>
      </x:c>
      <x:c r="E7" s="19" t="s">
        <x:v>636</x:v>
      </x:c>
      <x:c r="F7" s="19" t="s">
        <x:v>662</x:v>
      </x:c>
    </x:row>
  </x:sheetData>
  <x:pageMargins left="0.7" right="0.7" top="0.75" bottom="0.75" header="0.3" footer="0.3"/>
  <x:tableParts count="1">
    <x:tablePart xmlns:r="http://schemas.openxmlformats.org/officeDocument/2006/relationships" r:id="R5f9f06b3ece249a9"/>
  </x:tableParts>
</x:worksheet>
</file>

<file path=xl/worksheets/sheet6.xml><?xml version="1.0" encoding="utf-8"?>
<x:worksheet xmlns:x="http://schemas.openxmlformats.org/spreadsheetml/2006/main">
  <x:sheetPr>
    <x:tabColor rgb="FF4472C4"/>
  </x:sheetPr>
  <x:sheetViews>
    <x:sheetView showGridLines="0" workbookViewId="0">
      <x:pane ySplit="1" topLeftCell="A2" activePane="bottomLeft" state="frozen"/>
    </x:sheetView>
  </x:sheetViews>
  <x:sheetFormatPr defaultRowHeight="14.25"/>
  <x:cols>
    <x:col min="1" max="1" width="18" style="2" customWidth="1"/>
    <x:col min="2" max="2" width="58" style="2" customWidth="1"/>
    <x:col min="3" max="3" width="25" style="2" customWidth="1"/>
    <x:col min="4" max="4" width="28" style="2" customWidth="1"/>
    <x:col min="5" max="5" width="45" style="2" customWidth="1"/>
    <x:col min="6" max="6" width="38" style="2" customWidth="1"/>
    <x:col min="7" max="16384" width="9" style="2" customWidth="0"/>
  </x:cols>
  <x:sheetData>
    <x:row r="1" ht="33.95000076293945" customHeight="1">
      <x:c r="A1" s="5" t="s">
        <x:v>663</x:v>
      </x:c>
      <x:c r="B1" s="5" t="s">
        <x:v>627</x:v>
      </x:c>
      <x:c r="C1" s="5" t="s">
        <x:v>628</x:v>
      </x:c>
      <x:c r="D1" s="5" t="s">
        <x:v>664</x:v>
      </x:c>
      <x:c r="E1" s="5" t="s">
        <x:v>665</x:v>
      </x:c>
    </x:row>
    <x:row r="2" ht="62.099998474121094" customHeight="1">
      <x:c r="A2" s="19" t="s">
        <x:v>666</x:v>
      </x:c>
      <x:c r="B2" s="19" t="s">
        <x:v>667</x:v>
      </x:c>
      <x:c r="C2" s="19" t="s">
        <x:v>668</x:v>
      </x:c>
      <x:c r="D2" s="19" t="s">
        <x:v>669</x:v>
      </x:c>
      <x:c r="E2" s="19" t="s">
        <x:v>670</x:v>
      </x:c>
    </x:row>
    <x:row r="3" ht="62.099998474121094" customHeight="1">
      <x:c r="A3" s="19" t="s">
        <x:v>671</x:v>
      </x:c>
      <x:c r="B3" s="19" t="s">
        <x:v>672</x:v>
      </x:c>
      <x:c r="C3" s="19" t="s">
        <x:v>673</x:v>
      </x:c>
      <x:c r="D3" s="19" t="s">
        <x:v>674</x:v>
      </x:c>
      <x:c r="E3" s="19" t="s">
        <x:v>675</x:v>
      </x:c>
    </x:row>
    <x:row r="4" ht="62.099998474121094" customHeight="1">
      <x:c r="A4" s="19" t="s">
        <x:v>676</x:v>
      </x:c>
      <x:c r="B4" s="19" t="s">
        <x:v>677</x:v>
      </x:c>
      <x:c r="C4" s="19" t="s">
        <x:v>678</x:v>
      </x:c>
      <x:c r="D4" s="19" t="s">
        <x:v>669</x:v>
      </x:c>
      <x:c r="E4" s="19" t="s">
        <x:v>679</x:v>
      </x:c>
    </x:row>
    <x:row r="5" ht="62.099998474121094" customHeight="1">
      <x:c r="A5" s="19" t="s">
        <x:v>680</x:v>
      </x:c>
      <x:c r="B5" s="19" t="s">
        <x:v>681</x:v>
      </x:c>
      <x:c r="C5" s="19" t="s">
        <x:v>682</x:v>
      </x:c>
      <x:c r="D5" s="19" t="s">
        <x:v>674</x:v>
      </x:c>
      <x:c r="E5" s="19" t="s">
        <x:v>683</x:v>
      </x:c>
    </x:row>
    <x:row r="6" ht="62.099998474121094" customHeight="1">
      <x:c r="A6" s="19" t="s">
        <x:v>684</x:v>
      </x:c>
      <x:c r="B6" s="19" t="s">
        <x:v>685</x:v>
      </x:c>
      <x:c r="C6" s="19" t="s">
        <x:v>686</x:v>
      </x:c>
      <x:c r="D6" s="19" t="s">
        <x:v>687</x:v>
      </x:c>
      <x:c r="E6" s="19" t="s">
        <x:v>688</x:v>
      </x:c>
    </x:row>
    <x:row r="7" ht="62.099998474121094" customHeight="1">
      <x:c r="A7" s="19" t="s">
        <x:v>167</x:v>
      </x:c>
      <x:c r="B7" s="19" t="s">
        <x:v>689</x:v>
      </x:c>
      <x:c r="C7" s="19" t="s">
        <x:v>690</x:v>
      </x:c>
      <x:c r="D7" s="19" t="s">
        <x:v>691</x:v>
      </x:c>
      <x:c r="E7" s="19" t="s">
        <x:v>692</x:v>
      </x:c>
    </x:row>
    <x:row r="8" ht="62.099998474121094" customHeight="1">
      <x:c r="A8" s="19" t="s">
        <x:v>693</x:v>
      </x:c>
      <x:c r="B8" s="19" t="s">
        <x:v>694</x:v>
      </x:c>
      <x:c r="C8" s="19" t="s">
        <x:v>695</x:v>
      </x:c>
      <x:c r="D8" s="19" t="s">
        <x:v>696</x:v>
      </x:c>
      <x:c r="E8" s="19" t="s">
        <x:v>697</x:v>
      </x:c>
    </x:row>
    <x:row r="11" ht="33.95000076293945" customHeight="1">
      <x:c r="A11" s="5" t="s">
        <x:v>698</x:v>
      </x:c>
      <x:c r="B11" s="5" t="s">
        <x:v>699</x:v>
      </x:c>
      <x:c r="C11" s="5" t="s">
        <x:v>700</x:v>
      </x:c>
      <x:c r="D11" s="5" t="s">
        <x:v>701</x:v>
      </x:c>
      <x:c r="E11" s="5" t="s">
        <x:v>702</x:v>
      </x:c>
      <x:c r="F11" s="5" t="s">
        <x:v>703</x:v>
      </x:c>
    </x:row>
    <x:row r="12" ht="62.099998474121094" customHeight="1">
      <x:c r="A12" s="19" t="s">
        <x:v>704</x:v>
      </x:c>
      <x:c r="B12" s="19" t="s">
        <x:v>705</x:v>
      </x:c>
      <x:c r="C12" s="19" t="s">
        <x:v>706</x:v>
      </x:c>
      <x:c r="D12" s="19" t="s">
        <x:v>706</x:v>
      </x:c>
      <x:c r="E12" s="19" t="s">
        <x:v>707</x:v>
      </x:c>
      <x:c r="F12" s="19" t="s">
        <x:v>708</x:v>
      </x:c>
    </x:row>
    <x:row r="13" ht="62.099998474121094" customHeight="1">
      <x:c r="A13" s="19" t="s">
        <x:v>709</x:v>
      </x:c>
      <x:c r="B13" s="19" t="s">
        <x:v>710</x:v>
      </x:c>
      <x:c r="C13" s="19" t="s">
        <x:v>711</x:v>
      </x:c>
      <x:c r="D13" s="19" t="s">
        <x:v>711</x:v>
      </x:c>
      <x:c r="E13" s="19" t="s">
        <x:v>712</x:v>
      </x:c>
      <x:c r="F13" s="19" t="s">
        <x:v>713</x:v>
      </x:c>
    </x:row>
    <x:row r="14" ht="62.099998474121094" customHeight="1">
      <x:c r="A14" s="19" t="s">
        <x:v>714</x:v>
      </x:c>
      <x:c r="B14" s="19" t="s">
        <x:v>715</x:v>
      </x:c>
      <x:c r="C14" s="19" t="s">
        <x:v>716</x:v>
      </x:c>
      <x:c r="D14" s="19" t="s">
        <x:v>717</x:v>
      </x:c>
      <x:c r="E14" s="19" t="s">
        <x:v>718</x:v>
      </x:c>
      <x:c r="F14" s="19" t="s">
        <x:v>719</x:v>
      </x:c>
    </x:row>
    <x:row r="15" ht="62.099998474121094" customHeight="1">
      <x:c r="A15" s="19" t="s">
        <x:v>720</x:v>
      </x:c>
      <x:c r="B15" s="19" t="s">
        <x:v>721</x:v>
      </x:c>
      <x:c r="C15" s="19" t="s">
        <x:v>717</x:v>
      </x:c>
      <x:c r="D15" s="19" t="s">
        <x:v>722</x:v>
      </x:c>
      <x:c r="E15" s="19" t="s">
        <x:v>723</x:v>
      </x:c>
      <x:c r="F15" s="19" t="s">
        <x:v>724</x:v>
      </x:c>
    </x:row>
    <x:row r="16" ht="62.099998474121094" customHeight="1">
      <x:c r="A16" s="19" t="s">
        <x:v>725</x:v>
      </x:c>
      <x:c r="B16" s="19" t="s">
        <x:v>726</x:v>
      </x:c>
      <x:c r="C16" s="19" t="s">
        <x:v>727</x:v>
      </x:c>
      <x:c r="D16" s="19" t="s">
        <x:v>728</x:v>
      </x:c>
      <x:c r="E16" s="19" t="s">
        <x:v>729</x:v>
      </x:c>
      <x:c r="F16" s="19" t="s">
        <x:v>730</x:v>
      </x:c>
    </x:row>
    <x:row r="17" ht="62.099998474121094" customHeight="1">
      <x:c r="A17" s="19" t="s">
        <x:v>731</x:v>
      </x:c>
      <x:c r="B17" s="19" t="s">
        <x:v>732</x:v>
      </x:c>
      <x:c r="C17" s="19" t="s">
        <x:v>733</x:v>
      </x:c>
      <x:c r="D17" s="19" t="s">
        <x:v>733</x:v>
      </x:c>
      <x:c r="E17" s="19" t="s">
        <x:v>734</x:v>
      </x:c>
      <x:c r="F17" s="19" t="s">
        <x:v>735</x:v>
      </x:c>
    </x:row>
    <x:row r="18" ht="62.099998474121094" customHeight="1">
      <x:c r="A18" s="19" t="s">
        <x:v>736</x:v>
      </x:c>
      <x:c r="B18" s="19" t="s">
        <x:v>737</x:v>
      </x:c>
      <x:c r="C18" s="19" t="s">
        <x:v>738</x:v>
      </x:c>
      <x:c r="D18" s="19" t="s">
        <x:v>738</x:v>
      </x:c>
      <x:c r="E18" s="19" t="s">
        <x:v>739</x:v>
      </x:c>
      <x:c r="F18" s="19" t="s">
        <x:v>740</x:v>
      </x:c>
    </x:row>
    <x:row r="19" ht="72" customHeight="1">
      <x:c r="A19" s="42" t="str">
        <x:v>独立样本单位</x:v>
      </x:c>
      <x:c r="B19" s="42" t="str">
        <x:v>F0/F5/F6通常以一次运行为独立样本；F1-F4同一运行内多个activated事件属于同一cluster</x:v>
      </x:c>
      <x:c r="C19" s="42" t="str">
        <x:v>按运行保存cluster ID</x:v>
      </x:c>
      <x:c r="D19" s="42" t="str">
        <x:v>按运行聚类计算区间</x:v>
      </x:c>
      <x:c r="E19" s="42" t="str">
        <x:v>避免共享程序状态和前序故障导致伪独立</x:v>
      </x:c>
      <x:c r="F19" s="42" t="str">
        <x:v>不得把同一运行内事件直接当独立Bernoulli样本</x:v>
      </x:c>
    </x:row>
    <x:row r="20" ht="72" customHeight="1">
      <x:c r="A20" s="42" t="str">
        <x:v>重复注入归因</x:v>
      </x:c>
      <x:c r="B20" s="42" t="str">
        <x:v>F1-F4最终结局归因于整次运行的故障序列；事件级传播另行记录</x:v>
      </x:c>
      <x:c r="C20" s="42" t="str">
        <x:v>记录事件序列</x:v>
      </x:c>
      <x:c r="D20" s="42" t="str">
        <x:v>报告run-level SDC/Crash与cluster bootstrap区间</x:v>
      </x:c>
      <x:c r="E20" s="42" t="str">
        <x:v>多个故障可能共同导致最终错误</x:v>
      </x:c>
      <x:c r="F20" s="42" t="str">
        <x:v>F0单故障结果与压力档结果分开</x:v>
      </x:c>
    </x:row>
  </x:sheetData>
  <x:pageMargins left="0.7" right="0.7" top="0.75" bottom="0.75" header="0.3" footer="0.3"/>
  <x:tableParts count="2">
    <x:tablePart xmlns:r="http://schemas.openxmlformats.org/officeDocument/2006/relationships" r:id="R6ea4b6a3a5454f0e"/>
    <x:tablePart xmlns:r="http://schemas.openxmlformats.org/officeDocument/2006/relationships" r:id="R21ec4784ee214b23"/>
  </x:tableParts>
</x:worksheet>
</file>

<file path=xl/worksheets/sheet7.xml><?xml version="1.0" encoding="utf-8"?>
<x:worksheet xmlns:x="http://schemas.openxmlformats.org/spreadsheetml/2006/main">
  <x:sheetPr>
    <x:tabColor rgb="FF4472C4"/>
  </x:sheetPr>
  <x:sheetViews>
    <x:sheetView showGridLines="0" workbookViewId="0">
      <x:pane ySplit="1" topLeftCell="A2" activePane="bottomLeft" state="frozen"/>
    </x:sheetView>
  </x:sheetViews>
  <x:sheetFormatPr defaultRowHeight="14.25"/>
  <x:cols>
    <x:col min="1" max="1" width="10" style="2" customWidth="1"/>
    <x:col min="2" max="3" width="24" style="2" customWidth="1"/>
    <x:col min="4" max="4" width="78" style="2" customWidth="1"/>
    <x:col min="5" max="5" width="36" style="2" customWidth="1"/>
    <x:col min="6" max="6" width="14" style="2" customWidth="1"/>
    <x:col min="7" max="16384" width="9" style="2" customWidth="0"/>
  </x:cols>
  <x:sheetData>
    <x:row r="1" ht="33.95000076293945" customHeight="1">
      <x:c r="A1" s="5" t="s">
        <x:v>741</x:v>
      </x:c>
      <x:c r="B1" s="5" t="s">
        <x:v>627</x:v>
      </x:c>
      <x:c r="C1" s="5" t="s">
        <x:v>742</x:v>
      </x:c>
      <x:c r="D1" s="5" t="s">
        <x:v>743</x:v>
      </x:c>
      <x:c r="E1" s="5" t="s">
        <x:v>744</x:v>
      </x:c>
      <x:c r="F1" s="5" t="s">
        <x:v>745</x:v>
      </x:c>
    </x:row>
    <x:row r="2" ht="66" customHeight="1">
      <x:c r="A2" s="18" t="s">
        <x:v>746</x:v>
      </x:c>
      <x:c r="B2" s="18" t="s">
        <x:v>747</x:v>
      </x:c>
      <x:c r="C2" s="19" t="s">
        <x:v>748</x:v>
      </x:c>
      <x:c r="D2" s="19" t="s">
        <x:v>749</x:v>
      </x:c>
      <x:c r="E2" s="19" t="s">
        <x:v>750</x:v>
      </x:c>
      <x:c r="F2" s="19" t="s">
        <x:v>751</x:v>
      </x:c>
    </x:row>
    <x:row r="3" ht="66" customHeight="1">
      <x:c r="A3" s="18" t="s">
        <x:v>752</x:v>
      </x:c>
      <x:c r="B3" s="18" t="s">
        <x:v>753</x:v>
      </x:c>
      <x:c r="C3" s="19" t="s">
        <x:v>754</x:v>
      </x:c>
      <x:c r="D3" s="19" t="s">
        <x:v>755</x:v>
      </x:c>
      <x:c r="E3" s="19" t="s">
        <x:v>756</x:v>
      </x:c>
      <x:c r="F3" s="19" t="s">
        <x:v>757</x:v>
      </x:c>
    </x:row>
    <x:row r="4" ht="66" customHeight="1">
      <x:c r="A4" s="18" t="s">
        <x:v>758</x:v>
      </x:c>
      <x:c r="B4" s="18" t="s">
        <x:v>759</x:v>
      </x:c>
      <x:c r="C4" s="19" t="s">
        <x:v>754</x:v>
      </x:c>
      <x:c r="D4" s="19" t="s">
        <x:v>760</x:v>
      </x:c>
      <x:c r="E4" s="19" t="s">
        <x:v>761</x:v>
      </x:c>
      <x:c r="F4" s="19" t="s">
        <x:v>751</x:v>
      </x:c>
    </x:row>
    <x:row r="5" ht="66" customHeight="1">
      <x:c r="A5" s="18" t="s">
        <x:v>762</x:v>
      </x:c>
      <x:c r="B5" s="18" t="s">
        <x:v>763</x:v>
      </x:c>
      <x:c r="C5" s="19" t="s">
        <x:v>764</x:v>
      </x:c>
      <x:c r="D5" s="19" t="s">
        <x:v>765</x:v>
      </x:c>
      <x:c r="E5" s="19" t="s">
        <x:v>25</x:v>
      </x:c>
      <x:c r="F5" s="19" t="s">
        <x:v>751</x:v>
      </x:c>
    </x:row>
    <x:row r="6" ht="66" customHeight="1">
      <x:c r="A6" s="18" t="s">
        <x:v>766</x:v>
      </x:c>
      <x:c r="B6" s="18" t="s">
        <x:v>767</x:v>
      </x:c>
      <x:c r="C6" s="19" t="s">
        <x:v>764</x:v>
      </x:c>
      <x:c r="D6" s="19" t="s">
        <x:v>768</x:v>
      </x:c>
      <x:c r="E6" s="19" t="s">
        <x:v>32</x:v>
      </x:c>
      <x:c r="F6" s="19" t="s">
        <x:v>769</x:v>
      </x:c>
    </x:row>
    <x:row r="7" ht="66" customHeight="1">
      <x:c r="A7" s="18" t="s">
        <x:v>770</x:v>
      </x:c>
      <x:c r="B7" s="18" t="s">
        <x:v>771</x:v>
      </x:c>
      <x:c r="C7" s="19" t="s">
        <x:v>764</x:v>
      </x:c>
      <x:c r="D7" s="19" t="s">
        <x:v>772</x:v>
      </x:c>
      <x:c r="E7" s="19" t="s">
        <x:v>773</x:v>
      </x:c>
      <x:c r="F7" s="19" t="s">
        <x:v>751</x:v>
      </x:c>
    </x:row>
    <x:row r="8" ht="66" customHeight="1">
      <x:c r="A8" s="18" t="s">
        <x:v>774</x:v>
      </x:c>
      <x:c r="B8" s="18" t="s">
        <x:v>775</x:v>
      </x:c>
      <x:c r="C8" s="19" t="s">
        <x:v>764</x:v>
      </x:c>
      <x:c r="D8" s="19" t="s">
        <x:v>776</x:v>
      </x:c>
      <x:c r="E8" s="19" t="s">
        <x:v>46</x:v>
      </x:c>
      <x:c r="F8" s="19" t="s">
        <x:v>777</x:v>
      </x:c>
    </x:row>
    <x:row r="9" ht="66" customHeight="1">
      <x:c r="A9" s="18" t="s">
        <x:v>778</x:v>
      </x:c>
      <x:c r="B9" s="18" t="s">
        <x:v>779</x:v>
      </x:c>
      <x:c r="C9" s="19" t="s">
        <x:v>780</x:v>
      </x:c>
      <x:c r="D9" s="19" t="s">
        <x:v>781</x:v>
      </x:c>
      <x:c r="E9" s="19" t="s">
        <x:v>52</x:v>
      </x:c>
      <x:c r="F9" s="19" t="s">
        <x:v>782</x:v>
      </x:c>
    </x:row>
    <x:row r="10" ht="66" customHeight="1">
      <x:c r="A10" s="18" t="s">
        <x:v>783</x:v>
      </x:c>
      <x:c r="B10" s="18" t="s">
        <x:v>784</x:v>
      </x:c>
      <x:c r="C10" s="19" t="s">
        <x:v>764</x:v>
      </x:c>
      <x:c r="D10" s="19" t="s">
        <x:v>785</x:v>
      </x:c>
      <x:c r="E10" s="19" t="s">
        <x:v>57</x:v>
      </x:c>
      <x:c r="F10" s="19" t="s">
        <x:v>751</x:v>
      </x:c>
    </x:row>
    <x:row r="11" ht="66" customHeight="1">
      <x:c r="A11" s="18" t="s">
        <x:v>786</x:v>
      </x:c>
      <x:c r="B11" s="18" t="s">
        <x:v>787</x:v>
      </x:c>
      <x:c r="C11" s="19" t="s">
        <x:v>788</x:v>
      </x:c>
      <x:c r="D11" s="19" t="s">
        <x:v>789</x:v>
      </x:c>
      <x:c r="E11" s="19" t="s">
        <x:v>790</x:v>
      </x:c>
      <x:c r="F11" s="19" t="s">
        <x:v>791</x:v>
      </x:c>
    </x:row>
    <x:row r="12" ht="66" customHeight="1">
      <x:c r="A12" s="18" t="s">
        <x:v>792</x:v>
      </x:c>
      <x:c r="B12" s="18" t="s">
        <x:v>793</x:v>
      </x:c>
      <x:c r="C12" s="19" t="s">
        <x:v>794</x:v>
      </x:c>
      <x:c r="D12" s="19" t="s">
        <x:v>795</x:v>
      </x:c>
      <x:c r="E12" s="19" t="s">
        <x:v>796</x:v>
      </x:c>
      <x:c r="F12" s="19" t="s">
        <x:v>751</x:v>
      </x:c>
    </x:row>
    <x:row r="13" ht="66" customHeight="1">
      <x:c r="A13" s="18" t="s">
        <x:v>797</x:v>
      </x:c>
      <x:c r="B13" s="18" t="s">
        <x:v>798</x:v>
      </x:c>
      <x:c r="C13" s="19" t="s">
        <x:v>799</x:v>
      </x:c>
      <x:c r="D13" s="19" t="s">
        <x:v>800</x:v>
      </x:c>
      <x:c r="E13" s="19" t="s">
        <x:v>801</x:v>
      </x:c>
      <x:c r="F13" s="19" t="s">
        <x:v>791</x:v>
      </x:c>
    </x:row>
    <x:row r="14" ht="78" customHeight="1">
      <x:c r="A14" s="43" t="str">
        <x:v>W12</x:v>
      </x:c>
      <x:c r="B14" s="43" t="str">
        <x:v>SQLite-Speedtest1</x:v>
      </x:c>
      <x:c r="C14" s="42" t="str">
        <x:v>真实应用</x:v>
      </x:c>
      <x:c r="D14" s="42" t="str">
        <x:v>SQLite speedtest1 固定数据库与事务脚本；用 PRAGMA integrity_check、查询结果和数据库文件哈希作为 oracle</x:v>
      </x:c>
      <x:c r="E14" s="42" t="str">
        <x:v>AGU、Load Queue、Store Queue、L1d-Cache</x:v>
      </x:c>
      <x:c r="F14" s="42" t="str">
        <x:v>SE/FS</x:v>
      </x:c>
    </x:row>
    <x:row r="15" ht="78" customHeight="1">
      <x:c r="A15" s="43" t="str">
        <x:v>W13</x:v>
      </x:c>
      <x:c r="B15" s="43" t="str">
        <x:v>PARSEC-Selected</x:v>
      </x:c>
      <x:c r="C15" s="42" t="str">
        <x:v>多线程真实应用</x:v>
      </x:c>
      <x:c r="D15" s="42" t="str">
        <x:v>PARSEC 中选 dedup、ferret、streamcluster 等共享队列/锁密集程序；固定线程数与输入，核对参考输出和结果哈希</x:v>
      </x:c>
      <x:c r="E15" s="42" t="str">
        <x:v>L1d-Cache一致性、原子与同步、数据预取器</x:v>
      </x:c>
      <x:c r="F15" s="42" t="str">
        <x:v>多核 FS</x:v>
      </x:c>
    </x:row>
  </x:sheetData>
  <x:pageMargins left="0.7" right="0.7" top="0.75" bottom="0.75" header="0.3" footer="0.3"/>
  <x:tableParts count="1">
    <x:tablePart xmlns:r="http://schemas.openxmlformats.org/officeDocument/2006/relationships" r:id="R8194f0a9ea354d2f"/>
  </x:tableParts>
</x:worksheet>
</file>

<file path=xl/worksheets/sheet8.xml><?xml version="1.0" encoding="utf-8"?>
<x:worksheet xmlns:x="http://schemas.openxmlformats.org/spreadsheetml/2006/main">
  <x:sheetPr>
    <x:tabColor rgb="FF1F4E78"/>
  </x:sheetPr>
  <x:sheetFormatPr defaultRowHeight="14.25"/>
  <x:cols>
    <x:col min="1" max="1" width="18" customWidth="1"/>
    <x:col min="2" max="2" width="10" customWidth="1"/>
    <x:col min="3" max="3" width="15" customWidth="1"/>
    <x:col min="4" max="4" width="58" customWidth="1"/>
    <x:col min="5" max="5" width="16" customWidth="1"/>
    <x:col min="6" max="6" width="82" customWidth="1"/>
    <x:col min="7" max="7" width="8" customWidth="1"/>
    <x:col min="8" max="8" width="46" customWidth="1"/>
    <x:col min="9" max="9" width="50" customWidth="1"/>
    <x:col min="10" max="10" width="68" customWidth="1"/>
    <x:col min="11" max="11" width="24" customWidth="1"/>
    <x:col min="12" max="12" width="68" customWidth="1"/>
    <x:col min="13" max="13" width="38" customWidth="1"/>
    <x:col min="14" max="14" width="40" customWidth="1"/>
    <x:col min="15" max="15" width="28" customWidth="1"/>
    <x:col min="16" max="16" width="18" customWidth="1"/>
    <x:col min="17" max="18" width="12" customWidth="1"/>
    <x:col min="19" max="19" width="11" customWidth="1"/>
    <x:col min="20" max="20" width="18" customWidth="1"/>
    <x:col min="21" max="23" width="10" customWidth="1"/>
    <x:col min="24" max="24" width="16" customWidth="1"/>
    <x:col min="25" max="25" width="14" customWidth="1"/>
    <x:col min="26" max="26" width="16" customWidth="1"/>
    <x:col min="27" max="27" width="40" customWidth="1"/>
  </x:cols>
  <x:sheetData>
    <x:row r="1" ht="33.95000076293945" customHeight="1">
      <x:c r="A1" s="5" t="s">
        <x:v>802</x:v>
      </x:c>
      <x:c r="B1" s="5" t="s">
        <x:v>132</x:v>
      </x:c>
      <x:c r="C1" s="5" t="s">
        <x:v>18</x:v>
      </x:c>
      <x:c r="D1" s="5" t="s">
        <x:v>133</x:v>
      </x:c>
      <x:c r="E1" s="5" t="s">
        <x:v>134</x:v>
      </x:c>
      <x:c r="F1" s="5" t="s">
        <x:v>135</x:v>
      </x:c>
      <x:c r="G1" s="5" t="s">
        <x:v>803</x:v>
      </x:c>
      <x:c r="H1" s="5" t="s">
        <x:v>804</x:v>
      </x:c>
      <x:c r="I1" s="5" t="s">
        <x:v>805</x:v>
      </x:c>
      <x:c r="J1" s="5" t="s">
        <x:v>806</x:v>
      </x:c>
      <x:c r="K1" s="5" t="s">
        <x:v>807</x:v>
      </x:c>
      <x:c r="L1" s="5" t="s">
        <x:v>808</x:v>
      </x:c>
      <x:c r="M1" s="5" t="s">
        <x:v>809</x:v>
      </x:c>
      <x:c r="N1" s="5" t="s">
        <x:v>141</x:v>
      </x:c>
      <x:c r="O1" s="5" t="s">
        <x:v>810</x:v>
      </x:c>
      <x:c r="P1" s="5" t="s">
        <x:v>811</x:v>
      </x:c>
      <x:c r="Q1" s="5" t="s">
        <x:v>812</x:v>
      </x:c>
      <x:c r="R1" s="5" t="s">
        <x:v>813</x:v>
      </x:c>
      <x:c r="S1" s="5" t="s">
        <x:v>814</x:v>
      </x:c>
      <x:c r="T1" s="5" t="s">
        <x:v>815</x:v>
      </x:c>
      <x:c r="U1" s="5" t="s">
        <x:v>816</x:v>
      </x:c>
      <x:c r="V1" s="5" t="s">
        <x:v>817</x:v>
      </x:c>
      <x:c r="W1" s="5" t="s">
        <x:v>818</x:v>
      </x:c>
      <x:c r="X1" s="5" t="s">
        <x:v>819</x:v>
      </x:c>
      <x:c r="Y1" s="5" t="s">
        <x:v>820</x:v>
      </x:c>
      <x:c r="Z1" s="5" t="s">
        <x:v>821</x:v>
      </x:c>
      <x:c r="AA1" s="5" t="s">
        <x:v>822</x:v>
      </x:c>
    </x:row>
    <x:row r="2" ht="188.10000610351562" customHeight="1">
      <x:c r="A2" s="22" t="s">
        <x:v>823</x:v>
      </x:c>
      <x:c r="B2" s="22" t="s">
        <x:v>143</x:v>
      </x:c>
      <x:c r="C2" s="22" t="s">
        <x:v>25</x:v>
      </x:c>
      <x:c r="D2" s="23" t="s">
        <x:v>144</x:v>
      </x:c>
      <x:c r="E2" s="23" t="s">
        <x:v>145</x:v>
      </x:c>
      <x:c r="F2" s="23" t="s">
        <x:v>146</x:v>
      </x:c>
      <x:c r="G2" s="23" t="s">
        <x:v>666</x:v>
      </x:c>
      <x:c r="H2" s="23" t="s">
        <x:v>668</x:v>
      </x:c>
      <x:c r="I2" s="23" t="s">
        <x:v>189</x:v>
      </x:c>
      <x:c r="J2" s="23" t="s">
        <x:v>824</x:v>
      </x:c>
      <x:c r="K2" s="23" t="s">
        <x:v>149</x:v>
      </x:c>
      <x:c r="L2" s="23" t="s">
        <x:v>150</x:v>
      </x:c>
      <x:c r="M2" s="23" t="s">
        <x:v>151</x:v>
      </x:c>
      <x:c r="N2" s="23" t="s">
        <x:v>152</x:v>
      </x:c>
      <x:c r="O2" s="23" t="s">
        <x:v>153</x:v>
      </x:c>
      <x:c r="P2" s="24"/>
      <x:c r="Q2" s="24"/>
      <x:c r="R2" s="24"/>
      <x:c r="S2" s="24"/>
      <x:c r="T2" s="24"/>
      <x:c r="U2" s="24"/>
      <x:c r="V2" s="24"/>
      <x:c r="W2" s="24"/>
      <x:c r="X2" s="81" t="str">
        <x:f>IF(OR(R2="",R2=0),"",U2/R2)</x:f>
      </x:c>
      <x:c r="Y2" s="81" t="str">
        <x:f>IF(OR(Q2="",Q2=0),"",R2/Q2)</x:f>
      </x:c>
      <x:c r="Z2" s="26" t="s">
        <x:v>825</x:v>
      </x:c>
      <x:c r="AA2" s="24"/>
    </x:row>
    <x:row r="3" ht="188.10000610351562" customHeight="1">
      <x:c r="A3" s="22" t="s">
        <x:v>826</x:v>
      </x:c>
      <x:c r="B3" s="22" t="s">
        <x:v>143</x:v>
      </x:c>
      <x:c r="C3" s="22" t="s">
        <x:v>25</x:v>
      </x:c>
      <x:c r="D3" s="23" t="s">
        <x:v>144</x:v>
      </x:c>
      <x:c r="E3" s="23" t="s">
        <x:v>145</x:v>
      </x:c>
      <x:c r="F3" s="23" t="s">
        <x:v>146</x:v>
      </x:c>
      <x:c r="G3" s="23" t="s">
        <x:v>666</x:v>
      </x:c>
      <x:c r="H3" s="23" t="s">
        <x:v>668</x:v>
      </x:c>
      <x:c r="I3" s="23" t="s">
        <x:v>827</x:v>
      </x:c>
      <x:c r="J3" s="23" t="s">
        <x:v>828</x:v>
      </x:c>
      <x:c r="K3" s="23" t="s">
        <x:v>149</x:v>
      </x:c>
      <x:c r="L3" s="23" t="s">
        <x:v>150</x:v>
      </x:c>
      <x:c r="M3" s="23" t="s">
        <x:v>151</x:v>
      </x:c>
      <x:c r="N3" s="23" t="s">
        <x:v>152</x:v>
      </x:c>
      <x:c r="O3" s="23" t="s">
        <x:v>153</x:v>
      </x:c>
      <x:c r="P3" s="24"/>
      <x:c r="Q3" s="24"/>
      <x:c r="R3" s="24"/>
      <x:c r="S3" s="24"/>
      <x:c r="T3" s="24"/>
      <x:c r="U3" s="24"/>
      <x:c r="V3" s="24"/>
      <x:c r="W3" s="24"/>
      <x:c r="X3" s="81" t="str">
        <x:f>IF(OR(R3="",R3=0),"",U3/R3)</x:f>
      </x:c>
      <x:c r="Y3" s="81" t="str">
        <x:f>IF(OR(Q3="",Q3=0),"",R3/Q3)</x:f>
      </x:c>
      <x:c r="Z3" s="26" t="s">
        <x:v>825</x:v>
      </x:c>
      <x:c r="AA3" s="24"/>
    </x:row>
    <x:row r="4" ht="188.10000610351562" customHeight="1">
      <x:c r="A4" s="22" t="s">
        <x:v>829</x:v>
      </x:c>
      <x:c r="B4" s="22" t="s">
        <x:v>143</x:v>
      </x:c>
      <x:c r="C4" s="22" t="s">
        <x:v>25</x:v>
      </x:c>
      <x:c r="D4" s="23" t="s">
        <x:v>144</x:v>
      </x:c>
      <x:c r="E4" s="23" t="s">
        <x:v>145</x:v>
      </x:c>
      <x:c r="F4" s="23" t="s">
        <x:v>146</x:v>
      </x:c>
      <x:c r="G4" s="23" t="s">
        <x:v>671</x:v>
      </x:c>
      <x:c r="H4" s="23" t="s">
        <x:v>673</x:v>
      </x:c>
      <x:c r="I4" s="23" t="s">
        <x:v>189</x:v>
      </x:c>
      <x:c r="J4" s="23" t="s">
        <x:v>824</x:v>
      </x:c>
      <x:c r="K4" s="23" t="s">
        <x:v>149</x:v>
      </x:c>
      <x:c r="L4" s="23" t="s">
        <x:v>150</x:v>
      </x:c>
      <x:c r="M4" s="23" t="s">
        <x:v>151</x:v>
      </x:c>
      <x:c r="N4" s="23" t="s">
        <x:v>152</x:v>
      </x:c>
      <x:c r="O4" s="23" t="s">
        <x:v>153</x:v>
      </x:c>
      <x:c r="P4" s="24"/>
      <x:c r="Q4" s="24"/>
      <x:c r="R4" s="24"/>
      <x:c r="S4" s="24"/>
      <x:c r="T4" s="24"/>
      <x:c r="U4" s="24"/>
      <x:c r="V4" s="24"/>
      <x:c r="W4" s="24"/>
      <x:c r="X4" s="81" t="str">
        <x:f>IF(OR(R4="",R4=0),"",U4/R4)</x:f>
      </x:c>
      <x:c r="Y4" s="81" t="str">
        <x:f>IF(OR(Q4="",Q4=0),"",R4/Q4)</x:f>
      </x:c>
      <x:c r="Z4" s="26" t="s">
        <x:v>825</x:v>
      </x:c>
      <x:c r="AA4" s="24"/>
    </x:row>
    <x:row r="5" ht="188.10000610351562" customHeight="1">
      <x:c r="A5" s="22" t="s">
        <x:v>830</x:v>
      </x:c>
      <x:c r="B5" s="22" t="s">
        <x:v>143</x:v>
      </x:c>
      <x:c r="C5" s="22" t="s">
        <x:v>25</x:v>
      </x:c>
      <x:c r="D5" s="23" t="s">
        <x:v>144</x:v>
      </x:c>
      <x:c r="E5" s="23" t="s">
        <x:v>145</x:v>
      </x:c>
      <x:c r="F5" s="23" t="s">
        <x:v>146</x:v>
      </x:c>
      <x:c r="G5" s="23" t="s">
        <x:v>671</x:v>
      </x:c>
      <x:c r="H5" s="23" t="s">
        <x:v>673</x:v>
      </x:c>
      <x:c r="I5" s="23" t="s">
        <x:v>827</x:v>
      </x:c>
      <x:c r="J5" s="23" t="s">
        <x:v>828</x:v>
      </x:c>
      <x:c r="K5" s="23" t="s">
        <x:v>149</x:v>
      </x:c>
      <x:c r="L5" s="23" t="s">
        <x:v>150</x:v>
      </x:c>
      <x:c r="M5" s="23" t="s">
        <x:v>151</x:v>
      </x:c>
      <x:c r="N5" s="23" t="s">
        <x:v>152</x:v>
      </x:c>
      <x:c r="O5" s="23" t="s">
        <x:v>153</x:v>
      </x:c>
      <x:c r="P5" s="24"/>
      <x:c r="Q5" s="24"/>
      <x:c r="R5" s="24"/>
      <x:c r="S5" s="24"/>
      <x:c r="T5" s="24"/>
      <x:c r="U5" s="24"/>
      <x:c r="V5" s="24"/>
      <x:c r="W5" s="24"/>
      <x:c r="X5" s="81" t="str">
        <x:f>IF(OR(R5="",R5=0),"",U5/R5)</x:f>
      </x:c>
      <x:c r="Y5" s="81" t="str">
        <x:f>IF(OR(Q5="",Q5=0),"",R5/Q5)</x:f>
      </x:c>
      <x:c r="Z5" s="26" t="s">
        <x:v>825</x:v>
      </x:c>
      <x:c r="AA5" s="24"/>
    </x:row>
    <x:row r="6" ht="188.10000610351562" customHeight="1">
      <x:c r="A6" s="22" t="s">
        <x:v>831</x:v>
      </x:c>
      <x:c r="B6" s="22" t="s">
        <x:v>143</x:v>
      </x:c>
      <x:c r="C6" s="22" t="s">
        <x:v>25</x:v>
      </x:c>
      <x:c r="D6" s="23" t="s">
        <x:v>144</x:v>
      </x:c>
      <x:c r="E6" s="23" t="s">
        <x:v>145</x:v>
      </x:c>
      <x:c r="F6" s="23" t="s">
        <x:v>146</x:v>
      </x:c>
      <x:c r="G6" s="23" t="s">
        <x:v>676</x:v>
      </x:c>
      <x:c r="H6" s="23" t="s">
        <x:v>678</x:v>
      </x:c>
      <x:c r="I6" s="23" t="s">
        <x:v>189</x:v>
      </x:c>
      <x:c r="J6" s="23" t="s">
        <x:v>824</x:v>
      </x:c>
      <x:c r="K6" s="23" t="s">
        <x:v>149</x:v>
      </x:c>
      <x:c r="L6" s="23" t="s">
        <x:v>150</x:v>
      </x:c>
      <x:c r="M6" s="23" t="s">
        <x:v>151</x:v>
      </x:c>
      <x:c r="N6" s="23" t="s">
        <x:v>152</x:v>
      </x:c>
      <x:c r="O6" s="23" t="s">
        <x:v>153</x:v>
      </x:c>
      <x:c r="P6" s="24"/>
      <x:c r="Q6" s="24"/>
      <x:c r="R6" s="24"/>
      <x:c r="S6" s="24"/>
      <x:c r="T6" s="24"/>
      <x:c r="U6" s="24"/>
      <x:c r="V6" s="24"/>
      <x:c r="W6" s="24"/>
      <x:c r="X6" s="81" t="str">
        <x:f>IF(OR(R6="",R6=0),"",U6/R6)</x:f>
      </x:c>
      <x:c r="Y6" s="81" t="str">
        <x:f>IF(OR(Q6="",Q6=0),"",R6/Q6)</x:f>
      </x:c>
      <x:c r="Z6" s="26" t="s">
        <x:v>825</x:v>
      </x:c>
      <x:c r="AA6" s="24"/>
    </x:row>
    <x:row r="7" ht="188.10000610351562" customHeight="1">
      <x:c r="A7" s="22" t="s">
        <x:v>832</x:v>
      </x:c>
      <x:c r="B7" s="22" t="s">
        <x:v>143</x:v>
      </x:c>
      <x:c r="C7" s="22" t="s">
        <x:v>25</x:v>
      </x:c>
      <x:c r="D7" s="23" t="s">
        <x:v>144</x:v>
      </x:c>
      <x:c r="E7" s="23" t="s">
        <x:v>145</x:v>
      </x:c>
      <x:c r="F7" s="23" t="s">
        <x:v>146</x:v>
      </x:c>
      <x:c r="G7" s="23" t="s">
        <x:v>676</x:v>
      </x:c>
      <x:c r="H7" s="23" t="s">
        <x:v>678</x:v>
      </x:c>
      <x:c r="I7" s="23" t="s">
        <x:v>827</x:v>
      </x:c>
      <x:c r="J7" s="23" t="s">
        <x:v>828</x:v>
      </x:c>
      <x:c r="K7" s="23" t="s">
        <x:v>149</x:v>
      </x:c>
      <x:c r="L7" s="23" t="s">
        <x:v>150</x:v>
      </x:c>
      <x:c r="M7" s="23" t="s">
        <x:v>151</x:v>
      </x:c>
      <x:c r="N7" s="23" t="s">
        <x:v>152</x:v>
      </x:c>
      <x:c r="O7" s="23" t="s">
        <x:v>153</x:v>
      </x:c>
      <x:c r="P7" s="24"/>
      <x:c r="Q7" s="24"/>
      <x:c r="R7" s="24"/>
      <x:c r="S7" s="24"/>
      <x:c r="T7" s="24"/>
      <x:c r="U7" s="24"/>
      <x:c r="V7" s="24"/>
      <x:c r="W7" s="24"/>
      <x:c r="X7" s="81" t="str">
        <x:f>IF(OR(R7="",R7=0),"",U7/R7)</x:f>
      </x:c>
      <x:c r="Y7" s="81" t="str">
        <x:f>IF(OR(Q7="",Q7=0),"",R7/Q7)</x:f>
      </x:c>
      <x:c r="Z7" s="26" t="s">
        <x:v>825</x:v>
      </x:c>
      <x:c r="AA7" s="24"/>
    </x:row>
    <x:row r="8" ht="188.10000610351562" customHeight="1">
      <x:c r="A8" s="22" t="s">
        <x:v>833</x:v>
      </x:c>
      <x:c r="B8" s="22" t="s">
        <x:v>154</x:v>
      </x:c>
      <x:c r="C8" s="22" t="s">
        <x:v>25</x:v>
      </x:c>
      <x:c r="D8" s="23" t="s">
        <x:v>155</x:v>
      </x:c>
      <x:c r="E8" s="23" t="s">
        <x:v>156</x:v>
      </x:c>
      <x:c r="F8" s="23" t="s">
        <x:v>157</x:v>
      </x:c>
      <x:c r="G8" s="23" t="s">
        <x:v>666</x:v>
      </x:c>
      <x:c r="H8" s="23" t="s">
        <x:v>668</x:v>
      </x:c>
      <x:c r="I8" s="23" t="s">
        <x:v>189</x:v>
      </x:c>
      <x:c r="J8" s="23" t="s">
        <x:v>824</x:v>
      </x:c>
      <x:c r="K8" s="23" t="s">
        <x:v>149</x:v>
      </x:c>
      <x:c r="L8" s="23" t="s">
        <x:v>159</x:v>
      </x:c>
      <x:c r="M8" s="23" t="s">
        <x:v>160</x:v>
      </x:c>
      <x:c r="N8" s="23" t="s">
        <x:v>161</x:v>
      </x:c>
      <x:c r="O8" s="23" t="s">
        <x:v>162</x:v>
      </x:c>
      <x:c r="P8" s="24"/>
      <x:c r="Q8" s="24"/>
      <x:c r="R8" s="24"/>
      <x:c r="S8" s="24"/>
      <x:c r="T8" s="24"/>
      <x:c r="U8" s="24"/>
      <x:c r="V8" s="24"/>
      <x:c r="W8" s="24"/>
      <x:c r="X8" s="81" t="str">
        <x:f>IF(OR(R8="",R8=0),"",U8/R8)</x:f>
      </x:c>
      <x:c r="Y8" s="81" t="str">
        <x:f>IF(OR(Q8="",Q8=0),"",R8/Q8)</x:f>
      </x:c>
      <x:c r="Z8" s="26" t="s">
        <x:v>825</x:v>
      </x:c>
      <x:c r="AA8" s="24"/>
    </x:row>
    <x:row r="9" ht="188.10000610351562" customHeight="1">
      <x:c r="A9" s="22" t="s">
        <x:v>834</x:v>
      </x:c>
      <x:c r="B9" s="22" t="s">
        <x:v>154</x:v>
      </x:c>
      <x:c r="C9" s="22" t="s">
        <x:v>25</x:v>
      </x:c>
      <x:c r="D9" s="23" t="s">
        <x:v>155</x:v>
      </x:c>
      <x:c r="E9" s="23" t="s">
        <x:v>156</x:v>
      </x:c>
      <x:c r="F9" s="23" t="s">
        <x:v>157</x:v>
      </x:c>
      <x:c r="G9" s="23" t="s">
        <x:v>666</x:v>
      </x:c>
      <x:c r="H9" s="23" t="s">
        <x:v>668</x:v>
      </x:c>
      <x:c r="I9" s="23" t="s">
        <x:v>827</x:v>
      </x:c>
      <x:c r="J9" s="23" t="s">
        <x:v>828</x:v>
      </x:c>
      <x:c r="K9" s="23" t="s">
        <x:v>149</x:v>
      </x:c>
      <x:c r="L9" s="23" t="s">
        <x:v>159</x:v>
      </x:c>
      <x:c r="M9" s="23" t="s">
        <x:v>160</x:v>
      </x:c>
      <x:c r="N9" s="23" t="s">
        <x:v>161</x:v>
      </x:c>
      <x:c r="O9" s="23" t="s">
        <x:v>162</x:v>
      </x:c>
      <x:c r="P9" s="24"/>
      <x:c r="Q9" s="24"/>
      <x:c r="R9" s="24"/>
      <x:c r="S9" s="24"/>
      <x:c r="T9" s="24"/>
      <x:c r="U9" s="24"/>
      <x:c r="V9" s="24"/>
      <x:c r="W9" s="24"/>
      <x:c r="X9" s="81" t="str">
        <x:f>IF(OR(R9="",R9=0),"",U9/R9)</x:f>
      </x:c>
      <x:c r="Y9" s="81" t="str">
        <x:f>IF(OR(Q9="",Q9=0),"",R9/Q9)</x:f>
      </x:c>
      <x:c r="Z9" s="26" t="s">
        <x:v>825</x:v>
      </x:c>
      <x:c r="AA9" s="24"/>
    </x:row>
    <x:row r="10" ht="188.10000610351562" customHeight="1">
      <x:c r="A10" s="22" t="s">
        <x:v>835</x:v>
      </x:c>
      <x:c r="B10" s="22" t="s">
        <x:v>154</x:v>
      </x:c>
      <x:c r="C10" s="22" t="s">
        <x:v>25</x:v>
      </x:c>
      <x:c r="D10" s="23" t="s">
        <x:v>155</x:v>
      </x:c>
      <x:c r="E10" s="23" t="s">
        <x:v>156</x:v>
      </x:c>
      <x:c r="F10" s="23" t="s">
        <x:v>157</x:v>
      </x:c>
      <x:c r="G10" s="23" t="s">
        <x:v>676</x:v>
      </x:c>
      <x:c r="H10" s="23" t="s">
        <x:v>678</x:v>
      </x:c>
      <x:c r="I10" s="23" t="s">
        <x:v>189</x:v>
      </x:c>
      <x:c r="J10" s="23" t="s">
        <x:v>824</x:v>
      </x:c>
      <x:c r="K10" s="23" t="s">
        <x:v>149</x:v>
      </x:c>
      <x:c r="L10" s="23" t="s">
        <x:v>159</x:v>
      </x:c>
      <x:c r="M10" s="23" t="s">
        <x:v>160</x:v>
      </x:c>
      <x:c r="N10" s="23" t="s">
        <x:v>161</x:v>
      </x:c>
      <x:c r="O10" s="23" t="s">
        <x:v>162</x:v>
      </x:c>
      <x:c r="P10" s="24"/>
      <x:c r="Q10" s="24"/>
      <x:c r="R10" s="24"/>
      <x:c r="S10" s="24"/>
      <x:c r="T10" s="24"/>
      <x:c r="U10" s="24"/>
      <x:c r="V10" s="24"/>
      <x:c r="W10" s="24"/>
      <x:c r="X10" s="81" t="str">
        <x:f>IF(OR(R10="",R10=0),"",U10/R10)</x:f>
      </x:c>
      <x:c r="Y10" s="81" t="str">
        <x:f>IF(OR(Q10="",Q10=0),"",R10/Q10)</x:f>
      </x:c>
      <x:c r="Z10" s="26" t="s">
        <x:v>825</x:v>
      </x:c>
      <x:c r="AA10" s="24"/>
    </x:row>
    <x:row r="11" ht="188.10000610351562" customHeight="1">
      <x:c r="A11" s="22" t="s">
        <x:v>836</x:v>
      </x:c>
      <x:c r="B11" s="22" t="s">
        <x:v>154</x:v>
      </x:c>
      <x:c r="C11" s="22" t="s">
        <x:v>25</x:v>
      </x:c>
      <x:c r="D11" s="23" t="s">
        <x:v>155</x:v>
      </x:c>
      <x:c r="E11" s="23" t="s">
        <x:v>156</x:v>
      </x:c>
      <x:c r="F11" s="23" t="s">
        <x:v>157</x:v>
      </x:c>
      <x:c r="G11" s="23" t="s">
        <x:v>676</x:v>
      </x:c>
      <x:c r="H11" s="23" t="s">
        <x:v>678</x:v>
      </x:c>
      <x:c r="I11" s="23" t="s">
        <x:v>827</x:v>
      </x:c>
      <x:c r="J11" s="23" t="s">
        <x:v>828</x:v>
      </x:c>
      <x:c r="K11" s="23" t="s">
        <x:v>149</x:v>
      </x:c>
      <x:c r="L11" s="23" t="s">
        <x:v>159</x:v>
      </x:c>
      <x:c r="M11" s="23" t="s">
        <x:v>160</x:v>
      </x:c>
      <x:c r="N11" s="23" t="s">
        <x:v>161</x:v>
      </x:c>
      <x:c r="O11" s="23" t="s">
        <x:v>162</x:v>
      </x:c>
      <x:c r="P11" s="24"/>
      <x:c r="Q11" s="24"/>
      <x:c r="R11" s="24"/>
      <x:c r="S11" s="24"/>
      <x:c r="T11" s="24"/>
      <x:c r="U11" s="24"/>
      <x:c r="V11" s="24"/>
      <x:c r="W11" s="24"/>
      <x:c r="X11" s="81" t="str">
        <x:f>IF(OR(R11="",R11=0),"",U11/R11)</x:f>
      </x:c>
      <x:c r="Y11" s="81" t="str">
        <x:f>IF(OR(Q11="",Q11=0),"",R11/Q11)</x:f>
      </x:c>
      <x:c r="Z11" s="26" t="s">
        <x:v>825</x:v>
      </x:c>
      <x:c r="AA11" s="24"/>
    </x:row>
    <x:row r="12" ht="188.10000610351562" customHeight="1">
      <x:c r="A12" s="22" t="s">
        <x:v>837</x:v>
      </x:c>
      <x:c r="B12" s="22" t="s">
        <x:v>163</x:v>
      </x:c>
      <x:c r="C12" s="22" t="s">
        <x:v>25</x:v>
      </x:c>
      <x:c r="D12" s="23" t="s">
        <x:v>164</x:v>
      </x:c>
      <x:c r="E12" s="23" t="s">
        <x:v>165</x:v>
      </x:c>
      <x:c r="F12" s="23" t="s">
        <x:v>166</x:v>
      </x:c>
      <x:c r="G12" s="23" t="s">
        <x:v>167</x:v>
      </x:c>
      <x:c r="H12" s="23" t="s">
        <x:v>690</x:v>
      </x:c>
      <x:c r="I12" s="23" t="s">
        <x:v>189</x:v>
      </x:c>
      <x:c r="J12" s="23" t="s">
        <x:v>824</x:v>
      </x:c>
      <x:c r="K12" s="23" t="s">
        <x:v>169</x:v>
      </x:c>
      <x:c r="L12" s="23" t="s">
        <x:v>170</x:v>
      </x:c>
      <x:c r="M12" s="23" t="s">
        <x:v>171</x:v>
      </x:c>
      <x:c r="N12" s="23" t="s">
        <x:v>172</x:v>
      </x:c>
      <x:c r="O12" s="23" t="s">
        <x:v>173</x:v>
      </x:c>
      <x:c r="P12" s="24"/>
      <x:c r="Q12" s="24"/>
      <x:c r="R12" s="24"/>
      <x:c r="S12" s="24"/>
      <x:c r="T12" s="24"/>
      <x:c r="U12" s="24"/>
      <x:c r="V12" s="24"/>
      <x:c r="W12" s="24"/>
      <x:c r="X12" s="81" t="str">
        <x:f>IF(OR(R12="",R12=0),"",U12/R12)</x:f>
      </x:c>
      <x:c r="Y12" s="81" t="str">
        <x:f>IF(OR(Q12="",Q12=0),"",R12/Q12)</x:f>
      </x:c>
      <x:c r="Z12" s="26" t="s">
        <x:v>825</x:v>
      </x:c>
      <x:c r="AA12" s="24"/>
    </x:row>
    <x:row r="13" ht="188.10000610351562" customHeight="1">
      <x:c r="A13" s="22" t="s">
        <x:v>838</x:v>
      </x:c>
      <x:c r="B13" s="22" t="s">
        <x:v>163</x:v>
      </x:c>
      <x:c r="C13" s="22" t="s">
        <x:v>25</x:v>
      </x:c>
      <x:c r="D13" s="23" t="s">
        <x:v>164</x:v>
      </x:c>
      <x:c r="E13" s="23" t="s">
        <x:v>165</x:v>
      </x:c>
      <x:c r="F13" s="23" t="s">
        <x:v>166</x:v>
      </x:c>
      <x:c r="G13" s="23" t="s">
        <x:v>167</x:v>
      </x:c>
      <x:c r="H13" s="23" t="s">
        <x:v>690</x:v>
      </x:c>
      <x:c r="I13" s="23" t="s">
        <x:v>839</x:v>
      </x:c>
      <x:c r="J13" s="23" t="s">
        <x:v>840</x:v>
      </x:c>
      <x:c r="K13" s="23" t="s">
        <x:v>169</x:v>
      </x:c>
      <x:c r="L13" s="23" t="s">
        <x:v>170</x:v>
      </x:c>
      <x:c r="M13" s="23" t="s">
        <x:v>171</x:v>
      </x:c>
      <x:c r="N13" s="23" t="s">
        <x:v>172</x:v>
      </x:c>
      <x:c r="O13" s="23" t="s">
        <x:v>173</x:v>
      </x:c>
      <x:c r="P13" s="24"/>
      <x:c r="Q13" s="24"/>
      <x:c r="R13" s="24"/>
      <x:c r="S13" s="24"/>
      <x:c r="T13" s="24"/>
      <x:c r="U13" s="24"/>
      <x:c r="V13" s="24"/>
      <x:c r="W13" s="24"/>
      <x:c r="X13" s="81" t="str">
        <x:f>IF(OR(R13="",R13=0),"",U13/R13)</x:f>
      </x:c>
      <x:c r="Y13" s="81" t="str">
        <x:f>IF(OR(Q13="",Q13=0),"",R13/Q13)</x:f>
      </x:c>
      <x:c r="Z13" s="26" t="s">
        <x:v>825</x:v>
      </x:c>
      <x:c r="AA13" s="24"/>
    </x:row>
    <x:row r="14" ht="188.10000610351562" customHeight="1">
      <x:c r="A14" s="22" t="s">
        <x:v>841</x:v>
      </x:c>
      <x:c r="B14" s="22" t="s">
        <x:v>174</x:v>
      </x:c>
      <x:c r="C14" s="22" t="s">
        <x:v>25</x:v>
      </x:c>
      <x:c r="D14" s="23" t="s">
        <x:v>175</x:v>
      </x:c>
      <x:c r="E14" s="23" t="s">
        <x:v>176</x:v>
      </x:c>
      <x:c r="F14" s="23" t="s">
        <x:v>177</x:v>
      </x:c>
      <x:c r="G14" s="23" t="s">
        <x:v>666</x:v>
      </x:c>
      <x:c r="H14" s="23" t="s">
        <x:v>668</x:v>
      </x:c>
      <x:c r="I14" s="23" t="s">
        <x:v>189</x:v>
      </x:c>
      <x:c r="J14" s="23" t="s">
        <x:v>824</x:v>
      </x:c>
      <x:c r="K14" s="23" t="s">
        <x:v>180</x:v>
      </x:c>
      <x:c r="L14" s="23" t="s">
        <x:v>181</x:v>
      </x:c>
      <x:c r="M14" s="23" t="s">
        <x:v>182</x:v>
      </x:c>
      <x:c r="N14" s="23" t="s">
        <x:v>183</x:v>
      </x:c>
      <x:c r="O14" s="23" t="s">
        <x:v>184</x:v>
      </x:c>
      <x:c r="P14" s="24"/>
      <x:c r="Q14" s="24"/>
      <x:c r="R14" s="24"/>
      <x:c r="S14" s="24"/>
      <x:c r="T14" s="24"/>
      <x:c r="U14" s="24"/>
      <x:c r="V14" s="24"/>
      <x:c r="W14" s="24"/>
      <x:c r="X14" s="81" t="str">
        <x:f>IF(OR(R14="",R14=0),"",U14/R14)</x:f>
      </x:c>
      <x:c r="Y14" s="81" t="str">
        <x:f>IF(OR(Q14="",Q14=0),"",R14/Q14)</x:f>
      </x:c>
      <x:c r="Z14" s="26" t="s">
        <x:v>825</x:v>
      </x:c>
      <x:c r="AA14" s="24"/>
    </x:row>
    <x:row r="15" ht="188.10000610351562" customHeight="1">
      <x:c r="A15" s="22" t="s">
        <x:v>842</x:v>
      </x:c>
      <x:c r="B15" s="22" t="s">
        <x:v>174</x:v>
      </x:c>
      <x:c r="C15" s="22" t="s">
        <x:v>25</x:v>
      </x:c>
      <x:c r="D15" s="23" t="s">
        <x:v>175</x:v>
      </x:c>
      <x:c r="E15" s="23" t="s">
        <x:v>176</x:v>
      </x:c>
      <x:c r="F15" s="23" t="s">
        <x:v>177</x:v>
      </x:c>
      <x:c r="G15" s="23" t="s">
        <x:v>666</x:v>
      </x:c>
      <x:c r="H15" s="23" t="s">
        <x:v>668</x:v>
      </x:c>
      <x:c r="I15" s="23" t="s">
        <x:v>843</x:v>
      </x:c>
      <x:c r="J15" s="23" t="s">
        <x:v>844</x:v>
      </x:c>
      <x:c r="K15" s="23" t="s">
        <x:v>180</x:v>
      </x:c>
      <x:c r="L15" s="23" t="s">
        <x:v>181</x:v>
      </x:c>
      <x:c r="M15" s="23" t="s">
        <x:v>182</x:v>
      </x:c>
      <x:c r="N15" s="23" t="s">
        <x:v>183</x:v>
      </x:c>
      <x:c r="O15" s="23" t="s">
        <x:v>184</x:v>
      </x:c>
      <x:c r="P15" s="24"/>
      <x:c r="Q15" s="24"/>
      <x:c r="R15" s="24"/>
      <x:c r="S15" s="24"/>
      <x:c r="T15" s="24"/>
      <x:c r="U15" s="24"/>
      <x:c r="V15" s="24"/>
      <x:c r="W15" s="24"/>
      <x:c r="X15" s="81" t="str">
        <x:f>IF(OR(R15="",R15=0),"",U15/R15)</x:f>
      </x:c>
      <x:c r="Y15" s="81" t="str">
        <x:f>IF(OR(Q15="",Q15=0),"",R15/Q15)</x:f>
      </x:c>
      <x:c r="Z15" s="26" t="s">
        <x:v>825</x:v>
      </x:c>
      <x:c r="AA15" s="24"/>
    </x:row>
    <x:row r="16" ht="188.10000610351562" customHeight="1">
      <x:c r="A16" s="22" t="s">
        <x:v>845</x:v>
      </x:c>
      <x:c r="B16" s="22" t="s">
        <x:v>174</x:v>
      </x:c>
      <x:c r="C16" s="22" t="s">
        <x:v>25</x:v>
      </x:c>
      <x:c r="D16" s="23" t="s">
        <x:v>175</x:v>
      </x:c>
      <x:c r="E16" s="23" t="s">
        <x:v>176</x:v>
      </x:c>
      <x:c r="F16" s="23" t="s">
        <x:v>177</x:v>
      </x:c>
      <x:c r="G16" s="23" t="s">
        <x:v>676</x:v>
      </x:c>
      <x:c r="H16" s="23" t="s">
        <x:v>678</x:v>
      </x:c>
      <x:c r="I16" s="23" t="s">
        <x:v>189</x:v>
      </x:c>
      <x:c r="J16" s="23" t="s">
        <x:v>824</x:v>
      </x:c>
      <x:c r="K16" s="23" t="s">
        <x:v>180</x:v>
      </x:c>
      <x:c r="L16" s="23" t="s">
        <x:v>181</x:v>
      </x:c>
      <x:c r="M16" s="23" t="s">
        <x:v>182</x:v>
      </x:c>
      <x:c r="N16" s="23" t="s">
        <x:v>183</x:v>
      </x:c>
      <x:c r="O16" s="23" t="s">
        <x:v>184</x:v>
      </x:c>
      <x:c r="P16" s="24"/>
      <x:c r="Q16" s="24"/>
      <x:c r="R16" s="24"/>
      <x:c r="S16" s="24"/>
      <x:c r="T16" s="24"/>
      <x:c r="U16" s="24"/>
      <x:c r="V16" s="24"/>
      <x:c r="W16" s="24"/>
      <x:c r="X16" s="81" t="str">
        <x:f>IF(OR(R16="",R16=0),"",U16/R16)</x:f>
      </x:c>
      <x:c r="Y16" s="81" t="str">
        <x:f>IF(OR(Q16="",Q16=0),"",R16/Q16)</x:f>
      </x:c>
      <x:c r="Z16" s="26" t="s">
        <x:v>825</x:v>
      </x:c>
      <x:c r="AA16" s="24"/>
    </x:row>
    <x:row r="17" ht="188.10000610351562" customHeight="1">
      <x:c r="A17" s="22" t="s">
        <x:v>846</x:v>
      </x:c>
      <x:c r="B17" s="22" t="s">
        <x:v>174</x:v>
      </x:c>
      <x:c r="C17" s="22" t="s">
        <x:v>25</x:v>
      </x:c>
      <x:c r="D17" s="23" t="s">
        <x:v>175</x:v>
      </x:c>
      <x:c r="E17" s="23" t="s">
        <x:v>176</x:v>
      </x:c>
      <x:c r="F17" s="23" t="s">
        <x:v>177</x:v>
      </x:c>
      <x:c r="G17" s="23" t="s">
        <x:v>676</x:v>
      </x:c>
      <x:c r="H17" s="23" t="s">
        <x:v>678</x:v>
      </x:c>
      <x:c r="I17" s="23" t="s">
        <x:v>843</x:v>
      </x:c>
      <x:c r="J17" s="23" t="s">
        <x:v>844</x:v>
      </x:c>
      <x:c r="K17" s="23" t="s">
        <x:v>180</x:v>
      </x:c>
      <x:c r="L17" s="23" t="s">
        <x:v>181</x:v>
      </x:c>
      <x:c r="M17" s="23" t="s">
        <x:v>182</x:v>
      </x:c>
      <x:c r="N17" s="23" t="s">
        <x:v>183</x:v>
      </x:c>
      <x:c r="O17" s="23" t="s">
        <x:v>184</x:v>
      </x:c>
      <x:c r="P17" s="24"/>
      <x:c r="Q17" s="24"/>
      <x:c r="R17" s="24"/>
      <x:c r="S17" s="24"/>
      <x:c r="T17" s="24"/>
      <x:c r="U17" s="24"/>
      <x:c r="V17" s="24"/>
      <x:c r="W17" s="24"/>
      <x:c r="X17" s="81" t="str">
        <x:f>IF(OR(R17="",R17=0),"",U17/R17)</x:f>
      </x:c>
      <x:c r="Y17" s="81" t="str">
        <x:f>IF(OR(Q17="",Q17=0),"",R17/Q17)</x:f>
      </x:c>
      <x:c r="Z17" s="26" t="s">
        <x:v>825</x:v>
      </x:c>
      <x:c r="AA17" s="24"/>
    </x:row>
    <x:row r="18" ht="188.10000610351562" customHeight="1">
      <x:c r="A18" s="22" t="s">
        <x:v>847</x:v>
      </x:c>
      <x:c r="B18" s="22" t="s">
        <x:v>174</x:v>
      </x:c>
      <x:c r="C18" s="22" t="s">
        <x:v>25</x:v>
      </x:c>
      <x:c r="D18" s="23" t="s">
        <x:v>175</x:v>
      </x:c>
      <x:c r="E18" s="23" t="s">
        <x:v>176</x:v>
      </x:c>
      <x:c r="F18" s="23" t="s">
        <x:v>177</x:v>
      </x:c>
      <x:c r="G18" s="23" t="s">
        <x:v>693</x:v>
      </x:c>
      <x:c r="H18" s="23" t="s">
        <x:v>695</x:v>
      </x:c>
      <x:c r="I18" s="23" t="s">
        <x:v>189</x:v>
      </x:c>
      <x:c r="J18" s="23" t="s">
        <x:v>824</x:v>
      </x:c>
      <x:c r="K18" s="23" t="s">
        <x:v>180</x:v>
      </x:c>
      <x:c r="L18" s="23" t="s">
        <x:v>181</x:v>
      </x:c>
      <x:c r="M18" s="23" t="s">
        <x:v>182</x:v>
      </x:c>
      <x:c r="N18" s="23" t="s">
        <x:v>183</x:v>
      </x:c>
      <x:c r="O18" s="23" t="s">
        <x:v>184</x:v>
      </x:c>
      <x:c r="P18" s="24"/>
      <x:c r="Q18" s="24"/>
      <x:c r="R18" s="24"/>
      <x:c r="S18" s="24"/>
      <x:c r="T18" s="24"/>
      <x:c r="U18" s="24"/>
      <x:c r="V18" s="24"/>
      <x:c r="W18" s="24"/>
      <x:c r="X18" s="81" t="str">
        <x:f>IF(OR(R18="",R18=0),"",U18/R18)</x:f>
      </x:c>
      <x:c r="Y18" s="81" t="str">
        <x:f>IF(OR(Q18="",Q18=0),"",R18/Q18)</x:f>
      </x:c>
      <x:c r="Z18" s="26" t="s">
        <x:v>825</x:v>
      </x:c>
      <x:c r="AA18" s="24"/>
    </x:row>
    <x:row r="19" ht="188.10000610351562" customHeight="1">
      <x:c r="A19" s="22" t="s">
        <x:v>848</x:v>
      </x:c>
      <x:c r="B19" s="22" t="s">
        <x:v>174</x:v>
      </x:c>
      <x:c r="C19" s="22" t="s">
        <x:v>25</x:v>
      </x:c>
      <x:c r="D19" s="23" t="s">
        <x:v>175</x:v>
      </x:c>
      <x:c r="E19" s="23" t="s">
        <x:v>176</x:v>
      </x:c>
      <x:c r="F19" s="23" t="s">
        <x:v>177</x:v>
      </x:c>
      <x:c r="G19" s="23" t="s">
        <x:v>693</x:v>
      </x:c>
      <x:c r="H19" s="23" t="s">
        <x:v>695</x:v>
      </x:c>
      <x:c r="I19" s="23" t="s">
        <x:v>843</x:v>
      </x:c>
      <x:c r="J19" s="23" t="s">
        <x:v>844</x:v>
      </x:c>
      <x:c r="K19" s="23" t="s">
        <x:v>180</x:v>
      </x:c>
      <x:c r="L19" s="23" t="s">
        <x:v>181</x:v>
      </x:c>
      <x:c r="M19" s="23" t="s">
        <x:v>182</x:v>
      </x:c>
      <x:c r="N19" s="23" t="s">
        <x:v>183</x:v>
      </x:c>
      <x:c r="O19" s="23" t="s">
        <x:v>184</x:v>
      </x:c>
      <x:c r="P19" s="24"/>
      <x:c r="Q19" s="24"/>
      <x:c r="R19" s="24"/>
      <x:c r="S19" s="24"/>
      <x:c r="T19" s="24"/>
      <x:c r="U19" s="24"/>
      <x:c r="V19" s="24"/>
      <x:c r="W19" s="24"/>
      <x:c r="X19" s="81" t="str">
        <x:f>IF(OR(R19="",R19=0),"",U19/R19)</x:f>
      </x:c>
      <x:c r="Y19" s="81" t="str">
        <x:f>IF(OR(Q19="",Q19=0),"",R19/Q19)</x:f>
      </x:c>
      <x:c r="Z19" s="26" t="s">
        <x:v>825</x:v>
      </x:c>
      <x:c r="AA19" s="24"/>
    </x:row>
    <x:row r="20" ht="188.10000610351562" customHeight="1">
      <x:c r="A20" s="22" t="s">
        <x:v>849</x:v>
      </x:c>
      <x:c r="B20" s="22" t="s">
        <x:v>185</x:v>
      </x:c>
      <x:c r="C20" s="22" t="s">
        <x:v>25</x:v>
      </x:c>
      <x:c r="D20" s="23" t="s">
        <x:v>186</x:v>
      </x:c>
      <x:c r="E20" s="23" t="s">
        <x:v>187</x:v>
      </x:c>
      <x:c r="F20" s="23" t="s">
        <x:v>188</x:v>
      </x:c>
      <x:c r="G20" s="23" t="s">
        <x:v>666</x:v>
      </x:c>
      <x:c r="H20" s="23" t="s">
        <x:v>668</x:v>
      </x:c>
      <x:c r="I20" s="23" t="s">
        <x:v>189</x:v>
      </x:c>
      <x:c r="J20" s="23" t="s">
        <x:v>824</x:v>
      </x:c>
      <x:c r="K20" s="23" t="s">
        <x:v>190</x:v>
      </x:c>
      <x:c r="L20" s="23" t="s">
        <x:v>191</x:v>
      </x:c>
      <x:c r="M20" s="23" t="s">
        <x:v>192</x:v>
      </x:c>
      <x:c r="N20" s="23" t="s">
        <x:v>193</x:v>
      </x:c>
      <x:c r="O20" s="23" t="s">
        <x:v>173</x:v>
      </x:c>
      <x:c r="P20" s="24"/>
      <x:c r="Q20" s="24"/>
      <x:c r="R20" s="24"/>
      <x:c r="S20" s="24"/>
      <x:c r="T20" s="24"/>
      <x:c r="U20" s="24"/>
      <x:c r="V20" s="24"/>
      <x:c r="W20" s="24"/>
      <x:c r="X20" s="81" t="str">
        <x:f>IF(OR(R20="",R20=0),"",U20/R20)</x:f>
      </x:c>
      <x:c r="Y20" s="81" t="str">
        <x:f>IF(OR(Q20="",Q20=0),"",R20/Q20)</x:f>
      </x:c>
      <x:c r="Z20" s="26" t="s">
        <x:v>825</x:v>
      </x:c>
      <x:c r="AA20" s="24"/>
    </x:row>
    <x:row r="21" ht="188.10000610351562" customHeight="1">
      <x:c r="A21" s="22" t="s">
        <x:v>850</x:v>
      </x:c>
      <x:c r="B21" s="22" t="s">
        <x:v>185</x:v>
      </x:c>
      <x:c r="C21" s="22" t="s">
        <x:v>25</x:v>
      </x:c>
      <x:c r="D21" s="23" t="s">
        <x:v>186</x:v>
      </x:c>
      <x:c r="E21" s="23" t="s">
        <x:v>187</x:v>
      </x:c>
      <x:c r="F21" s="23" t="s">
        <x:v>188</x:v>
      </x:c>
      <x:c r="G21" s="23" t="s">
        <x:v>676</x:v>
      </x:c>
      <x:c r="H21" s="23" t="s">
        <x:v>678</x:v>
      </x:c>
      <x:c r="I21" s="23" t="s">
        <x:v>189</x:v>
      </x:c>
      <x:c r="J21" s="23" t="s">
        <x:v>824</x:v>
      </x:c>
      <x:c r="K21" s="23" t="s">
        <x:v>190</x:v>
      </x:c>
      <x:c r="L21" s="23" t="s">
        <x:v>191</x:v>
      </x:c>
      <x:c r="M21" s="23" t="s">
        <x:v>192</x:v>
      </x:c>
      <x:c r="N21" s="23" t="s">
        <x:v>193</x:v>
      </x:c>
      <x:c r="O21" s="23" t="s">
        <x:v>173</x:v>
      </x:c>
      <x:c r="P21" s="24"/>
      <x:c r="Q21" s="24"/>
      <x:c r="R21" s="24"/>
      <x:c r="S21" s="24"/>
      <x:c r="T21" s="24"/>
      <x:c r="U21" s="24"/>
      <x:c r="V21" s="24"/>
      <x:c r="W21" s="24"/>
      <x:c r="X21" s="81" t="str">
        <x:f>IF(OR(R21="",R21=0),"",U21/R21)</x:f>
      </x:c>
      <x:c r="Y21" s="81" t="str">
        <x:f>IF(OR(Q21="",Q21=0),"",R21/Q21)</x:f>
      </x:c>
      <x:c r="Z21" s="26" t="s">
        <x:v>825</x:v>
      </x:c>
      <x:c r="AA21" s="24"/>
    </x:row>
    <x:row r="22" ht="188.10000610351562" customHeight="1">
      <x:c r="A22" s="22" t="s">
        <x:v>851</x:v>
      </x:c>
      <x:c r="B22" s="22" t="s">
        <x:v>185</x:v>
      </x:c>
      <x:c r="C22" s="22" t="s">
        <x:v>25</x:v>
      </x:c>
      <x:c r="D22" s="23" t="s">
        <x:v>186</x:v>
      </x:c>
      <x:c r="E22" s="23" t="s">
        <x:v>187</x:v>
      </x:c>
      <x:c r="F22" s="23" t="s">
        <x:v>188</x:v>
      </x:c>
      <x:c r="G22" s="23" t="s">
        <x:v>693</x:v>
      </x:c>
      <x:c r="H22" s="23" t="s">
        <x:v>695</x:v>
      </x:c>
      <x:c r="I22" s="23" t="s">
        <x:v>189</x:v>
      </x:c>
      <x:c r="J22" s="23" t="s">
        <x:v>824</x:v>
      </x:c>
      <x:c r="K22" s="23" t="s">
        <x:v>190</x:v>
      </x:c>
      <x:c r="L22" s="23" t="s">
        <x:v>191</x:v>
      </x:c>
      <x:c r="M22" s="23" t="s">
        <x:v>192</x:v>
      </x:c>
      <x:c r="N22" s="23" t="s">
        <x:v>193</x:v>
      </x:c>
      <x:c r="O22" s="23" t="s">
        <x:v>173</x:v>
      </x:c>
      <x:c r="P22" s="24"/>
      <x:c r="Q22" s="24"/>
      <x:c r="R22" s="24"/>
      <x:c r="S22" s="24"/>
      <x:c r="T22" s="24"/>
      <x:c r="U22" s="24"/>
      <x:c r="V22" s="24"/>
      <x:c r="W22" s="24"/>
      <x:c r="X22" s="81" t="str">
        <x:f>IF(OR(R22="",R22=0),"",U22/R22)</x:f>
      </x:c>
      <x:c r="Y22" s="81" t="str">
        <x:f>IF(OR(Q22="",Q22=0),"",R22/Q22)</x:f>
      </x:c>
      <x:c r="Z22" s="26" t="s">
        <x:v>825</x:v>
      </x:c>
      <x:c r="AA22" s="24"/>
    </x:row>
    <x:row r="23" ht="188.10000610351562" customHeight="1">
      <x:c r="A23" s="22" t="s">
        <x:v>852</x:v>
      </x:c>
      <x:c r="B23" s="22" t="s">
        <x:v>194</x:v>
      </x:c>
      <x:c r="C23" s="22" t="s">
        <x:v>25</x:v>
      </x:c>
      <x:c r="D23" s="23" t="s">
        <x:v>195</x:v>
      </x:c>
      <x:c r="E23" s="23" t="s">
        <x:v>196</x:v>
      </x:c>
      <x:c r="F23" s="23" t="s">
        <x:v>197</x:v>
      </x:c>
      <x:c r="G23" s="23" t="s">
        <x:v>666</x:v>
      </x:c>
      <x:c r="H23" s="23" t="s">
        <x:v>668</x:v>
      </x:c>
      <x:c r="I23" s="23" t="s">
        <x:v>189</x:v>
      </x:c>
      <x:c r="J23" s="23" t="s">
        <x:v>824</x:v>
      </x:c>
      <x:c r="K23" s="23" t="s">
        <x:v>199</x:v>
      </x:c>
      <x:c r="L23" s="23" t="s">
        <x:v>200</x:v>
      </x:c>
      <x:c r="M23" s="23" t="s">
        <x:v>201</x:v>
      </x:c>
      <x:c r="N23" s="23" t="s">
        <x:v>202</x:v>
      </x:c>
      <x:c r="O23" s="23" t="s">
        <x:v>184</x:v>
      </x:c>
      <x:c r="P23" s="24"/>
      <x:c r="Q23" s="24"/>
      <x:c r="R23" s="24"/>
      <x:c r="S23" s="24"/>
      <x:c r="T23" s="24"/>
      <x:c r="U23" s="24"/>
      <x:c r="V23" s="24"/>
      <x:c r="W23" s="24"/>
      <x:c r="X23" s="81" t="str">
        <x:f>IF(OR(R23="",R23=0),"",U23/R23)</x:f>
      </x:c>
      <x:c r="Y23" s="81" t="str">
        <x:f>IF(OR(Q23="",Q23=0),"",R23/Q23)</x:f>
      </x:c>
      <x:c r="Z23" s="26" t="s">
        <x:v>825</x:v>
      </x:c>
      <x:c r="AA23" s="24"/>
    </x:row>
    <x:row r="24" ht="188.10000610351562" customHeight="1">
      <x:c r="A24" s="22" t="s">
        <x:v>853</x:v>
      </x:c>
      <x:c r="B24" s="22" t="s">
        <x:v>194</x:v>
      </x:c>
      <x:c r="C24" s="22" t="s">
        <x:v>25</x:v>
      </x:c>
      <x:c r="D24" s="23" t="s">
        <x:v>195</x:v>
      </x:c>
      <x:c r="E24" s="23" t="s">
        <x:v>196</x:v>
      </x:c>
      <x:c r="F24" s="23" t="s">
        <x:v>197</x:v>
      </x:c>
      <x:c r="G24" s="23" t="s">
        <x:v>666</x:v>
      </x:c>
      <x:c r="H24" s="23" t="s">
        <x:v>668</x:v>
      </x:c>
      <x:c r="I24" s="23" t="s">
        <x:v>349</x:v>
      </x:c>
      <x:c r="J24" s="23" t="s">
        <x:v>854</x:v>
      </x:c>
      <x:c r="K24" s="23" t="s">
        <x:v>199</x:v>
      </x:c>
      <x:c r="L24" s="23" t="s">
        <x:v>200</x:v>
      </x:c>
      <x:c r="M24" s="23" t="s">
        <x:v>201</x:v>
      </x:c>
      <x:c r="N24" s="23" t="s">
        <x:v>202</x:v>
      </x:c>
      <x:c r="O24" s="23" t="s">
        <x:v>184</x:v>
      </x:c>
      <x:c r="P24" s="24"/>
      <x:c r="Q24" s="24"/>
      <x:c r="R24" s="24"/>
      <x:c r="S24" s="24"/>
      <x:c r="T24" s="24"/>
      <x:c r="U24" s="24"/>
      <x:c r="V24" s="24"/>
      <x:c r="W24" s="24"/>
      <x:c r="X24" s="81" t="str">
        <x:f>IF(OR(R24="",R24=0),"",U24/R24)</x:f>
      </x:c>
      <x:c r="Y24" s="81" t="str">
        <x:f>IF(OR(Q24="",Q24=0),"",R24/Q24)</x:f>
      </x:c>
      <x:c r="Z24" s="26" t="s">
        <x:v>825</x:v>
      </x:c>
      <x:c r="AA24" s="24"/>
    </x:row>
    <x:row r="25" ht="188.10000610351562" customHeight="1">
      <x:c r="A25" s="22" t="s">
        <x:v>855</x:v>
      </x:c>
      <x:c r="B25" s="22" t="s">
        <x:v>194</x:v>
      </x:c>
      <x:c r="C25" s="22" t="s">
        <x:v>25</x:v>
      </x:c>
      <x:c r="D25" s="23" t="s">
        <x:v>195</x:v>
      </x:c>
      <x:c r="E25" s="23" t="s">
        <x:v>196</x:v>
      </x:c>
      <x:c r="F25" s="23" t="s">
        <x:v>197</x:v>
      </x:c>
      <x:c r="G25" s="23" t="s">
        <x:v>676</x:v>
      </x:c>
      <x:c r="H25" s="23" t="s">
        <x:v>678</x:v>
      </x:c>
      <x:c r="I25" s="23" t="s">
        <x:v>189</x:v>
      </x:c>
      <x:c r="J25" s="23" t="s">
        <x:v>824</x:v>
      </x:c>
      <x:c r="K25" s="23" t="s">
        <x:v>199</x:v>
      </x:c>
      <x:c r="L25" s="23" t="s">
        <x:v>200</x:v>
      </x:c>
      <x:c r="M25" s="23" t="s">
        <x:v>201</x:v>
      </x:c>
      <x:c r="N25" s="23" t="s">
        <x:v>202</x:v>
      </x:c>
      <x:c r="O25" s="23" t="s">
        <x:v>184</x:v>
      </x:c>
      <x:c r="P25" s="24"/>
      <x:c r="Q25" s="24"/>
      <x:c r="R25" s="24"/>
      <x:c r="S25" s="24"/>
      <x:c r="T25" s="24"/>
      <x:c r="U25" s="24"/>
      <x:c r="V25" s="24"/>
      <x:c r="W25" s="24"/>
      <x:c r="X25" s="81" t="str">
        <x:f>IF(OR(R25="",R25=0),"",U25/R25)</x:f>
      </x:c>
      <x:c r="Y25" s="81" t="str">
        <x:f>IF(OR(Q25="",Q25=0),"",R25/Q25)</x:f>
      </x:c>
      <x:c r="Z25" s="26" t="s">
        <x:v>825</x:v>
      </x:c>
      <x:c r="AA25" s="24"/>
    </x:row>
    <x:row r="26" ht="188.10000610351562" customHeight="1">
      <x:c r="A26" s="22" t="s">
        <x:v>856</x:v>
      </x:c>
      <x:c r="B26" s="22" t="s">
        <x:v>194</x:v>
      </x:c>
      <x:c r="C26" s="22" t="s">
        <x:v>25</x:v>
      </x:c>
      <x:c r="D26" s="23" t="s">
        <x:v>195</x:v>
      </x:c>
      <x:c r="E26" s="23" t="s">
        <x:v>196</x:v>
      </x:c>
      <x:c r="F26" s="23" t="s">
        <x:v>197</x:v>
      </x:c>
      <x:c r="G26" s="23" t="s">
        <x:v>676</x:v>
      </x:c>
      <x:c r="H26" s="23" t="s">
        <x:v>678</x:v>
      </x:c>
      <x:c r="I26" s="23" t="s">
        <x:v>349</x:v>
      </x:c>
      <x:c r="J26" s="23" t="s">
        <x:v>854</x:v>
      </x:c>
      <x:c r="K26" s="23" t="s">
        <x:v>199</x:v>
      </x:c>
      <x:c r="L26" s="23" t="s">
        <x:v>200</x:v>
      </x:c>
      <x:c r="M26" s="23" t="s">
        <x:v>201</x:v>
      </x:c>
      <x:c r="N26" s="23" t="s">
        <x:v>202</x:v>
      </x:c>
      <x:c r="O26" s="23" t="s">
        <x:v>184</x:v>
      </x:c>
      <x:c r="P26" s="24"/>
      <x:c r="Q26" s="24"/>
      <x:c r="R26" s="24"/>
      <x:c r="S26" s="24"/>
      <x:c r="T26" s="24"/>
      <x:c r="U26" s="24"/>
      <x:c r="V26" s="24"/>
      <x:c r="W26" s="24"/>
      <x:c r="X26" s="81" t="str">
        <x:f>IF(OR(R26="",R26=0),"",U26/R26)</x:f>
      </x:c>
      <x:c r="Y26" s="81" t="str">
        <x:f>IF(OR(Q26="",Q26=0),"",R26/Q26)</x:f>
      </x:c>
      <x:c r="Z26" s="26" t="s">
        <x:v>825</x:v>
      </x:c>
      <x:c r="AA26" s="24"/>
    </x:row>
    <x:row r="27" ht="188.10000610351562" customHeight="1">
      <x:c r="A27" s="22" t="s">
        <x:v>857</x:v>
      </x:c>
      <x:c r="B27" s="22" t="s">
        <x:v>194</x:v>
      </x:c>
      <x:c r="C27" s="22" t="s">
        <x:v>25</x:v>
      </x:c>
      <x:c r="D27" s="23" t="s">
        <x:v>195</x:v>
      </x:c>
      <x:c r="E27" s="23" t="s">
        <x:v>196</x:v>
      </x:c>
      <x:c r="F27" s="23" t="s">
        <x:v>197</x:v>
      </x:c>
      <x:c r="G27" s="23" t="s">
        <x:v>693</x:v>
      </x:c>
      <x:c r="H27" s="23" t="s">
        <x:v>695</x:v>
      </x:c>
      <x:c r="I27" s="23" t="s">
        <x:v>189</x:v>
      </x:c>
      <x:c r="J27" s="23" t="s">
        <x:v>824</x:v>
      </x:c>
      <x:c r="K27" s="23" t="s">
        <x:v>199</x:v>
      </x:c>
      <x:c r="L27" s="23" t="s">
        <x:v>200</x:v>
      </x:c>
      <x:c r="M27" s="23" t="s">
        <x:v>201</x:v>
      </x:c>
      <x:c r="N27" s="23" t="s">
        <x:v>202</x:v>
      </x:c>
      <x:c r="O27" s="23" t="s">
        <x:v>184</x:v>
      </x:c>
      <x:c r="P27" s="24"/>
      <x:c r="Q27" s="24"/>
      <x:c r="R27" s="24"/>
      <x:c r="S27" s="24"/>
      <x:c r="T27" s="24"/>
      <x:c r="U27" s="24"/>
      <x:c r="V27" s="24"/>
      <x:c r="W27" s="24"/>
      <x:c r="X27" s="81" t="str">
        <x:f>IF(OR(R27="",R27=0),"",U27/R27)</x:f>
      </x:c>
      <x:c r="Y27" s="81" t="str">
        <x:f>IF(OR(Q27="",Q27=0),"",R27/Q27)</x:f>
      </x:c>
      <x:c r="Z27" s="26" t="s">
        <x:v>825</x:v>
      </x:c>
      <x:c r="AA27" s="24"/>
    </x:row>
    <x:row r="28" ht="188.10000610351562" customHeight="1">
      <x:c r="A28" s="22" t="s">
        <x:v>858</x:v>
      </x:c>
      <x:c r="B28" s="22" t="s">
        <x:v>194</x:v>
      </x:c>
      <x:c r="C28" s="22" t="s">
        <x:v>25</x:v>
      </x:c>
      <x:c r="D28" s="23" t="s">
        <x:v>195</x:v>
      </x:c>
      <x:c r="E28" s="23" t="s">
        <x:v>196</x:v>
      </x:c>
      <x:c r="F28" s="23" t="s">
        <x:v>197</x:v>
      </x:c>
      <x:c r="G28" s="23" t="s">
        <x:v>693</x:v>
      </x:c>
      <x:c r="H28" s="23" t="s">
        <x:v>695</x:v>
      </x:c>
      <x:c r="I28" s="23" t="s">
        <x:v>349</x:v>
      </x:c>
      <x:c r="J28" s="23" t="s">
        <x:v>854</x:v>
      </x:c>
      <x:c r="K28" s="23" t="s">
        <x:v>199</x:v>
      </x:c>
      <x:c r="L28" s="23" t="s">
        <x:v>200</x:v>
      </x:c>
      <x:c r="M28" s="23" t="s">
        <x:v>201</x:v>
      </x:c>
      <x:c r="N28" s="23" t="s">
        <x:v>202</x:v>
      </x:c>
      <x:c r="O28" s="23" t="s">
        <x:v>184</x:v>
      </x:c>
      <x:c r="P28" s="24"/>
      <x:c r="Q28" s="24"/>
      <x:c r="R28" s="24"/>
      <x:c r="S28" s="24"/>
      <x:c r="T28" s="24"/>
      <x:c r="U28" s="24"/>
      <x:c r="V28" s="24"/>
      <x:c r="W28" s="24"/>
      <x:c r="X28" s="81" t="str">
        <x:f>IF(OR(R28="",R28=0),"",U28/R28)</x:f>
      </x:c>
      <x:c r="Y28" s="81" t="str">
        <x:f>IF(OR(Q28="",Q28=0),"",R28/Q28)</x:f>
      </x:c>
      <x:c r="Z28" s="26" t="s">
        <x:v>825</x:v>
      </x:c>
      <x:c r="AA28" s="24"/>
    </x:row>
    <x:row r="29" ht="188.10000610351562" customHeight="1">
      <x:c r="A29" s="22" t="s">
        <x:v>859</x:v>
      </x:c>
      <x:c r="B29" s="22" t="s">
        <x:v>203</x:v>
      </x:c>
      <x:c r="C29" s="22" t="s">
        <x:v>25</x:v>
      </x:c>
      <x:c r="D29" s="23" t="s">
        <x:v>204</x:v>
      </x:c>
      <x:c r="E29" s="23" t="s">
        <x:v>205</x:v>
      </x:c>
      <x:c r="F29" s="23" t="s">
        <x:v>206</x:v>
      </x:c>
      <x:c r="G29" s="23" t="s">
        <x:v>666</x:v>
      </x:c>
      <x:c r="H29" s="23" t="s">
        <x:v>668</x:v>
      </x:c>
      <x:c r="I29" s="23" t="s">
        <x:v>189</x:v>
      </x:c>
      <x:c r="J29" s="23" t="s">
        <x:v>824</x:v>
      </x:c>
      <x:c r="K29" s="23" t="s">
        <x:v>208</x:v>
      </x:c>
      <x:c r="L29" s="23" t="s">
        <x:v>209</x:v>
      </x:c>
      <x:c r="M29" s="23" t="s">
        <x:v>210</x:v>
      </x:c>
      <x:c r="N29" s="23" t="s">
        <x:v>211</x:v>
      </x:c>
      <x:c r="O29" s="23" t="s">
        <x:v>212</x:v>
      </x:c>
      <x:c r="P29" s="24"/>
      <x:c r="Q29" s="24"/>
      <x:c r="R29" s="24"/>
      <x:c r="S29" s="24"/>
      <x:c r="T29" s="24"/>
      <x:c r="U29" s="24"/>
      <x:c r="V29" s="24"/>
      <x:c r="W29" s="24"/>
      <x:c r="X29" s="81" t="str">
        <x:f>IF(OR(R29="",R29=0),"",U29/R29)</x:f>
      </x:c>
      <x:c r="Y29" s="81" t="str">
        <x:f>IF(OR(Q29="",Q29=0),"",R29/Q29)</x:f>
      </x:c>
      <x:c r="Z29" s="26" t="s">
        <x:v>825</x:v>
      </x:c>
      <x:c r="AA29" s="24"/>
    </x:row>
    <x:row r="30" ht="188.10000610351562" customHeight="1">
      <x:c r="A30" s="22" t="s">
        <x:v>860</x:v>
      </x:c>
      <x:c r="B30" s="22" t="s">
        <x:v>203</x:v>
      </x:c>
      <x:c r="C30" s="22" t="s">
        <x:v>25</x:v>
      </x:c>
      <x:c r="D30" s="23" t="s">
        <x:v>204</x:v>
      </x:c>
      <x:c r="E30" s="23" t="s">
        <x:v>205</x:v>
      </x:c>
      <x:c r="F30" s="23" t="s">
        <x:v>206</x:v>
      </x:c>
      <x:c r="G30" s="23" t="s">
        <x:v>666</x:v>
      </x:c>
      <x:c r="H30" s="23" t="s">
        <x:v>668</x:v>
      </x:c>
      <x:c r="I30" s="23" t="s">
        <x:v>349</x:v>
      </x:c>
      <x:c r="J30" s="23" t="s">
        <x:v>854</x:v>
      </x:c>
      <x:c r="K30" s="23" t="s">
        <x:v>208</x:v>
      </x:c>
      <x:c r="L30" s="23" t="s">
        <x:v>209</x:v>
      </x:c>
      <x:c r="M30" s="23" t="s">
        <x:v>210</x:v>
      </x:c>
      <x:c r="N30" s="23" t="s">
        <x:v>211</x:v>
      </x:c>
      <x:c r="O30" s="23" t="s">
        <x:v>212</x:v>
      </x:c>
      <x:c r="P30" s="24"/>
      <x:c r="Q30" s="24"/>
      <x:c r="R30" s="24"/>
      <x:c r="S30" s="24"/>
      <x:c r="T30" s="24"/>
      <x:c r="U30" s="24"/>
      <x:c r="V30" s="24"/>
      <x:c r="W30" s="24"/>
      <x:c r="X30" s="81" t="str">
        <x:f>IF(OR(R30="",R30=0),"",U30/R30)</x:f>
      </x:c>
      <x:c r="Y30" s="81" t="str">
        <x:f>IF(OR(Q30="",Q30=0),"",R30/Q30)</x:f>
      </x:c>
      <x:c r="Z30" s="26" t="s">
        <x:v>825</x:v>
      </x:c>
      <x:c r="AA30" s="24"/>
    </x:row>
    <x:row r="31" ht="188.10000610351562" customHeight="1">
      <x:c r="A31" s="22" t="s">
        <x:v>861</x:v>
      </x:c>
      <x:c r="B31" s="22" t="s">
        <x:v>203</x:v>
      </x:c>
      <x:c r="C31" s="22" t="s">
        <x:v>25</x:v>
      </x:c>
      <x:c r="D31" s="23" t="s">
        <x:v>204</x:v>
      </x:c>
      <x:c r="E31" s="23" t="s">
        <x:v>205</x:v>
      </x:c>
      <x:c r="F31" s="23" t="s">
        <x:v>206</x:v>
      </x:c>
      <x:c r="G31" s="23" t="s">
        <x:v>684</x:v>
      </x:c>
      <x:c r="H31" s="23" t="s">
        <x:v>686</x:v>
      </x:c>
      <x:c r="I31" s="23" t="s">
        <x:v>189</x:v>
      </x:c>
      <x:c r="J31" s="23" t="s">
        <x:v>824</x:v>
      </x:c>
      <x:c r="K31" s="23" t="s">
        <x:v>208</x:v>
      </x:c>
      <x:c r="L31" s="23" t="s">
        <x:v>209</x:v>
      </x:c>
      <x:c r="M31" s="23" t="s">
        <x:v>210</x:v>
      </x:c>
      <x:c r="N31" s="23" t="s">
        <x:v>211</x:v>
      </x:c>
      <x:c r="O31" s="23" t="s">
        <x:v>212</x:v>
      </x:c>
      <x:c r="P31" s="24"/>
      <x:c r="Q31" s="24"/>
      <x:c r="R31" s="24"/>
      <x:c r="S31" s="24"/>
      <x:c r="T31" s="24"/>
      <x:c r="U31" s="24"/>
      <x:c r="V31" s="24"/>
      <x:c r="W31" s="24"/>
      <x:c r="X31" s="81" t="str">
        <x:f>IF(OR(R31="",R31=0),"",U31/R31)</x:f>
      </x:c>
      <x:c r="Y31" s="81" t="str">
        <x:f>IF(OR(Q31="",Q31=0),"",R31/Q31)</x:f>
      </x:c>
      <x:c r="Z31" s="26" t="s">
        <x:v>825</x:v>
      </x:c>
      <x:c r="AA31" s="24"/>
    </x:row>
    <x:row r="32" ht="188.10000610351562" customHeight="1">
      <x:c r="A32" s="22" t="s">
        <x:v>862</x:v>
      </x:c>
      <x:c r="B32" s="22" t="s">
        <x:v>203</x:v>
      </x:c>
      <x:c r="C32" s="22" t="s">
        <x:v>25</x:v>
      </x:c>
      <x:c r="D32" s="23" t="s">
        <x:v>204</x:v>
      </x:c>
      <x:c r="E32" s="23" t="s">
        <x:v>205</x:v>
      </x:c>
      <x:c r="F32" s="23" t="s">
        <x:v>206</x:v>
      </x:c>
      <x:c r="G32" s="23" t="s">
        <x:v>684</x:v>
      </x:c>
      <x:c r="H32" s="23" t="s">
        <x:v>686</x:v>
      </x:c>
      <x:c r="I32" s="23" t="s">
        <x:v>349</x:v>
      </x:c>
      <x:c r="J32" s="23" t="s">
        <x:v>854</x:v>
      </x:c>
      <x:c r="K32" s="23" t="s">
        <x:v>208</x:v>
      </x:c>
      <x:c r="L32" s="23" t="s">
        <x:v>209</x:v>
      </x:c>
      <x:c r="M32" s="23" t="s">
        <x:v>210</x:v>
      </x:c>
      <x:c r="N32" s="23" t="s">
        <x:v>211</x:v>
      </x:c>
      <x:c r="O32" s="23" t="s">
        <x:v>212</x:v>
      </x:c>
      <x:c r="P32" s="24"/>
      <x:c r="Q32" s="24"/>
      <x:c r="R32" s="24"/>
      <x:c r="S32" s="24"/>
      <x:c r="T32" s="24"/>
      <x:c r="U32" s="24"/>
      <x:c r="V32" s="24"/>
      <x:c r="W32" s="24"/>
      <x:c r="X32" s="81" t="str">
        <x:f>IF(OR(R32="",R32=0),"",U32/R32)</x:f>
      </x:c>
      <x:c r="Y32" s="81" t="str">
        <x:f>IF(OR(Q32="",Q32=0),"",R32/Q32)</x:f>
      </x:c>
      <x:c r="Z32" s="26" t="s">
        <x:v>825</x:v>
      </x:c>
      <x:c r="AA32" s="24"/>
    </x:row>
    <x:row r="33" ht="188.10000610351562" customHeight="1">
      <x:c r="A33" s="22" t="s">
        <x:v>863</x:v>
      </x:c>
      <x:c r="B33" s="22" t="s">
        <x:v>203</x:v>
      </x:c>
      <x:c r="C33" s="22" t="s">
        <x:v>25</x:v>
      </x:c>
      <x:c r="D33" s="23" t="s">
        <x:v>204</x:v>
      </x:c>
      <x:c r="E33" s="23" t="s">
        <x:v>205</x:v>
      </x:c>
      <x:c r="F33" s="23" t="s">
        <x:v>206</x:v>
      </x:c>
      <x:c r="G33" s="23" t="s">
        <x:v>693</x:v>
      </x:c>
      <x:c r="H33" s="23" t="s">
        <x:v>695</x:v>
      </x:c>
      <x:c r="I33" s="23" t="s">
        <x:v>189</x:v>
      </x:c>
      <x:c r="J33" s="23" t="s">
        <x:v>824</x:v>
      </x:c>
      <x:c r="K33" s="23" t="s">
        <x:v>208</x:v>
      </x:c>
      <x:c r="L33" s="23" t="s">
        <x:v>209</x:v>
      </x:c>
      <x:c r="M33" s="23" t="s">
        <x:v>210</x:v>
      </x:c>
      <x:c r="N33" s="23" t="s">
        <x:v>211</x:v>
      </x:c>
      <x:c r="O33" s="23" t="s">
        <x:v>212</x:v>
      </x:c>
      <x:c r="P33" s="24"/>
      <x:c r="Q33" s="24"/>
      <x:c r="R33" s="24"/>
      <x:c r="S33" s="24"/>
      <x:c r="T33" s="24"/>
      <x:c r="U33" s="24"/>
      <x:c r="V33" s="24"/>
      <x:c r="W33" s="24"/>
      <x:c r="X33" s="81" t="str">
        <x:f>IF(OR(R33="",R33=0),"",U33/R33)</x:f>
      </x:c>
      <x:c r="Y33" s="81" t="str">
        <x:f>IF(OR(Q33="",Q33=0),"",R33/Q33)</x:f>
      </x:c>
      <x:c r="Z33" s="26" t="s">
        <x:v>825</x:v>
      </x:c>
      <x:c r="AA33" s="24"/>
    </x:row>
    <x:row r="34" ht="188.10000610351562" customHeight="1">
      <x:c r="A34" s="22" t="s">
        <x:v>864</x:v>
      </x:c>
      <x:c r="B34" s="22" t="s">
        <x:v>203</x:v>
      </x:c>
      <x:c r="C34" s="22" t="s">
        <x:v>25</x:v>
      </x:c>
      <x:c r="D34" s="23" t="s">
        <x:v>204</x:v>
      </x:c>
      <x:c r="E34" s="23" t="s">
        <x:v>205</x:v>
      </x:c>
      <x:c r="F34" s="23" t="s">
        <x:v>206</x:v>
      </x:c>
      <x:c r="G34" s="23" t="s">
        <x:v>693</x:v>
      </x:c>
      <x:c r="H34" s="23" t="s">
        <x:v>695</x:v>
      </x:c>
      <x:c r="I34" s="23" t="s">
        <x:v>349</x:v>
      </x:c>
      <x:c r="J34" s="23" t="s">
        <x:v>854</x:v>
      </x:c>
      <x:c r="K34" s="23" t="s">
        <x:v>208</x:v>
      </x:c>
      <x:c r="L34" s="23" t="s">
        <x:v>209</x:v>
      </x:c>
      <x:c r="M34" s="23" t="s">
        <x:v>210</x:v>
      </x:c>
      <x:c r="N34" s="23" t="s">
        <x:v>211</x:v>
      </x:c>
      <x:c r="O34" s="23" t="s">
        <x:v>212</x:v>
      </x:c>
      <x:c r="P34" s="24"/>
      <x:c r="Q34" s="24"/>
      <x:c r="R34" s="24"/>
      <x:c r="S34" s="24"/>
      <x:c r="T34" s="24"/>
      <x:c r="U34" s="24"/>
      <x:c r="V34" s="24"/>
      <x:c r="W34" s="24"/>
      <x:c r="X34" s="81" t="str">
        <x:f>IF(OR(R34="",R34=0),"",U34/R34)</x:f>
      </x:c>
      <x:c r="Y34" s="81" t="str">
        <x:f>IF(OR(Q34="",Q34=0),"",R34/Q34)</x:f>
      </x:c>
      <x:c r="Z34" s="26" t="s">
        <x:v>825</x:v>
      </x:c>
      <x:c r="AA34" s="24"/>
    </x:row>
    <x:row r="35" ht="188.10000610351562" customHeight="1">
      <x:c r="A35" s="22" t="s">
        <x:v>865</x:v>
      </x:c>
      <x:c r="B35" s="22" t="s">
        <x:v>213</x:v>
      </x:c>
      <x:c r="C35" s="22" t="s">
        <x:v>25</x:v>
      </x:c>
      <x:c r="D35" s="23" t="s">
        <x:v>214</x:v>
      </x:c>
      <x:c r="E35" s="23" t="s">
        <x:v>176</x:v>
      </x:c>
      <x:c r="F35" s="23" t="s">
        <x:v>215</x:v>
      </x:c>
      <x:c r="G35" s="23" t="s">
        <x:v>666</x:v>
      </x:c>
      <x:c r="H35" s="23" t="s">
        <x:v>668</x:v>
      </x:c>
      <x:c r="I35" s="23" t="s">
        <x:v>189</x:v>
      </x:c>
      <x:c r="J35" s="23" t="s">
        <x:v>824</x:v>
      </x:c>
      <x:c r="K35" s="23" t="s">
        <x:v>216</x:v>
      </x:c>
      <x:c r="L35" s="23" t="s">
        <x:v>217</x:v>
      </x:c>
      <x:c r="M35" s="23" t="s">
        <x:v>218</x:v>
      </x:c>
      <x:c r="N35" s="23" t="s">
        <x:v>219</x:v>
      </x:c>
      <x:c r="O35" s="23" t="s">
        <x:v>173</x:v>
      </x:c>
      <x:c r="P35" s="24"/>
      <x:c r="Q35" s="24"/>
      <x:c r="R35" s="24"/>
      <x:c r="S35" s="24"/>
      <x:c r="T35" s="24"/>
      <x:c r="U35" s="24"/>
      <x:c r="V35" s="24"/>
      <x:c r="W35" s="24"/>
      <x:c r="X35" s="81" t="str">
        <x:f>IF(OR(R35="",R35=0),"",U35/R35)</x:f>
      </x:c>
      <x:c r="Y35" s="81" t="str">
        <x:f>IF(OR(Q35="",Q35=0),"",R35/Q35)</x:f>
      </x:c>
      <x:c r="Z35" s="26" t="s">
        <x:v>825</x:v>
      </x:c>
      <x:c r="AA35" s="24"/>
    </x:row>
    <x:row r="36" ht="188.10000610351562" customHeight="1">
      <x:c r="A36" s="22" t="s">
        <x:v>866</x:v>
      </x:c>
      <x:c r="B36" s="22" t="s">
        <x:v>213</x:v>
      </x:c>
      <x:c r="C36" s="22" t="s">
        <x:v>25</x:v>
      </x:c>
      <x:c r="D36" s="23" t="s">
        <x:v>214</x:v>
      </x:c>
      <x:c r="E36" s="23" t="s">
        <x:v>176</x:v>
      </x:c>
      <x:c r="F36" s="23" t="s">
        <x:v>215</x:v>
      </x:c>
      <x:c r="G36" s="23" t="s">
        <x:v>666</x:v>
      </x:c>
      <x:c r="H36" s="23" t="s">
        <x:v>668</x:v>
      </x:c>
      <x:c r="I36" s="23" t="s">
        <x:v>349</x:v>
      </x:c>
      <x:c r="J36" s="23" t="s">
        <x:v>854</x:v>
      </x:c>
      <x:c r="K36" s="23" t="s">
        <x:v>216</x:v>
      </x:c>
      <x:c r="L36" s="23" t="s">
        <x:v>217</x:v>
      </x:c>
      <x:c r="M36" s="23" t="s">
        <x:v>218</x:v>
      </x:c>
      <x:c r="N36" s="23" t="s">
        <x:v>219</x:v>
      </x:c>
      <x:c r="O36" s="23" t="s">
        <x:v>173</x:v>
      </x:c>
      <x:c r="P36" s="24"/>
      <x:c r="Q36" s="24"/>
      <x:c r="R36" s="24"/>
      <x:c r="S36" s="24"/>
      <x:c r="T36" s="24"/>
      <x:c r="U36" s="24"/>
      <x:c r="V36" s="24"/>
      <x:c r="W36" s="24"/>
      <x:c r="X36" s="81" t="str">
        <x:f>IF(OR(R36="",R36=0),"",U36/R36)</x:f>
      </x:c>
      <x:c r="Y36" s="81" t="str">
        <x:f>IF(OR(Q36="",Q36=0),"",R36/Q36)</x:f>
      </x:c>
      <x:c r="Z36" s="26" t="s">
        <x:v>825</x:v>
      </x:c>
      <x:c r="AA36" s="24"/>
    </x:row>
    <x:row r="37" ht="188.10000610351562" customHeight="1">
      <x:c r="A37" s="22" t="s">
        <x:v>867</x:v>
      </x:c>
      <x:c r="B37" s="22" t="s">
        <x:v>213</x:v>
      </x:c>
      <x:c r="C37" s="22" t="s">
        <x:v>25</x:v>
      </x:c>
      <x:c r="D37" s="23" t="s">
        <x:v>214</x:v>
      </x:c>
      <x:c r="E37" s="23" t="s">
        <x:v>176</x:v>
      </x:c>
      <x:c r="F37" s="23" t="s">
        <x:v>215</x:v>
      </x:c>
      <x:c r="G37" s="23" t="s">
        <x:v>676</x:v>
      </x:c>
      <x:c r="H37" s="23" t="s">
        <x:v>678</x:v>
      </x:c>
      <x:c r="I37" s="23" t="s">
        <x:v>189</x:v>
      </x:c>
      <x:c r="J37" s="23" t="s">
        <x:v>824</x:v>
      </x:c>
      <x:c r="K37" s="23" t="s">
        <x:v>216</x:v>
      </x:c>
      <x:c r="L37" s="23" t="s">
        <x:v>217</x:v>
      </x:c>
      <x:c r="M37" s="23" t="s">
        <x:v>218</x:v>
      </x:c>
      <x:c r="N37" s="23" t="s">
        <x:v>219</x:v>
      </x:c>
      <x:c r="O37" s="23" t="s">
        <x:v>173</x:v>
      </x:c>
      <x:c r="P37" s="24"/>
      <x:c r="Q37" s="24"/>
      <x:c r="R37" s="24"/>
      <x:c r="S37" s="24"/>
      <x:c r="T37" s="24"/>
      <x:c r="U37" s="24"/>
      <x:c r="V37" s="24"/>
      <x:c r="W37" s="24"/>
      <x:c r="X37" s="81" t="str">
        <x:f>IF(OR(R37="",R37=0),"",U37/R37)</x:f>
      </x:c>
      <x:c r="Y37" s="81" t="str">
        <x:f>IF(OR(Q37="",Q37=0),"",R37/Q37)</x:f>
      </x:c>
      <x:c r="Z37" s="26" t="s">
        <x:v>825</x:v>
      </x:c>
      <x:c r="AA37" s="24"/>
    </x:row>
    <x:row r="38" ht="188.10000610351562" customHeight="1">
      <x:c r="A38" s="22" t="s">
        <x:v>868</x:v>
      </x:c>
      <x:c r="B38" s="22" t="s">
        <x:v>213</x:v>
      </x:c>
      <x:c r="C38" s="22" t="s">
        <x:v>25</x:v>
      </x:c>
      <x:c r="D38" s="23" t="s">
        <x:v>214</x:v>
      </x:c>
      <x:c r="E38" s="23" t="s">
        <x:v>176</x:v>
      </x:c>
      <x:c r="F38" s="23" t="s">
        <x:v>215</x:v>
      </x:c>
      <x:c r="G38" s="23" t="s">
        <x:v>676</x:v>
      </x:c>
      <x:c r="H38" s="23" t="s">
        <x:v>678</x:v>
      </x:c>
      <x:c r="I38" s="23" t="s">
        <x:v>349</x:v>
      </x:c>
      <x:c r="J38" s="23" t="s">
        <x:v>854</x:v>
      </x:c>
      <x:c r="K38" s="23" t="s">
        <x:v>216</x:v>
      </x:c>
      <x:c r="L38" s="23" t="s">
        <x:v>217</x:v>
      </x:c>
      <x:c r="M38" s="23" t="s">
        <x:v>218</x:v>
      </x:c>
      <x:c r="N38" s="23" t="s">
        <x:v>219</x:v>
      </x:c>
      <x:c r="O38" s="23" t="s">
        <x:v>173</x:v>
      </x:c>
      <x:c r="P38" s="24"/>
      <x:c r="Q38" s="24"/>
      <x:c r="R38" s="24"/>
      <x:c r="S38" s="24"/>
      <x:c r="T38" s="24"/>
      <x:c r="U38" s="24"/>
      <x:c r="V38" s="24"/>
      <x:c r="W38" s="24"/>
      <x:c r="X38" s="81" t="str">
        <x:f>IF(OR(R38="",R38=0),"",U38/R38)</x:f>
      </x:c>
      <x:c r="Y38" s="81" t="str">
        <x:f>IF(OR(Q38="",Q38=0),"",R38/Q38)</x:f>
      </x:c>
      <x:c r="Z38" s="26" t="s">
        <x:v>825</x:v>
      </x:c>
      <x:c r="AA38" s="24"/>
    </x:row>
    <x:row r="39" ht="188.10000610351562" customHeight="1">
      <x:c r="A39" s="22" t="s">
        <x:v>869</x:v>
      </x:c>
      <x:c r="B39" s="22" t="s">
        <x:v>213</x:v>
      </x:c>
      <x:c r="C39" s="22" t="s">
        <x:v>25</x:v>
      </x:c>
      <x:c r="D39" s="23" t="s">
        <x:v>214</x:v>
      </x:c>
      <x:c r="E39" s="23" t="s">
        <x:v>176</x:v>
      </x:c>
      <x:c r="F39" s="23" t="s">
        <x:v>215</x:v>
      </x:c>
      <x:c r="G39" s="23" t="s">
        <x:v>693</x:v>
      </x:c>
      <x:c r="H39" s="23" t="s">
        <x:v>695</x:v>
      </x:c>
      <x:c r="I39" s="23" t="s">
        <x:v>189</x:v>
      </x:c>
      <x:c r="J39" s="23" t="s">
        <x:v>824</x:v>
      </x:c>
      <x:c r="K39" s="23" t="s">
        <x:v>216</x:v>
      </x:c>
      <x:c r="L39" s="23" t="s">
        <x:v>217</x:v>
      </x:c>
      <x:c r="M39" s="23" t="s">
        <x:v>218</x:v>
      </x:c>
      <x:c r="N39" s="23" t="s">
        <x:v>219</x:v>
      </x:c>
      <x:c r="O39" s="23" t="s">
        <x:v>173</x:v>
      </x:c>
      <x:c r="P39" s="24"/>
      <x:c r="Q39" s="24"/>
      <x:c r="R39" s="24"/>
      <x:c r="S39" s="24"/>
      <x:c r="T39" s="24"/>
      <x:c r="U39" s="24"/>
      <x:c r="V39" s="24"/>
      <x:c r="W39" s="24"/>
      <x:c r="X39" s="81" t="str">
        <x:f>IF(OR(R39="",R39=0),"",U39/R39)</x:f>
      </x:c>
      <x:c r="Y39" s="81" t="str">
        <x:f>IF(OR(Q39="",Q39=0),"",R39/Q39)</x:f>
      </x:c>
      <x:c r="Z39" s="26" t="s">
        <x:v>825</x:v>
      </x:c>
      <x:c r="AA39" s="24"/>
    </x:row>
    <x:row r="40" ht="188.10000610351562" customHeight="1">
      <x:c r="A40" s="22" t="s">
        <x:v>870</x:v>
      </x:c>
      <x:c r="B40" s="22" t="s">
        <x:v>213</x:v>
      </x:c>
      <x:c r="C40" s="22" t="s">
        <x:v>25</x:v>
      </x:c>
      <x:c r="D40" s="23" t="s">
        <x:v>214</x:v>
      </x:c>
      <x:c r="E40" s="23" t="s">
        <x:v>176</x:v>
      </x:c>
      <x:c r="F40" s="23" t="s">
        <x:v>215</x:v>
      </x:c>
      <x:c r="G40" s="23" t="s">
        <x:v>693</x:v>
      </x:c>
      <x:c r="H40" s="23" t="s">
        <x:v>695</x:v>
      </x:c>
      <x:c r="I40" s="23" t="s">
        <x:v>349</x:v>
      </x:c>
      <x:c r="J40" s="23" t="s">
        <x:v>854</x:v>
      </x:c>
      <x:c r="K40" s="23" t="s">
        <x:v>216</x:v>
      </x:c>
      <x:c r="L40" s="23" t="s">
        <x:v>217</x:v>
      </x:c>
      <x:c r="M40" s="23" t="s">
        <x:v>218</x:v>
      </x:c>
      <x:c r="N40" s="23" t="s">
        <x:v>219</x:v>
      </x:c>
      <x:c r="O40" s="23" t="s">
        <x:v>173</x:v>
      </x:c>
      <x:c r="P40" s="24"/>
      <x:c r="Q40" s="24"/>
      <x:c r="R40" s="24"/>
      <x:c r="S40" s="24"/>
      <x:c r="T40" s="24"/>
      <x:c r="U40" s="24"/>
      <x:c r="V40" s="24"/>
      <x:c r="W40" s="24"/>
      <x:c r="X40" s="81" t="str">
        <x:f>IF(OR(R40="",R40=0),"",U40/R40)</x:f>
      </x:c>
      <x:c r="Y40" s="81" t="str">
        <x:f>IF(OR(Q40="",Q40=0),"",R40/Q40)</x:f>
      </x:c>
      <x:c r="Z40" s="26" t="s">
        <x:v>825</x:v>
      </x:c>
      <x:c r="AA40" s="24"/>
    </x:row>
    <x:row r="41" ht="188.10000610351562" customHeight="1">
      <x:c r="A41" s="22" t="s">
        <x:v>871</x:v>
      </x:c>
      <x:c r="B41" s="22" t="s">
        <x:v>220</x:v>
      </x:c>
      <x:c r="C41" s="22" t="s">
        <x:v>32</x:v>
      </x:c>
      <x:c r="D41" s="23" t="s">
        <x:v>221</x:v>
      </x:c>
      <x:c r="E41" s="23" t="s">
        <x:v>145</x:v>
      </x:c>
      <x:c r="F41" s="23" t="s">
        <x:v>222</x:v>
      </x:c>
      <x:c r="G41" s="23" t="s">
        <x:v>666</x:v>
      </x:c>
      <x:c r="H41" s="23" t="s">
        <x:v>668</x:v>
      </x:c>
      <x:c r="I41" s="23" t="s">
        <x:v>872</x:v>
      </x:c>
      <x:c r="J41" s="23" t="s">
        <x:v>873</x:v>
      </x:c>
      <x:c r="K41" s="23" t="s">
        <x:v>224</x:v>
      </x:c>
      <x:c r="L41" s="23" t="s">
        <x:v>225</x:v>
      </x:c>
      <x:c r="M41" s="23" t="s">
        <x:v>226</x:v>
      </x:c>
      <x:c r="N41" s="23" t="s">
        <x:v>227</x:v>
      </x:c>
      <x:c r="O41" s="23" t="s">
        <x:v>228</x:v>
      </x:c>
      <x:c r="P41" s="24"/>
      <x:c r="Q41" s="24"/>
      <x:c r="R41" s="24"/>
      <x:c r="S41" s="24"/>
      <x:c r="T41" s="24"/>
      <x:c r="U41" s="24"/>
      <x:c r="V41" s="24"/>
      <x:c r="W41" s="24"/>
      <x:c r="X41" s="81" t="str">
        <x:f>IF(OR(R41="",R41=0),"",U41/R41)</x:f>
      </x:c>
      <x:c r="Y41" s="81" t="str">
        <x:f>IF(OR(Q41="",Q41=0),"",R41/Q41)</x:f>
      </x:c>
      <x:c r="Z41" s="26" t="s">
        <x:v>825</x:v>
      </x:c>
      <x:c r="AA41" s="24"/>
    </x:row>
    <x:row r="42" ht="188.10000610351562" customHeight="1">
      <x:c r="A42" s="22" t="s">
        <x:v>874</x:v>
      </x:c>
      <x:c r="B42" s="22" t="s">
        <x:v>220</x:v>
      </x:c>
      <x:c r="C42" s="22" t="s">
        <x:v>32</x:v>
      </x:c>
      <x:c r="D42" s="23" t="s">
        <x:v>221</x:v>
      </x:c>
      <x:c r="E42" s="23" t="s">
        <x:v>145</x:v>
      </x:c>
      <x:c r="F42" s="23" t="s">
        <x:v>222</x:v>
      </x:c>
      <x:c r="G42" s="23" t="s">
        <x:v>666</x:v>
      </x:c>
      <x:c r="H42" s="23" t="s">
        <x:v>668</x:v>
      </x:c>
      <x:c r="I42" s="23" t="s">
        <x:v>249</x:v>
      </x:c>
      <x:c r="J42" s="23" t="s">
        <x:v>875</x:v>
      </x:c>
      <x:c r="K42" s="23" t="s">
        <x:v>224</x:v>
      </x:c>
      <x:c r="L42" s="23" t="s">
        <x:v>225</x:v>
      </x:c>
      <x:c r="M42" s="23" t="s">
        <x:v>226</x:v>
      </x:c>
      <x:c r="N42" s="23" t="s">
        <x:v>227</x:v>
      </x:c>
      <x:c r="O42" s="23" t="s">
        <x:v>228</x:v>
      </x:c>
      <x:c r="P42" s="24"/>
      <x:c r="Q42" s="24"/>
      <x:c r="R42" s="24"/>
      <x:c r="S42" s="24"/>
      <x:c r="T42" s="24"/>
      <x:c r="U42" s="24"/>
      <x:c r="V42" s="24"/>
      <x:c r="W42" s="24"/>
      <x:c r="X42" s="81" t="str">
        <x:f>IF(OR(R42="",R42=0),"",U42/R42)</x:f>
      </x:c>
      <x:c r="Y42" s="81" t="str">
        <x:f>IF(OR(Q42="",Q42=0),"",R42/Q42)</x:f>
      </x:c>
      <x:c r="Z42" s="26" t="s">
        <x:v>825</x:v>
      </x:c>
      <x:c r="AA42" s="24"/>
    </x:row>
    <x:row r="43" ht="188.10000610351562" customHeight="1">
      <x:c r="A43" s="22" t="s">
        <x:v>876</x:v>
      </x:c>
      <x:c r="B43" s="22" t="s">
        <x:v>220</x:v>
      </x:c>
      <x:c r="C43" s="22" t="s">
        <x:v>32</x:v>
      </x:c>
      <x:c r="D43" s="23" t="s">
        <x:v>221</x:v>
      </x:c>
      <x:c r="E43" s="23" t="s">
        <x:v>145</x:v>
      </x:c>
      <x:c r="F43" s="23" t="s">
        <x:v>222</x:v>
      </x:c>
      <x:c r="G43" s="23" t="s">
        <x:v>671</x:v>
      </x:c>
      <x:c r="H43" s="23" t="s">
        <x:v>673</x:v>
      </x:c>
      <x:c r="I43" s="23" t="s">
        <x:v>872</x:v>
      </x:c>
      <x:c r="J43" s="23" t="s">
        <x:v>873</x:v>
      </x:c>
      <x:c r="K43" s="23" t="s">
        <x:v>224</x:v>
      </x:c>
      <x:c r="L43" s="23" t="s">
        <x:v>225</x:v>
      </x:c>
      <x:c r="M43" s="23" t="s">
        <x:v>226</x:v>
      </x:c>
      <x:c r="N43" s="23" t="s">
        <x:v>227</x:v>
      </x:c>
      <x:c r="O43" s="23" t="s">
        <x:v>228</x:v>
      </x:c>
      <x:c r="P43" s="24"/>
      <x:c r="Q43" s="24"/>
      <x:c r="R43" s="24"/>
      <x:c r="S43" s="24"/>
      <x:c r="T43" s="24"/>
      <x:c r="U43" s="24"/>
      <x:c r="V43" s="24"/>
      <x:c r="W43" s="24"/>
      <x:c r="X43" s="81" t="str">
        <x:f>IF(OR(R43="",R43=0),"",U43/R43)</x:f>
      </x:c>
      <x:c r="Y43" s="81" t="str">
        <x:f>IF(OR(Q43="",Q43=0),"",R43/Q43)</x:f>
      </x:c>
      <x:c r="Z43" s="26" t="s">
        <x:v>825</x:v>
      </x:c>
      <x:c r="AA43" s="24"/>
    </x:row>
    <x:row r="44" ht="188.10000610351562" customHeight="1">
      <x:c r="A44" s="22" t="s">
        <x:v>877</x:v>
      </x:c>
      <x:c r="B44" s="22" t="s">
        <x:v>220</x:v>
      </x:c>
      <x:c r="C44" s="22" t="s">
        <x:v>32</x:v>
      </x:c>
      <x:c r="D44" s="23" t="s">
        <x:v>221</x:v>
      </x:c>
      <x:c r="E44" s="23" t="s">
        <x:v>145</x:v>
      </x:c>
      <x:c r="F44" s="23" t="s">
        <x:v>222</x:v>
      </x:c>
      <x:c r="G44" s="23" t="s">
        <x:v>671</x:v>
      </x:c>
      <x:c r="H44" s="23" t="s">
        <x:v>673</x:v>
      </x:c>
      <x:c r="I44" s="23" t="s">
        <x:v>249</x:v>
      </x:c>
      <x:c r="J44" s="23" t="s">
        <x:v>875</x:v>
      </x:c>
      <x:c r="K44" s="23" t="s">
        <x:v>224</x:v>
      </x:c>
      <x:c r="L44" s="23" t="s">
        <x:v>225</x:v>
      </x:c>
      <x:c r="M44" s="23" t="s">
        <x:v>226</x:v>
      </x:c>
      <x:c r="N44" s="23" t="s">
        <x:v>227</x:v>
      </x:c>
      <x:c r="O44" s="23" t="s">
        <x:v>228</x:v>
      </x:c>
      <x:c r="P44" s="24"/>
      <x:c r="Q44" s="24"/>
      <x:c r="R44" s="24"/>
      <x:c r="S44" s="24"/>
      <x:c r="T44" s="24"/>
      <x:c r="U44" s="24"/>
      <x:c r="V44" s="24"/>
      <x:c r="W44" s="24"/>
      <x:c r="X44" s="81" t="str">
        <x:f>IF(OR(R44="",R44=0),"",U44/R44)</x:f>
      </x:c>
      <x:c r="Y44" s="81" t="str">
        <x:f>IF(OR(Q44="",Q44=0),"",R44/Q44)</x:f>
      </x:c>
      <x:c r="Z44" s="26" t="s">
        <x:v>825</x:v>
      </x:c>
      <x:c r="AA44" s="24"/>
    </x:row>
    <x:row r="45" ht="188.10000610351562" customHeight="1">
      <x:c r="A45" s="22" t="s">
        <x:v>878</x:v>
      </x:c>
      <x:c r="B45" s="22" t="s">
        <x:v>220</x:v>
      </x:c>
      <x:c r="C45" s="22" t="s">
        <x:v>32</x:v>
      </x:c>
      <x:c r="D45" s="23" t="s">
        <x:v>221</x:v>
      </x:c>
      <x:c r="E45" s="23" t="s">
        <x:v>145</x:v>
      </x:c>
      <x:c r="F45" s="23" t="s">
        <x:v>222</x:v>
      </x:c>
      <x:c r="G45" s="23" t="s">
        <x:v>676</x:v>
      </x:c>
      <x:c r="H45" s="23" t="s">
        <x:v>678</x:v>
      </x:c>
      <x:c r="I45" s="23" t="s">
        <x:v>872</x:v>
      </x:c>
      <x:c r="J45" s="23" t="s">
        <x:v>873</x:v>
      </x:c>
      <x:c r="K45" s="23" t="s">
        <x:v>224</x:v>
      </x:c>
      <x:c r="L45" s="23" t="s">
        <x:v>225</x:v>
      </x:c>
      <x:c r="M45" s="23" t="s">
        <x:v>226</x:v>
      </x:c>
      <x:c r="N45" s="23" t="s">
        <x:v>227</x:v>
      </x:c>
      <x:c r="O45" s="23" t="s">
        <x:v>228</x:v>
      </x:c>
      <x:c r="P45" s="24"/>
      <x:c r="Q45" s="24"/>
      <x:c r="R45" s="24"/>
      <x:c r="S45" s="24"/>
      <x:c r="T45" s="24"/>
      <x:c r="U45" s="24"/>
      <x:c r="V45" s="24"/>
      <x:c r="W45" s="24"/>
      <x:c r="X45" s="81" t="str">
        <x:f>IF(OR(R45="",R45=0),"",U45/R45)</x:f>
      </x:c>
      <x:c r="Y45" s="81" t="str">
        <x:f>IF(OR(Q45="",Q45=0),"",R45/Q45)</x:f>
      </x:c>
      <x:c r="Z45" s="26" t="s">
        <x:v>825</x:v>
      </x:c>
      <x:c r="AA45" s="24"/>
    </x:row>
    <x:row r="46" ht="188.10000610351562" customHeight="1">
      <x:c r="A46" s="22" t="s">
        <x:v>879</x:v>
      </x:c>
      <x:c r="B46" s="22" t="s">
        <x:v>220</x:v>
      </x:c>
      <x:c r="C46" s="22" t="s">
        <x:v>32</x:v>
      </x:c>
      <x:c r="D46" s="23" t="s">
        <x:v>221</x:v>
      </x:c>
      <x:c r="E46" s="23" t="s">
        <x:v>145</x:v>
      </x:c>
      <x:c r="F46" s="23" t="s">
        <x:v>222</x:v>
      </x:c>
      <x:c r="G46" s="23" t="s">
        <x:v>676</x:v>
      </x:c>
      <x:c r="H46" s="23" t="s">
        <x:v>678</x:v>
      </x:c>
      <x:c r="I46" s="23" t="s">
        <x:v>249</x:v>
      </x:c>
      <x:c r="J46" s="23" t="s">
        <x:v>875</x:v>
      </x:c>
      <x:c r="K46" s="23" t="s">
        <x:v>224</x:v>
      </x:c>
      <x:c r="L46" s="23" t="s">
        <x:v>225</x:v>
      </x:c>
      <x:c r="M46" s="23" t="s">
        <x:v>226</x:v>
      </x:c>
      <x:c r="N46" s="23" t="s">
        <x:v>227</x:v>
      </x:c>
      <x:c r="O46" s="23" t="s">
        <x:v>228</x:v>
      </x:c>
      <x:c r="P46" s="24"/>
      <x:c r="Q46" s="24"/>
      <x:c r="R46" s="24"/>
      <x:c r="S46" s="24"/>
      <x:c r="T46" s="24"/>
      <x:c r="U46" s="24"/>
      <x:c r="V46" s="24"/>
      <x:c r="W46" s="24"/>
      <x:c r="X46" s="81" t="str">
        <x:f>IF(OR(R46="",R46=0),"",U46/R46)</x:f>
      </x:c>
      <x:c r="Y46" s="81" t="str">
        <x:f>IF(OR(Q46="",Q46=0),"",R46/Q46)</x:f>
      </x:c>
      <x:c r="Z46" s="26" t="s">
        <x:v>825</x:v>
      </x:c>
      <x:c r="AA46" s="24"/>
    </x:row>
    <x:row r="47" ht="188.10000610351562" customHeight="1">
      <x:c r="A47" s="22" t="s">
        <x:v>880</x:v>
      </x:c>
      <x:c r="B47" s="22" t="s">
        <x:v>229</x:v>
      </x:c>
      <x:c r="C47" s="22" t="s">
        <x:v>32</x:v>
      </x:c>
      <x:c r="D47" s="23" t="s">
        <x:v>230</x:v>
      </x:c>
      <x:c r="E47" s="23" t="s">
        <x:v>156</x:v>
      </x:c>
      <x:c r="F47" s="23" t="s">
        <x:v>231</x:v>
      </x:c>
      <x:c r="G47" s="23" t="s">
        <x:v>666</x:v>
      </x:c>
      <x:c r="H47" s="23" t="s">
        <x:v>668</x:v>
      </x:c>
      <x:c r="I47" s="23" t="s">
        <x:v>872</x:v>
      </x:c>
      <x:c r="J47" s="23" t="s">
        <x:v>873</x:v>
      </x:c>
      <x:c r="K47" s="23" t="s">
        <x:v>232</x:v>
      </x:c>
      <x:c r="L47" s="23" t="s">
        <x:v>233</x:v>
      </x:c>
      <x:c r="M47" s="23" t="s">
        <x:v>234</x:v>
      </x:c>
      <x:c r="N47" s="23" t="s">
        <x:v>235</x:v>
      </x:c>
      <x:c r="O47" s="23" t="s">
        <x:v>236</x:v>
      </x:c>
      <x:c r="P47" s="24"/>
      <x:c r="Q47" s="24"/>
      <x:c r="R47" s="24"/>
      <x:c r="S47" s="24"/>
      <x:c r="T47" s="24"/>
      <x:c r="U47" s="24"/>
      <x:c r="V47" s="24"/>
      <x:c r="W47" s="24"/>
      <x:c r="X47" s="81" t="str">
        <x:f>IF(OR(R47="",R47=0),"",U47/R47)</x:f>
      </x:c>
      <x:c r="Y47" s="81" t="str">
        <x:f>IF(OR(Q47="",Q47=0),"",R47/Q47)</x:f>
      </x:c>
      <x:c r="Z47" s="26" t="s">
        <x:v>825</x:v>
      </x:c>
      <x:c r="AA47" s="24"/>
    </x:row>
    <x:row r="48" ht="188.10000610351562" customHeight="1">
      <x:c r="A48" s="22" t="s">
        <x:v>881</x:v>
      </x:c>
      <x:c r="B48" s="22" t="s">
        <x:v>229</x:v>
      </x:c>
      <x:c r="C48" s="22" t="s">
        <x:v>32</x:v>
      </x:c>
      <x:c r="D48" s="23" t="s">
        <x:v>230</x:v>
      </x:c>
      <x:c r="E48" s="23" t="s">
        <x:v>156</x:v>
      </x:c>
      <x:c r="F48" s="23" t="s">
        <x:v>231</x:v>
      </x:c>
      <x:c r="G48" s="23" t="s">
        <x:v>666</x:v>
      </x:c>
      <x:c r="H48" s="23" t="s">
        <x:v>668</x:v>
      </x:c>
      <x:c r="I48" s="23" t="s">
        <x:v>249</x:v>
      </x:c>
      <x:c r="J48" s="23" t="s">
        <x:v>875</x:v>
      </x:c>
      <x:c r="K48" s="23" t="s">
        <x:v>232</x:v>
      </x:c>
      <x:c r="L48" s="23" t="s">
        <x:v>233</x:v>
      </x:c>
      <x:c r="M48" s="23" t="s">
        <x:v>234</x:v>
      </x:c>
      <x:c r="N48" s="23" t="s">
        <x:v>235</x:v>
      </x:c>
      <x:c r="O48" s="23" t="s">
        <x:v>236</x:v>
      </x:c>
      <x:c r="P48" s="24"/>
      <x:c r="Q48" s="24"/>
      <x:c r="R48" s="24"/>
      <x:c r="S48" s="24"/>
      <x:c r="T48" s="24"/>
      <x:c r="U48" s="24"/>
      <x:c r="V48" s="24"/>
      <x:c r="W48" s="24"/>
      <x:c r="X48" s="81" t="str">
        <x:f>IF(OR(R48="",R48=0),"",U48/R48)</x:f>
      </x:c>
      <x:c r="Y48" s="81" t="str">
        <x:f>IF(OR(Q48="",Q48=0),"",R48/Q48)</x:f>
      </x:c>
      <x:c r="Z48" s="26" t="s">
        <x:v>825</x:v>
      </x:c>
      <x:c r="AA48" s="24"/>
    </x:row>
    <x:row r="49" ht="188.10000610351562" customHeight="1">
      <x:c r="A49" s="22" t="s">
        <x:v>882</x:v>
      </x:c>
      <x:c r="B49" s="22" t="s">
        <x:v>229</x:v>
      </x:c>
      <x:c r="C49" s="22" t="s">
        <x:v>32</x:v>
      </x:c>
      <x:c r="D49" s="23" t="s">
        <x:v>230</x:v>
      </x:c>
      <x:c r="E49" s="23" t="s">
        <x:v>156</x:v>
      </x:c>
      <x:c r="F49" s="23" t="s">
        <x:v>231</x:v>
      </x:c>
      <x:c r="G49" s="23" t="s">
        <x:v>676</x:v>
      </x:c>
      <x:c r="H49" s="23" t="s">
        <x:v>678</x:v>
      </x:c>
      <x:c r="I49" s="23" t="s">
        <x:v>872</x:v>
      </x:c>
      <x:c r="J49" s="23" t="s">
        <x:v>873</x:v>
      </x:c>
      <x:c r="K49" s="23" t="s">
        <x:v>232</x:v>
      </x:c>
      <x:c r="L49" s="23" t="s">
        <x:v>233</x:v>
      </x:c>
      <x:c r="M49" s="23" t="s">
        <x:v>234</x:v>
      </x:c>
      <x:c r="N49" s="23" t="s">
        <x:v>235</x:v>
      </x:c>
      <x:c r="O49" s="23" t="s">
        <x:v>236</x:v>
      </x:c>
      <x:c r="P49" s="24"/>
      <x:c r="Q49" s="24"/>
      <x:c r="R49" s="24"/>
      <x:c r="S49" s="24"/>
      <x:c r="T49" s="24"/>
      <x:c r="U49" s="24"/>
      <x:c r="V49" s="24"/>
      <x:c r="W49" s="24"/>
      <x:c r="X49" s="81" t="str">
        <x:f>IF(OR(R49="",R49=0),"",U49/R49)</x:f>
      </x:c>
      <x:c r="Y49" s="81" t="str">
        <x:f>IF(OR(Q49="",Q49=0),"",R49/Q49)</x:f>
      </x:c>
      <x:c r="Z49" s="26" t="s">
        <x:v>825</x:v>
      </x:c>
      <x:c r="AA49" s="24"/>
    </x:row>
    <x:row r="50" ht="188.10000610351562" customHeight="1">
      <x:c r="A50" s="22" t="s">
        <x:v>883</x:v>
      </x:c>
      <x:c r="B50" s="22" t="s">
        <x:v>229</x:v>
      </x:c>
      <x:c r="C50" s="22" t="s">
        <x:v>32</x:v>
      </x:c>
      <x:c r="D50" s="23" t="s">
        <x:v>230</x:v>
      </x:c>
      <x:c r="E50" s="23" t="s">
        <x:v>156</x:v>
      </x:c>
      <x:c r="F50" s="23" t="s">
        <x:v>231</x:v>
      </x:c>
      <x:c r="G50" s="23" t="s">
        <x:v>676</x:v>
      </x:c>
      <x:c r="H50" s="23" t="s">
        <x:v>678</x:v>
      </x:c>
      <x:c r="I50" s="23" t="s">
        <x:v>249</x:v>
      </x:c>
      <x:c r="J50" s="23" t="s">
        <x:v>875</x:v>
      </x:c>
      <x:c r="K50" s="23" t="s">
        <x:v>232</x:v>
      </x:c>
      <x:c r="L50" s="23" t="s">
        <x:v>233</x:v>
      </x:c>
      <x:c r="M50" s="23" t="s">
        <x:v>234</x:v>
      </x:c>
      <x:c r="N50" s="23" t="s">
        <x:v>235</x:v>
      </x:c>
      <x:c r="O50" s="23" t="s">
        <x:v>236</x:v>
      </x:c>
      <x:c r="P50" s="24"/>
      <x:c r="Q50" s="24"/>
      <x:c r="R50" s="24"/>
      <x:c r="S50" s="24"/>
      <x:c r="T50" s="24"/>
      <x:c r="U50" s="24"/>
      <x:c r="V50" s="24"/>
      <x:c r="W50" s="24"/>
      <x:c r="X50" s="81" t="str">
        <x:f>IF(OR(R50="",R50=0),"",U50/R50)</x:f>
      </x:c>
      <x:c r="Y50" s="81" t="str">
        <x:f>IF(OR(Q50="",Q50=0),"",R50/Q50)</x:f>
      </x:c>
      <x:c r="Z50" s="26" t="s">
        <x:v>825</x:v>
      </x:c>
      <x:c r="AA50" s="24"/>
    </x:row>
    <x:row r="51" ht="188.10000610351562" customHeight="1">
      <x:c r="A51" s="22" t="s">
        <x:v>884</x:v>
      </x:c>
      <x:c r="B51" s="22" t="s">
        <x:v>237</x:v>
      </x:c>
      <x:c r="C51" s="22" t="s">
        <x:v>32</x:v>
      </x:c>
      <x:c r="D51" s="23" t="s">
        <x:v>238</x:v>
      </x:c>
      <x:c r="E51" s="23" t="s">
        <x:v>165</x:v>
      </x:c>
      <x:c r="F51" s="23" t="s">
        <x:v>239</x:v>
      </x:c>
      <x:c r="G51" s="23" t="s">
        <x:v>167</x:v>
      </x:c>
      <x:c r="H51" s="23" t="s">
        <x:v>690</x:v>
      </x:c>
      <x:c r="I51" s="23" t="s">
        <x:v>249</x:v>
      </x:c>
      <x:c r="J51" s="23" t="s">
        <x:v>875</x:v>
      </x:c>
      <x:c r="K51" s="23" t="s">
        <x:v>241</x:v>
      </x:c>
      <x:c r="L51" s="23" t="s">
        <x:v>242</x:v>
      </x:c>
      <x:c r="M51" s="23" t="s">
        <x:v>243</x:v>
      </x:c>
      <x:c r="N51" s="23" t="s">
        <x:v>244</x:v>
      </x:c>
      <x:c r="O51" s="23" t="s">
        <x:v>245</x:v>
      </x:c>
      <x:c r="P51" s="24"/>
      <x:c r="Q51" s="24"/>
      <x:c r="R51" s="24"/>
      <x:c r="S51" s="24"/>
      <x:c r="T51" s="24"/>
      <x:c r="U51" s="24"/>
      <x:c r="V51" s="24"/>
      <x:c r="W51" s="24"/>
      <x:c r="X51" s="81" t="str">
        <x:f>IF(OR(R51="",R51=0),"",U51/R51)</x:f>
      </x:c>
      <x:c r="Y51" s="81" t="str">
        <x:f>IF(OR(Q51="",Q51=0),"",R51/Q51)</x:f>
      </x:c>
      <x:c r="Z51" s="26" t="s">
        <x:v>825</x:v>
      </x:c>
      <x:c r="AA51" s="24"/>
    </x:row>
    <x:row r="52" ht="188.10000610351562" customHeight="1">
      <x:c r="A52" s="22" t="s">
        <x:v>885</x:v>
      </x:c>
      <x:c r="B52" s="22" t="s">
        <x:v>237</x:v>
      </x:c>
      <x:c r="C52" s="22" t="s">
        <x:v>32</x:v>
      </x:c>
      <x:c r="D52" s="23" t="s">
        <x:v>238</x:v>
      </x:c>
      <x:c r="E52" s="23" t="s">
        <x:v>165</x:v>
      </x:c>
      <x:c r="F52" s="23" t="s">
        <x:v>239</x:v>
      </x:c>
      <x:c r="G52" s="23" t="s">
        <x:v>167</x:v>
      </x:c>
      <x:c r="H52" s="23" t="s">
        <x:v>690</x:v>
      </x:c>
      <x:c r="I52" s="23" t="s">
        <x:v>827</x:v>
      </x:c>
      <x:c r="J52" s="23" t="s">
        <x:v>828</x:v>
      </x:c>
      <x:c r="K52" s="23" t="s">
        <x:v>241</x:v>
      </x:c>
      <x:c r="L52" s="23" t="s">
        <x:v>242</x:v>
      </x:c>
      <x:c r="M52" s="23" t="s">
        <x:v>243</x:v>
      </x:c>
      <x:c r="N52" s="23" t="s">
        <x:v>244</x:v>
      </x:c>
      <x:c r="O52" s="23" t="s">
        <x:v>245</x:v>
      </x:c>
      <x:c r="P52" s="24"/>
      <x:c r="Q52" s="24"/>
      <x:c r="R52" s="24"/>
      <x:c r="S52" s="24"/>
      <x:c r="T52" s="24"/>
      <x:c r="U52" s="24"/>
      <x:c r="V52" s="24"/>
      <x:c r="W52" s="24"/>
      <x:c r="X52" s="81" t="str">
        <x:f>IF(OR(R52="",R52=0),"",U52/R52)</x:f>
      </x:c>
      <x:c r="Y52" s="81" t="str">
        <x:f>IF(OR(Q52="",Q52=0),"",R52/Q52)</x:f>
      </x:c>
      <x:c r="Z52" s="26" t="s">
        <x:v>825</x:v>
      </x:c>
      <x:c r="AA52" s="24"/>
    </x:row>
    <x:row r="53" ht="188.10000610351562" customHeight="1">
      <x:c r="A53" s="22" t="s">
        <x:v>886</x:v>
      </x:c>
      <x:c r="B53" s="22" t="s">
        <x:v>246</x:v>
      </x:c>
      <x:c r="C53" s="22" t="s">
        <x:v>32</x:v>
      </x:c>
      <x:c r="D53" s="23" t="s">
        <x:v>247</x:v>
      </x:c>
      <x:c r="E53" s="23" t="s">
        <x:v>176</x:v>
      </x:c>
      <x:c r="F53" s="23" t="s">
        <x:v>248</x:v>
      </x:c>
      <x:c r="G53" s="23" t="s">
        <x:v>666</x:v>
      </x:c>
      <x:c r="H53" s="23" t="s">
        <x:v>668</x:v>
      </x:c>
      <x:c r="I53" s="23" t="s">
        <x:v>249</x:v>
      </x:c>
      <x:c r="J53" s="23" t="s">
        <x:v>875</x:v>
      </x:c>
      <x:c r="K53" s="23" t="s">
        <x:v>250</x:v>
      </x:c>
      <x:c r="L53" s="23" t="s">
        <x:v>251</x:v>
      </x:c>
      <x:c r="M53" s="23" t="s">
        <x:v>252</x:v>
      </x:c>
      <x:c r="N53" s="23" t="s">
        <x:v>253</x:v>
      </x:c>
      <x:c r="O53" s="23" t="s">
        <x:v>184</x:v>
      </x:c>
      <x:c r="P53" s="24"/>
      <x:c r="Q53" s="24"/>
      <x:c r="R53" s="24"/>
      <x:c r="S53" s="24"/>
      <x:c r="T53" s="24"/>
      <x:c r="U53" s="24"/>
      <x:c r="V53" s="24"/>
      <x:c r="W53" s="24"/>
      <x:c r="X53" s="81" t="str">
        <x:f>IF(OR(R53="",R53=0),"",U53/R53)</x:f>
      </x:c>
      <x:c r="Y53" s="81" t="str">
        <x:f>IF(OR(Q53="",Q53=0),"",R53/Q53)</x:f>
      </x:c>
      <x:c r="Z53" s="26" t="s">
        <x:v>825</x:v>
      </x:c>
      <x:c r="AA53" s="24"/>
    </x:row>
    <x:row r="54" ht="188.10000610351562" customHeight="1">
      <x:c r="A54" s="22" t="s">
        <x:v>887</x:v>
      </x:c>
      <x:c r="B54" s="22" t="s">
        <x:v>246</x:v>
      </x:c>
      <x:c r="C54" s="22" t="s">
        <x:v>32</x:v>
      </x:c>
      <x:c r="D54" s="23" t="s">
        <x:v>247</x:v>
      </x:c>
      <x:c r="E54" s="23" t="s">
        <x:v>176</x:v>
      </x:c>
      <x:c r="F54" s="23" t="s">
        <x:v>248</x:v>
      </x:c>
      <x:c r="G54" s="23" t="s">
        <x:v>676</x:v>
      </x:c>
      <x:c r="H54" s="23" t="s">
        <x:v>678</x:v>
      </x:c>
      <x:c r="I54" s="23" t="s">
        <x:v>249</x:v>
      </x:c>
      <x:c r="J54" s="23" t="s">
        <x:v>875</x:v>
      </x:c>
      <x:c r="K54" s="23" t="s">
        <x:v>250</x:v>
      </x:c>
      <x:c r="L54" s="23" t="s">
        <x:v>251</x:v>
      </x:c>
      <x:c r="M54" s="23" t="s">
        <x:v>252</x:v>
      </x:c>
      <x:c r="N54" s="23" t="s">
        <x:v>253</x:v>
      </x:c>
      <x:c r="O54" s="23" t="s">
        <x:v>184</x:v>
      </x:c>
      <x:c r="P54" s="24"/>
      <x:c r="Q54" s="24"/>
      <x:c r="R54" s="24"/>
      <x:c r="S54" s="24"/>
      <x:c r="T54" s="24"/>
      <x:c r="U54" s="24"/>
      <x:c r="V54" s="24"/>
      <x:c r="W54" s="24"/>
      <x:c r="X54" s="81" t="str">
        <x:f>IF(OR(R54="",R54=0),"",U54/R54)</x:f>
      </x:c>
      <x:c r="Y54" s="81" t="str">
        <x:f>IF(OR(Q54="",Q54=0),"",R54/Q54)</x:f>
      </x:c>
      <x:c r="Z54" s="26" t="s">
        <x:v>825</x:v>
      </x:c>
      <x:c r="AA54" s="24"/>
    </x:row>
    <x:row r="55" ht="188.10000610351562" customHeight="1">
      <x:c r="A55" s="22" t="s">
        <x:v>888</x:v>
      </x:c>
      <x:c r="B55" s="22" t="s">
        <x:v>246</x:v>
      </x:c>
      <x:c r="C55" s="22" t="s">
        <x:v>32</x:v>
      </x:c>
      <x:c r="D55" s="23" t="s">
        <x:v>247</x:v>
      </x:c>
      <x:c r="E55" s="23" t="s">
        <x:v>176</x:v>
      </x:c>
      <x:c r="F55" s="23" t="s">
        <x:v>248</x:v>
      </x:c>
      <x:c r="G55" s="23" t="s">
        <x:v>693</x:v>
      </x:c>
      <x:c r="H55" s="23" t="s">
        <x:v>695</x:v>
      </x:c>
      <x:c r="I55" s="23" t="s">
        <x:v>249</x:v>
      </x:c>
      <x:c r="J55" s="23" t="s">
        <x:v>875</x:v>
      </x:c>
      <x:c r="K55" s="23" t="s">
        <x:v>250</x:v>
      </x:c>
      <x:c r="L55" s="23" t="s">
        <x:v>251</x:v>
      </x:c>
      <x:c r="M55" s="23" t="s">
        <x:v>252</x:v>
      </x:c>
      <x:c r="N55" s="23" t="s">
        <x:v>253</x:v>
      </x:c>
      <x:c r="O55" s="23" t="s">
        <x:v>184</x:v>
      </x:c>
      <x:c r="P55" s="24"/>
      <x:c r="Q55" s="24"/>
      <x:c r="R55" s="24"/>
      <x:c r="S55" s="24"/>
      <x:c r="T55" s="24"/>
      <x:c r="U55" s="24"/>
      <x:c r="V55" s="24"/>
      <x:c r="W55" s="24"/>
      <x:c r="X55" s="81" t="str">
        <x:f>IF(OR(R55="",R55=0),"",U55/R55)</x:f>
      </x:c>
      <x:c r="Y55" s="81" t="str">
        <x:f>IF(OR(Q55="",Q55=0),"",R55/Q55)</x:f>
      </x:c>
      <x:c r="Z55" s="26" t="s">
        <x:v>825</x:v>
      </x:c>
      <x:c r="AA55" s="24"/>
    </x:row>
    <x:row r="56" ht="188.10000610351562" customHeight="1">
      <x:c r="A56" s="22" t="s">
        <x:v>889</x:v>
      </x:c>
      <x:c r="B56" s="22" t="s">
        <x:v>254</x:v>
      </x:c>
      <x:c r="C56" s="22" t="s">
        <x:v>32</x:v>
      </x:c>
      <x:c r="D56" s="23" t="s">
        <x:v>255</x:v>
      </x:c>
      <x:c r="E56" s="23" t="s">
        <x:v>196</x:v>
      </x:c>
      <x:c r="F56" s="23" t="s">
        <x:v>256</x:v>
      </x:c>
      <x:c r="G56" s="23" t="s">
        <x:v>666</x:v>
      </x:c>
      <x:c r="H56" s="23" t="s">
        <x:v>668</x:v>
      </x:c>
      <x:c r="I56" s="23" t="s">
        <x:v>249</x:v>
      </x:c>
      <x:c r="J56" s="23" t="s">
        <x:v>875</x:v>
      </x:c>
      <x:c r="K56" s="23" t="s">
        <x:v>257</x:v>
      </x:c>
      <x:c r="L56" s="23" t="s">
        <x:v>258</x:v>
      </x:c>
      <x:c r="M56" s="23" t="s">
        <x:v>259</x:v>
      </x:c>
      <x:c r="N56" s="23" t="s">
        <x:v>260</x:v>
      </x:c>
      <x:c r="O56" s="23" t="s">
        <x:v>261</x:v>
      </x:c>
      <x:c r="P56" s="24"/>
      <x:c r="Q56" s="24"/>
      <x:c r="R56" s="24"/>
      <x:c r="S56" s="24"/>
      <x:c r="T56" s="24"/>
      <x:c r="U56" s="24"/>
      <x:c r="V56" s="24"/>
      <x:c r="W56" s="24"/>
      <x:c r="X56" s="81" t="str">
        <x:f>IF(OR(R56="",R56=0),"",U56/R56)</x:f>
      </x:c>
      <x:c r="Y56" s="81" t="str">
        <x:f>IF(OR(Q56="",Q56=0),"",R56/Q56)</x:f>
      </x:c>
      <x:c r="Z56" s="26" t="s">
        <x:v>825</x:v>
      </x:c>
      <x:c r="AA56" s="24"/>
    </x:row>
    <x:row r="57" ht="188.10000610351562" customHeight="1">
      <x:c r="A57" s="22" t="s">
        <x:v>890</x:v>
      </x:c>
      <x:c r="B57" s="22" t="s">
        <x:v>254</x:v>
      </x:c>
      <x:c r="C57" s="22" t="s">
        <x:v>32</x:v>
      </x:c>
      <x:c r="D57" s="23" t="s">
        <x:v>255</x:v>
      </x:c>
      <x:c r="E57" s="23" t="s">
        <x:v>196</x:v>
      </x:c>
      <x:c r="F57" s="23" t="s">
        <x:v>256</x:v>
      </x:c>
      <x:c r="G57" s="23" t="s">
        <x:v>676</x:v>
      </x:c>
      <x:c r="H57" s="23" t="s">
        <x:v>678</x:v>
      </x:c>
      <x:c r="I57" s="23" t="s">
        <x:v>249</x:v>
      </x:c>
      <x:c r="J57" s="23" t="s">
        <x:v>875</x:v>
      </x:c>
      <x:c r="K57" s="23" t="s">
        <x:v>257</x:v>
      </x:c>
      <x:c r="L57" s="23" t="s">
        <x:v>258</x:v>
      </x:c>
      <x:c r="M57" s="23" t="s">
        <x:v>259</x:v>
      </x:c>
      <x:c r="N57" s="23" t="s">
        <x:v>260</x:v>
      </x:c>
      <x:c r="O57" s="23" t="s">
        <x:v>261</x:v>
      </x:c>
      <x:c r="P57" s="24"/>
      <x:c r="Q57" s="24"/>
      <x:c r="R57" s="24"/>
      <x:c r="S57" s="24"/>
      <x:c r="T57" s="24"/>
      <x:c r="U57" s="24"/>
      <x:c r="V57" s="24"/>
      <x:c r="W57" s="24"/>
      <x:c r="X57" s="81" t="str">
        <x:f>IF(OR(R57="",R57=0),"",U57/R57)</x:f>
      </x:c>
      <x:c r="Y57" s="81" t="str">
        <x:f>IF(OR(Q57="",Q57=0),"",R57/Q57)</x:f>
      </x:c>
      <x:c r="Z57" s="26" t="s">
        <x:v>825</x:v>
      </x:c>
      <x:c r="AA57" s="24"/>
    </x:row>
    <x:row r="58" ht="188.10000610351562" customHeight="1">
      <x:c r="A58" s="22" t="s">
        <x:v>891</x:v>
      </x:c>
      <x:c r="B58" s="22" t="s">
        <x:v>254</x:v>
      </x:c>
      <x:c r="C58" s="22" t="s">
        <x:v>32</x:v>
      </x:c>
      <x:c r="D58" s="23" t="s">
        <x:v>255</x:v>
      </x:c>
      <x:c r="E58" s="23" t="s">
        <x:v>196</x:v>
      </x:c>
      <x:c r="F58" s="23" t="s">
        <x:v>256</x:v>
      </x:c>
      <x:c r="G58" s="23" t="s">
        <x:v>693</x:v>
      </x:c>
      <x:c r="H58" s="23" t="s">
        <x:v>695</x:v>
      </x:c>
      <x:c r="I58" s="23" t="s">
        <x:v>249</x:v>
      </x:c>
      <x:c r="J58" s="23" t="s">
        <x:v>875</x:v>
      </x:c>
      <x:c r="K58" s="23" t="s">
        <x:v>257</x:v>
      </x:c>
      <x:c r="L58" s="23" t="s">
        <x:v>258</x:v>
      </x:c>
      <x:c r="M58" s="23" t="s">
        <x:v>259</x:v>
      </x:c>
      <x:c r="N58" s="23" t="s">
        <x:v>260</x:v>
      </x:c>
      <x:c r="O58" s="23" t="s">
        <x:v>261</x:v>
      </x:c>
      <x:c r="P58" s="24"/>
      <x:c r="Q58" s="24"/>
      <x:c r="R58" s="24"/>
      <x:c r="S58" s="24"/>
      <x:c r="T58" s="24"/>
      <x:c r="U58" s="24"/>
      <x:c r="V58" s="24"/>
      <x:c r="W58" s="24"/>
      <x:c r="X58" s="81" t="str">
        <x:f>IF(OR(R58="",R58=0),"",U58/R58)</x:f>
      </x:c>
      <x:c r="Y58" s="81" t="str">
        <x:f>IF(OR(Q58="",Q58=0),"",R58/Q58)</x:f>
      </x:c>
      <x:c r="Z58" s="26" t="s">
        <x:v>825</x:v>
      </x:c>
      <x:c r="AA58" s="24"/>
    </x:row>
    <x:row r="59" ht="188.10000610351562" customHeight="1">
      <x:c r="A59" s="22" t="s">
        <x:v>892</x:v>
      </x:c>
      <x:c r="B59" s="22" t="s">
        <x:v>262</x:v>
      </x:c>
      <x:c r="C59" s="22" t="s">
        <x:v>32</x:v>
      </x:c>
      <x:c r="D59" s="23" t="s">
        <x:v>263</x:v>
      </x:c>
      <x:c r="E59" s="23" t="s">
        <x:v>176</x:v>
      </x:c>
      <x:c r="F59" s="23" t="s">
        <x:v>264</x:v>
      </x:c>
      <x:c r="G59" s="23" t="s">
        <x:v>666</x:v>
      </x:c>
      <x:c r="H59" s="23" t="s">
        <x:v>668</x:v>
      </x:c>
      <x:c r="I59" s="23" t="s">
        <x:v>249</x:v>
      </x:c>
      <x:c r="J59" s="23" t="s">
        <x:v>875</x:v>
      </x:c>
      <x:c r="K59" s="23" t="s">
        <x:v>265</x:v>
      </x:c>
      <x:c r="L59" s="23" t="s">
        <x:v>266</x:v>
      </x:c>
      <x:c r="M59" s="23" t="s">
        <x:v>267</x:v>
      </x:c>
      <x:c r="N59" s="23" t="s">
        <x:v>268</x:v>
      </x:c>
      <x:c r="O59" s="23" t="s">
        <x:v>184</x:v>
      </x:c>
      <x:c r="P59" s="24"/>
      <x:c r="Q59" s="24"/>
      <x:c r="R59" s="24"/>
      <x:c r="S59" s="24"/>
      <x:c r="T59" s="24"/>
      <x:c r="U59" s="24"/>
      <x:c r="V59" s="24"/>
      <x:c r="W59" s="24"/>
      <x:c r="X59" s="81" t="str">
        <x:f>IF(OR(R59="",R59=0),"",U59/R59)</x:f>
      </x:c>
      <x:c r="Y59" s="81" t="str">
        <x:f>IF(OR(Q59="",Q59=0),"",R59/Q59)</x:f>
      </x:c>
      <x:c r="Z59" s="26" t="s">
        <x:v>825</x:v>
      </x:c>
      <x:c r="AA59" s="24"/>
    </x:row>
    <x:row r="60" ht="188.10000610351562" customHeight="1">
      <x:c r="A60" s="22" t="s">
        <x:v>893</x:v>
      </x:c>
      <x:c r="B60" s="22" t="s">
        <x:v>262</x:v>
      </x:c>
      <x:c r="C60" s="22" t="s">
        <x:v>32</x:v>
      </x:c>
      <x:c r="D60" s="23" t="s">
        <x:v>263</x:v>
      </x:c>
      <x:c r="E60" s="23" t="s">
        <x:v>176</x:v>
      </x:c>
      <x:c r="F60" s="23" t="s">
        <x:v>264</x:v>
      </x:c>
      <x:c r="G60" s="23" t="s">
        <x:v>676</x:v>
      </x:c>
      <x:c r="H60" s="23" t="s">
        <x:v>678</x:v>
      </x:c>
      <x:c r="I60" s="23" t="s">
        <x:v>249</x:v>
      </x:c>
      <x:c r="J60" s="23" t="s">
        <x:v>875</x:v>
      </x:c>
      <x:c r="K60" s="23" t="s">
        <x:v>265</x:v>
      </x:c>
      <x:c r="L60" s="23" t="s">
        <x:v>266</x:v>
      </x:c>
      <x:c r="M60" s="23" t="s">
        <x:v>267</x:v>
      </x:c>
      <x:c r="N60" s="23" t="s">
        <x:v>268</x:v>
      </x:c>
      <x:c r="O60" s="23" t="s">
        <x:v>184</x:v>
      </x:c>
      <x:c r="P60" s="24"/>
      <x:c r="Q60" s="24"/>
      <x:c r="R60" s="24"/>
      <x:c r="S60" s="24"/>
      <x:c r="T60" s="24"/>
      <x:c r="U60" s="24"/>
      <x:c r="V60" s="24"/>
      <x:c r="W60" s="24"/>
      <x:c r="X60" s="81" t="str">
        <x:f>IF(OR(R60="",R60=0),"",U60/R60)</x:f>
      </x:c>
      <x:c r="Y60" s="81" t="str">
        <x:f>IF(OR(Q60="",Q60=0),"",R60/Q60)</x:f>
      </x:c>
      <x:c r="Z60" s="26" t="s">
        <x:v>825</x:v>
      </x:c>
      <x:c r="AA60" s="24"/>
    </x:row>
    <x:row r="61" ht="188.10000610351562" customHeight="1">
      <x:c r="A61" s="22" t="s">
        <x:v>894</x:v>
      </x:c>
      <x:c r="B61" s="22" t="s">
        <x:v>262</x:v>
      </x:c>
      <x:c r="C61" s="22" t="s">
        <x:v>32</x:v>
      </x:c>
      <x:c r="D61" s="23" t="s">
        <x:v>263</x:v>
      </x:c>
      <x:c r="E61" s="23" t="s">
        <x:v>176</x:v>
      </x:c>
      <x:c r="F61" s="23" t="s">
        <x:v>264</x:v>
      </x:c>
      <x:c r="G61" s="23" t="s">
        <x:v>693</x:v>
      </x:c>
      <x:c r="H61" s="23" t="s">
        <x:v>695</x:v>
      </x:c>
      <x:c r="I61" s="23" t="s">
        <x:v>249</x:v>
      </x:c>
      <x:c r="J61" s="23" t="s">
        <x:v>875</x:v>
      </x:c>
      <x:c r="K61" s="23" t="s">
        <x:v>265</x:v>
      </x:c>
      <x:c r="L61" s="23" t="s">
        <x:v>266</x:v>
      </x:c>
      <x:c r="M61" s="23" t="s">
        <x:v>267</x:v>
      </x:c>
      <x:c r="N61" s="23" t="s">
        <x:v>268</x:v>
      </x:c>
      <x:c r="O61" s="23" t="s">
        <x:v>184</x:v>
      </x:c>
      <x:c r="P61" s="24"/>
      <x:c r="Q61" s="24"/>
      <x:c r="R61" s="24"/>
      <x:c r="S61" s="24"/>
      <x:c r="T61" s="24"/>
      <x:c r="U61" s="24"/>
      <x:c r="V61" s="24"/>
      <x:c r="W61" s="24"/>
      <x:c r="X61" s="81" t="str">
        <x:f>IF(OR(R61="",R61=0),"",U61/R61)</x:f>
      </x:c>
      <x:c r="Y61" s="81" t="str">
        <x:f>IF(OR(Q61="",Q61=0),"",R61/Q61)</x:f>
      </x:c>
      <x:c r="Z61" s="26" t="s">
        <x:v>825</x:v>
      </x:c>
      <x:c r="AA61" s="24"/>
    </x:row>
    <x:row r="62" ht="188.10000610351562" customHeight="1">
      <x:c r="A62" s="22" t="s">
        <x:v>895</x:v>
      </x:c>
      <x:c r="B62" s="22" t="s">
        <x:v>269</x:v>
      </x:c>
      <x:c r="C62" s="22" t="s">
        <x:v>32</x:v>
      </x:c>
      <x:c r="D62" s="23" t="s">
        <x:v>270</x:v>
      </x:c>
      <x:c r="E62" s="23" t="s">
        <x:v>196</x:v>
      </x:c>
      <x:c r="F62" s="23" t="s">
        <x:v>271</x:v>
      </x:c>
      <x:c r="G62" s="23" t="s">
        <x:v>666</x:v>
      </x:c>
      <x:c r="H62" s="23" t="s">
        <x:v>668</x:v>
      </x:c>
      <x:c r="I62" s="23" t="s">
        <x:v>249</x:v>
      </x:c>
      <x:c r="J62" s="23" t="s">
        <x:v>875</x:v>
      </x:c>
      <x:c r="K62" s="23" t="s">
        <x:v>272</x:v>
      </x:c>
      <x:c r="L62" s="23" t="s">
        <x:v>273</x:v>
      </x:c>
      <x:c r="M62" s="23" t="s">
        <x:v>274</x:v>
      </x:c>
      <x:c r="N62" s="23" t="s">
        <x:v>275</x:v>
      </x:c>
      <x:c r="O62" s="23" t="s">
        <x:v>173</x:v>
      </x:c>
      <x:c r="P62" s="24"/>
      <x:c r="Q62" s="24"/>
      <x:c r="R62" s="24"/>
      <x:c r="S62" s="24"/>
      <x:c r="T62" s="24"/>
      <x:c r="U62" s="24"/>
      <x:c r="V62" s="24"/>
      <x:c r="W62" s="24"/>
      <x:c r="X62" s="81" t="str">
        <x:f>IF(OR(R62="",R62=0),"",U62/R62)</x:f>
      </x:c>
      <x:c r="Y62" s="81" t="str">
        <x:f>IF(OR(Q62="",Q62=0),"",R62/Q62)</x:f>
      </x:c>
      <x:c r="Z62" s="26" t="s">
        <x:v>825</x:v>
      </x:c>
      <x:c r="AA62" s="24"/>
    </x:row>
    <x:row r="63" ht="188.10000610351562" customHeight="1">
      <x:c r="A63" s="22" t="s">
        <x:v>896</x:v>
      </x:c>
      <x:c r="B63" s="22" t="s">
        <x:v>269</x:v>
      </x:c>
      <x:c r="C63" s="22" t="s">
        <x:v>32</x:v>
      </x:c>
      <x:c r="D63" s="23" t="s">
        <x:v>270</x:v>
      </x:c>
      <x:c r="E63" s="23" t="s">
        <x:v>196</x:v>
      </x:c>
      <x:c r="F63" s="23" t="s">
        <x:v>271</x:v>
      </x:c>
      <x:c r="G63" s="23" t="s">
        <x:v>684</x:v>
      </x:c>
      <x:c r="H63" s="23" t="s">
        <x:v>686</x:v>
      </x:c>
      <x:c r="I63" s="23" t="s">
        <x:v>249</x:v>
      </x:c>
      <x:c r="J63" s="23" t="s">
        <x:v>875</x:v>
      </x:c>
      <x:c r="K63" s="23" t="s">
        <x:v>272</x:v>
      </x:c>
      <x:c r="L63" s="23" t="s">
        <x:v>273</x:v>
      </x:c>
      <x:c r="M63" s="23" t="s">
        <x:v>274</x:v>
      </x:c>
      <x:c r="N63" s="23" t="s">
        <x:v>275</x:v>
      </x:c>
      <x:c r="O63" s="23" t="s">
        <x:v>173</x:v>
      </x:c>
      <x:c r="P63" s="24"/>
      <x:c r="Q63" s="24"/>
      <x:c r="R63" s="24"/>
      <x:c r="S63" s="24"/>
      <x:c r="T63" s="24"/>
      <x:c r="U63" s="24"/>
      <x:c r="V63" s="24"/>
      <x:c r="W63" s="24"/>
      <x:c r="X63" s="81" t="str">
        <x:f>IF(OR(R63="",R63=0),"",U63/R63)</x:f>
      </x:c>
      <x:c r="Y63" s="81" t="str">
        <x:f>IF(OR(Q63="",Q63=0),"",R63/Q63)</x:f>
      </x:c>
      <x:c r="Z63" s="26" t="s">
        <x:v>825</x:v>
      </x:c>
      <x:c r="AA63" s="24"/>
    </x:row>
    <x:row r="64" ht="188.10000610351562" customHeight="1">
      <x:c r="A64" s="22" t="s">
        <x:v>897</x:v>
      </x:c>
      <x:c r="B64" s="22" t="s">
        <x:v>269</x:v>
      </x:c>
      <x:c r="C64" s="22" t="s">
        <x:v>32</x:v>
      </x:c>
      <x:c r="D64" s="23" t="s">
        <x:v>270</x:v>
      </x:c>
      <x:c r="E64" s="23" t="s">
        <x:v>196</x:v>
      </x:c>
      <x:c r="F64" s="23" t="s">
        <x:v>271</x:v>
      </x:c>
      <x:c r="G64" s="23" t="s">
        <x:v>693</x:v>
      </x:c>
      <x:c r="H64" s="23" t="s">
        <x:v>695</x:v>
      </x:c>
      <x:c r="I64" s="23" t="s">
        <x:v>249</x:v>
      </x:c>
      <x:c r="J64" s="23" t="s">
        <x:v>875</x:v>
      </x:c>
      <x:c r="K64" s="23" t="s">
        <x:v>272</x:v>
      </x:c>
      <x:c r="L64" s="23" t="s">
        <x:v>273</x:v>
      </x:c>
      <x:c r="M64" s="23" t="s">
        <x:v>274</x:v>
      </x:c>
      <x:c r="N64" s="23" t="s">
        <x:v>275</x:v>
      </x:c>
      <x:c r="O64" s="23" t="s">
        <x:v>173</x:v>
      </x:c>
      <x:c r="P64" s="24"/>
      <x:c r="Q64" s="24"/>
      <x:c r="R64" s="24"/>
      <x:c r="S64" s="24"/>
      <x:c r="T64" s="24"/>
      <x:c r="U64" s="24"/>
      <x:c r="V64" s="24"/>
      <x:c r="W64" s="24"/>
      <x:c r="X64" s="81" t="str">
        <x:f>IF(OR(R64="",R64=0),"",U64/R64)</x:f>
      </x:c>
      <x:c r="Y64" s="81" t="str">
        <x:f>IF(OR(Q64="",Q64=0),"",R64/Q64)</x:f>
      </x:c>
      <x:c r="Z64" s="26" t="s">
        <x:v>825</x:v>
      </x:c>
      <x:c r="AA64" s="24"/>
    </x:row>
    <x:row r="65" ht="188.10000610351562" customHeight="1">
      <x:c r="A65" s="22" t="s">
        <x:v>898</x:v>
      </x:c>
      <x:c r="B65" s="22" t="s">
        <x:v>276</x:v>
      </x:c>
      <x:c r="C65" s="22" t="s">
        <x:v>32</x:v>
      </x:c>
      <x:c r="D65" s="23" t="s">
        <x:v>277</x:v>
      </x:c>
      <x:c r="E65" s="23" t="s">
        <x:v>205</x:v>
      </x:c>
      <x:c r="F65" s="23" t="s">
        <x:v>278</x:v>
      </x:c>
      <x:c r="G65" s="23" t="s">
        <x:v>666</x:v>
      </x:c>
      <x:c r="H65" s="23" t="s">
        <x:v>668</x:v>
      </x:c>
      <x:c r="I65" s="23" t="s">
        <x:v>249</x:v>
      </x:c>
      <x:c r="J65" s="23" t="s">
        <x:v>875</x:v>
      </x:c>
      <x:c r="K65" s="23" t="s">
        <x:v>279</x:v>
      </x:c>
      <x:c r="L65" s="23" t="s">
        <x:v>280</x:v>
      </x:c>
      <x:c r="M65" s="23" t="s">
        <x:v>281</x:v>
      </x:c>
      <x:c r="N65" s="23" t="s">
        <x:v>282</x:v>
      </x:c>
      <x:c r="O65" s="23" t="s">
        <x:v>184</x:v>
      </x:c>
      <x:c r="P65" s="24"/>
      <x:c r="Q65" s="24"/>
      <x:c r="R65" s="24"/>
      <x:c r="S65" s="24"/>
      <x:c r="T65" s="24"/>
      <x:c r="U65" s="24"/>
      <x:c r="V65" s="24"/>
      <x:c r="W65" s="24"/>
      <x:c r="X65" s="81" t="str">
        <x:f>IF(OR(R65="",R65=0),"",U65/R65)</x:f>
      </x:c>
      <x:c r="Y65" s="81" t="str">
        <x:f>IF(OR(Q65="",Q65=0),"",R65/Q65)</x:f>
      </x:c>
      <x:c r="Z65" s="26" t="s">
        <x:v>825</x:v>
      </x:c>
      <x:c r="AA65" s="24"/>
    </x:row>
    <x:row r="66" ht="188.10000610351562" customHeight="1">
      <x:c r="A66" s="22" t="s">
        <x:v>899</x:v>
      </x:c>
      <x:c r="B66" s="22" t="s">
        <x:v>276</x:v>
      </x:c>
      <x:c r="C66" s="22" t="s">
        <x:v>32</x:v>
      </x:c>
      <x:c r="D66" s="23" t="s">
        <x:v>277</x:v>
      </x:c>
      <x:c r="E66" s="23" t="s">
        <x:v>205</x:v>
      </x:c>
      <x:c r="F66" s="23" t="s">
        <x:v>278</x:v>
      </x:c>
      <x:c r="G66" s="23" t="s">
        <x:v>666</x:v>
      </x:c>
      <x:c r="H66" s="23" t="s">
        <x:v>668</x:v>
      </x:c>
      <x:c r="I66" s="23" t="s">
        <x:v>827</x:v>
      </x:c>
      <x:c r="J66" s="23" t="s">
        <x:v>828</x:v>
      </x:c>
      <x:c r="K66" s="23" t="s">
        <x:v>279</x:v>
      </x:c>
      <x:c r="L66" s="23" t="s">
        <x:v>280</x:v>
      </x:c>
      <x:c r="M66" s="23" t="s">
        <x:v>281</x:v>
      </x:c>
      <x:c r="N66" s="23" t="s">
        <x:v>282</x:v>
      </x:c>
      <x:c r="O66" s="23" t="s">
        <x:v>184</x:v>
      </x:c>
      <x:c r="P66" s="24"/>
      <x:c r="Q66" s="24"/>
      <x:c r="R66" s="24"/>
      <x:c r="S66" s="24"/>
      <x:c r="T66" s="24"/>
      <x:c r="U66" s="24"/>
      <x:c r="V66" s="24"/>
      <x:c r="W66" s="24"/>
      <x:c r="X66" s="81" t="str">
        <x:f>IF(OR(R66="",R66=0),"",U66/R66)</x:f>
      </x:c>
      <x:c r="Y66" s="81" t="str">
        <x:f>IF(OR(Q66="",Q66=0),"",R66/Q66)</x:f>
      </x:c>
      <x:c r="Z66" s="26" t="s">
        <x:v>825</x:v>
      </x:c>
      <x:c r="AA66" s="24"/>
    </x:row>
    <x:row r="67" ht="188.10000610351562" customHeight="1">
      <x:c r="A67" s="22" t="s">
        <x:v>900</x:v>
      </x:c>
      <x:c r="B67" s="22" t="s">
        <x:v>276</x:v>
      </x:c>
      <x:c r="C67" s="22" t="s">
        <x:v>32</x:v>
      </x:c>
      <x:c r="D67" s="23" t="s">
        <x:v>277</x:v>
      </x:c>
      <x:c r="E67" s="23" t="s">
        <x:v>205</x:v>
      </x:c>
      <x:c r="F67" s="23" t="s">
        <x:v>278</x:v>
      </x:c>
      <x:c r="G67" s="23" t="s">
        <x:v>684</x:v>
      </x:c>
      <x:c r="H67" s="23" t="s">
        <x:v>686</x:v>
      </x:c>
      <x:c r="I67" s="23" t="s">
        <x:v>249</x:v>
      </x:c>
      <x:c r="J67" s="23" t="s">
        <x:v>875</x:v>
      </x:c>
      <x:c r="K67" s="23" t="s">
        <x:v>279</x:v>
      </x:c>
      <x:c r="L67" s="23" t="s">
        <x:v>280</x:v>
      </x:c>
      <x:c r="M67" s="23" t="s">
        <x:v>281</x:v>
      </x:c>
      <x:c r="N67" s="23" t="s">
        <x:v>282</x:v>
      </x:c>
      <x:c r="O67" s="23" t="s">
        <x:v>184</x:v>
      </x:c>
      <x:c r="P67" s="24"/>
      <x:c r="Q67" s="24"/>
      <x:c r="R67" s="24"/>
      <x:c r="S67" s="24"/>
      <x:c r="T67" s="24"/>
      <x:c r="U67" s="24"/>
      <x:c r="V67" s="24"/>
      <x:c r="W67" s="24"/>
      <x:c r="X67" s="81" t="str">
        <x:f>IF(OR(R67="",R67=0),"",U67/R67)</x:f>
      </x:c>
      <x:c r="Y67" s="81" t="str">
        <x:f>IF(OR(Q67="",Q67=0),"",R67/Q67)</x:f>
      </x:c>
      <x:c r="Z67" s="26" t="s">
        <x:v>825</x:v>
      </x:c>
      <x:c r="AA67" s="24"/>
    </x:row>
    <x:row r="68" ht="188.10000610351562" customHeight="1">
      <x:c r="A68" s="22" t="s">
        <x:v>901</x:v>
      </x:c>
      <x:c r="B68" s="22" t="s">
        <x:v>276</x:v>
      </x:c>
      <x:c r="C68" s="22" t="s">
        <x:v>32</x:v>
      </x:c>
      <x:c r="D68" s="23" t="s">
        <x:v>277</x:v>
      </x:c>
      <x:c r="E68" s="23" t="s">
        <x:v>205</x:v>
      </x:c>
      <x:c r="F68" s="23" t="s">
        <x:v>278</x:v>
      </x:c>
      <x:c r="G68" s="23" t="s">
        <x:v>684</x:v>
      </x:c>
      <x:c r="H68" s="23" t="s">
        <x:v>686</x:v>
      </x:c>
      <x:c r="I68" s="23" t="s">
        <x:v>827</x:v>
      </x:c>
      <x:c r="J68" s="23" t="s">
        <x:v>828</x:v>
      </x:c>
      <x:c r="K68" s="23" t="s">
        <x:v>279</x:v>
      </x:c>
      <x:c r="L68" s="23" t="s">
        <x:v>280</x:v>
      </x:c>
      <x:c r="M68" s="23" t="s">
        <x:v>281</x:v>
      </x:c>
      <x:c r="N68" s="23" t="s">
        <x:v>282</x:v>
      </x:c>
      <x:c r="O68" s="23" t="s">
        <x:v>184</x:v>
      </x:c>
      <x:c r="P68" s="24"/>
      <x:c r="Q68" s="24"/>
      <x:c r="R68" s="24"/>
      <x:c r="S68" s="24"/>
      <x:c r="T68" s="24"/>
      <x:c r="U68" s="24"/>
      <x:c r="V68" s="24"/>
      <x:c r="W68" s="24"/>
      <x:c r="X68" s="81" t="str">
        <x:f>IF(OR(R68="",R68=0),"",U68/R68)</x:f>
      </x:c>
      <x:c r="Y68" s="81" t="str">
        <x:f>IF(OR(Q68="",Q68=0),"",R68/Q68)</x:f>
      </x:c>
      <x:c r="Z68" s="26" t="s">
        <x:v>825</x:v>
      </x:c>
      <x:c r="AA68" s="24"/>
    </x:row>
    <x:row r="69" ht="188.10000610351562" customHeight="1">
      <x:c r="A69" s="22" t="s">
        <x:v>902</x:v>
      </x:c>
      <x:c r="B69" s="22" t="s">
        <x:v>276</x:v>
      </x:c>
      <x:c r="C69" s="22" t="s">
        <x:v>32</x:v>
      </x:c>
      <x:c r="D69" s="23" t="s">
        <x:v>277</x:v>
      </x:c>
      <x:c r="E69" s="23" t="s">
        <x:v>205</x:v>
      </x:c>
      <x:c r="F69" s="23" t="s">
        <x:v>278</x:v>
      </x:c>
      <x:c r="G69" s="23" t="s">
        <x:v>693</x:v>
      </x:c>
      <x:c r="H69" s="23" t="s">
        <x:v>695</x:v>
      </x:c>
      <x:c r="I69" s="23" t="s">
        <x:v>249</x:v>
      </x:c>
      <x:c r="J69" s="23" t="s">
        <x:v>875</x:v>
      </x:c>
      <x:c r="K69" s="23" t="s">
        <x:v>279</x:v>
      </x:c>
      <x:c r="L69" s="23" t="s">
        <x:v>280</x:v>
      </x:c>
      <x:c r="M69" s="23" t="s">
        <x:v>281</x:v>
      </x:c>
      <x:c r="N69" s="23" t="s">
        <x:v>282</x:v>
      </x:c>
      <x:c r="O69" s="23" t="s">
        <x:v>184</x:v>
      </x:c>
      <x:c r="P69" s="24"/>
      <x:c r="Q69" s="24"/>
      <x:c r="R69" s="24"/>
      <x:c r="S69" s="24"/>
      <x:c r="T69" s="24"/>
      <x:c r="U69" s="24"/>
      <x:c r="V69" s="24"/>
      <x:c r="W69" s="24"/>
      <x:c r="X69" s="81" t="str">
        <x:f>IF(OR(R69="",R69=0),"",U69/R69)</x:f>
      </x:c>
      <x:c r="Y69" s="81" t="str">
        <x:f>IF(OR(Q69="",Q69=0),"",R69/Q69)</x:f>
      </x:c>
      <x:c r="Z69" s="26" t="s">
        <x:v>825</x:v>
      </x:c>
      <x:c r="AA69" s="24"/>
    </x:row>
    <x:row r="70" ht="188.10000610351562" customHeight="1">
      <x:c r="A70" s="22" t="s">
        <x:v>903</x:v>
      </x:c>
      <x:c r="B70" s="22" t="s">
        <x:v>276</x:v>
      </x:c>
      <x:c r="C70" s="22" t="s">
        <x:v>32</x:v>
      </x:c>
      <x:c r="D70" s="23" t="s">
        <x:v>277</x:v>
      </x:c>
      <x:c r="E70" s="23" t="s">
        <x:v>205</x:v>
      </x:c>
      <x:c r="F70" s="23" t="s">
        <x:v>278</x:v>
      </x:c>
      <x:c r="G70" s="23" t="s">
        <x:v>693</x:v>
      </x:c>
      <x:c r="H70" s="23" t="s">
        <x:v>695</x:v>
      </x:c>
      <x:c r="I70" s="23" t="s">
        <x:v>827</x:v>
      </x:c>
      <x:c r="J70" s="23" t="s">
        <x:v>828</x:v>
      </x:c>
      <x:c r="K70" s="23" t="s">
        <x:v>279</x:v>
      </x:c>
      <x:c r="L70" s="23" t="s">
        <x:v>280</x:v>
      </x:c>
      <x:c r="M70" s="23" t="s">
        <x:v>281</x:v>
      </x:c>
      <x:c r="N70" s="23" t="s">
        <x:v>282</x:v>
      </x:c>
      <x:c r="O70" s="23" t="s">
        <x:v>184</x:v>
      </x:c>
      <x:c r="P70" s="24"/>
      <x:c r="Q70" s="24"/>
      <x:c r="R70" s="24"/>
      <x:c r="S70" s="24"/>
      <x:c r="T70" s="24"/>
      <x:c r="U70" s="24"/>
      <x:c r="V70" s="24"/>
      <x:c r="W70" s="24"/>
      <x:c r="X70" s="81" t="str">
        <x:f>IF(OR(R70="",R70=0),"",U70/R70)</x:f>
      </x:c>
      <x:c r="Y70" s="81" t="str">
        <x:f>IF(OR(Q70="",Q70=0),"",R70/Q70)</x:f>
      </x:c>
      <x:c r="Z70" s="26" t="s">
        <x:v>825</x:v>
      </x:c>
      <x:c r="AA70" s="24"/>
    </x:row>
    <x:row r="71" ht="188.10000610351562" customHeight="1">
      <x:c r="A71" s="22" t="s">
        <x:v>904</x:v>
      </x:c>
      <x:c r="B71" s="22" t="s">
        <x:v>283</x:v>
      </x:c>
      <x:c r="C71" s="22" t="s">
        <x:v>32</x:v>
      </x:c>
      <x:c r="D71" s="23" t="s">
        <x:v>284</x:v>
      </x:c>
      <x:c r="E71" s="23" t="s">
        <x:v>285</x:v>
      </x:c>
      <x:c r="F71" s="23" t="s">
        <x:v>286</x:v>
      </x:c>
      <x:c r="G71" s="23" t="s">
        <x:v>666</x:v>
      </x:c>
      <x:c r="H71" s="23" t="s">
        <x:v>668</x:v>
      </x:c>
      <x:c r="I71" s="23" t="s">
        <x:v>249</x:v>
      </x:c>
      <x:c r="J71" s="23" t="s">
        <x:v>875</x:v>
      </x:c>
      <x:c r="K71" s="23" t="s">
        <x:v>288</x:v>
      </x:c>
      <x:c r="L71" s="23" t="s">
        <x:v>289</x:v>
      </x:c>
      <x:c r="M71" s="23" t="s">
        <x:v>290</x:v>
      </x:c>
      <x:c r="N71" s="23" t="s">
        <x:v>291</x:v>
      </x:c>
      <x:c r="O71" s="23" t="s">
        <x:v>292</x:v>
      </x:c>
      <x:c r="P71" s="24"/>
      <x:c r="Q71" s="24"/>
      <x:c r="R71" s="24"/>
      <x:c r="S71" s="24"/>
      <x:c r="T71" s="24"/>
      <x:c r="U71" s="24"/>
      <x:c r="V71" s="24"/>
      <x:c r="W71" s="24"/>
      <x:c r="X71" s="81" t="str">
        <x:f>IF(OR(R71="",R71=0),"",U71/R71)</x:f>
      </x:c>
      <x:c r="Y71" s="81" t="str">
        <x:f>IF(OR(Q71="",Q71=0),"",R71/Q71)</x:f>
      </x:c>
      <x:c r="Z71" s="26" t="s">
        <x:v>825</x:v>
      </x:c>
      <x:c r="AA71" s="24"/>
    </x:row>
    <x:row r="72" ht="188.10000610351562" customHeight="1">
      <x:c r="A72" s="22" t="s">
        <x:v>905</x:v>
      </x:c>
      <x:c r="B72" s="22" t="s">
        <x:v>283</x:v>
      </x:c>
      <x:c r="C72" s="22" t="s">
        <x:v>32</x:v>
      </x:c>
      <x:c r="D72" s="23" t="s">
        <x:v>284</x:v>
      </x:c>
      <x:c r="E72" s="23" t="s">
        <x:v>285</x:v>
      </x:c>
      <x:c r="F72" s="23" t="s">
        <x:v>286</x:v>
      </x:c>
      <x:c r="G72" s="23" t="s">
        <x:v>167</x:v>
      </x:c>
      <x:c r="H72" s="23" t="s">
        <x:v>690</x:v>
      </x:c>
      <x:c r="I72" s="23" t="s">
        <x:v>249</x:v>
      </x:c>
      <x:c r="J72" s="23" t="s">
        <x:v>875</x:v>
      </x:c>
      <x:c r="K72" s="23" t="s">
        <x:v>288</x:v>
      </x:c>
      <x:c r="L72" s="23" t="s">
        <x:v>289</x:v>
      </x:c>
      <x:c r="M72" s="23" t="s">
        <x:v>290</x:v>
      </x:c>
      <x:c r="N72" s="23" t="s">
        <x:v>291</x:v>
      </x:c>
      <x:c r="O72" s="23" t="s">
        <x:v>292</x:v>
      </x:c>
      <x:c r="P72" s="24"/>
      <x:c r="Q72" s="24"/>
      <x:c r="R72" s="24"/>
      <x:c r="S72" s="24"/>
      <x:c r="T72" s="24"/>
      <x:c r="U72" s="24"/>
      <x:c r="V72" s="24"/>
      <x:c r="W72" s="24"/>
      <x:c r="X72" s="81" t="str">
        <x:f>IF(OR(R72="",R72=0),"",U72/R72)</x:f>
      </x:c>
      <x:c r="Y72" s="81" t="str">
        <x:f>IF(OR(Q72="",Q72=0),"",R72/Q72)</x:f>
      </x:c>
      <x:c r="Z72" s="26" t="s">
        <x:v>825</x:v>
      </x:c>
      <x:c r="AA72" s="24"/>
    </x:row>
    <x:row r="73" ht="188.10000610351562" customHeight="1">
      <x:c r="A73" s="22" t="s">
        <x:v>906</x:v>
      </x:c>
      <x:c r="B73" s="22" t="s">
        <x:v>283</x:v>
      </x:c>
      <x:c r="C73" s="22" t="s">
        <x:v>32</x:v>
      </x:c>
      <x:c r="D73" s="23" t="s">
        <x:v>284</x:v>
      </x:c>
      <x:c r="E73" s="23" t="s">
        <x:v>285</x:v>
      </x:c>
      <x:c r="F73" s="23" t="s">
        <x:v>286</x:v>
      </x:c>
      <x:c r="G73" s="23" t="s">
        <x:v>693</x:v>
      </x:c>
      <x:c r="H73" s="23" t="s">
        <x:v>695</x:v>
      </x:c>
      <x:c r="I73" s="23" t="s">
        <x:v>249</x:v>
      </x:c>
      <x:c r="J73" s="23" t="s">
        <x:v>875</x:v>
      </x:c>
      <x:c r="K73" s="23" t="s">
        <x:v>288</x:v>
      </x:c>
      <x:c r="L73" s="23" t="s">
        <x:v>289</x:v>
      </x:c>
      <x:c r="M73" s="23" t="s">
        <x:v>290</x:v>
      </x:c>
      <x:c r="N73" s="23" t="s">
        <x:v>291</x:v>
      </x:c>
      <x:c r="O73" s="23" t="s">
        <x:v>292</x:v>
      </x:c>
      <x:c r="P73" s="24"/>
      <x:c r="Q73" s="24"/>
      <x:c r="R73" s="24"/>
      <x:c r="S73" s="24"/>
      <x:c r="T73" s="24"/>
      <x:c r="U73" s="24"/>
      <x:c r="V73" s="24"/>
      <x:c r="W73" s="24"/>
      <x:c r="X73" s="81" t="str">
        <x:f>IF(OR(R73="",R73=0),"",U73/R73)</x:f>
      </x:c>
      <x:c r="Y73" s="81" t="str">
        <x:f>IF(OR(Q73="",Q73=0),"",R73/Q73)</x:f>
      </x:c>
      <x:c r="Z73" s="26" t="s">
        <x:v>825</x:v>
      </x:c>
      <x:c r="AA73" s="24"/>
    </x:row>
    <x:row r="74" ht="188.10000610351562" customHeight="1">
      <x:c r="A74" s="22" t="s">
        <x:v>907</x:v>
      </x:c>
      <x:c r="B74" s="22" t="s">
        <x:v>293</x:v>
      </x:c>
      <x:c r="C74" s="22" t="s">
        <x:v>39</x:v>
      </x:c>
      <x:c r="D74" s="23" t="s">
        <x:v>294</x:v>
      </x:c>
      <x:c r="E74" s="23" t="s">
        <x:v>145</x:v>
      </x:c>
      <x:c r="F74" s="23" t="s">
        <x:v>295</x:v>
      </x:c>
      <x:c r="G74" s="23" t="s">
        <x:v>666</x:v>
      </x:c>
      <x:c r="H74" s="23" t="s">
        <x:v>668</x:v>
      </x:c>
      <x:c r="I74" s="23" t="s">
        <x:v>872</x:v>
      </x:c>
      <x:c r="J74" s="23" t="s">
        <x:v>873</x:v>
      </x:c>
      <x:c r="K74" s="23" t="s">
        <x:v>297</x:v>
      </x:c>
      <x:c r="L74" s="23" t="s">
        <x:v>298</x:v>
      </x:c>
      <x:c r="M74" s="23" t="s">
        <x:v>299</x:v>
      </x:c>
      <x:c r="N74" s="23" t="s">
        <x:v>300</x:v>
      </x:c>
      <x:c r="O74" s="23" t="s">
        <x:v>301</x:v>
      </x:c>
      <x:c r="P74" s="24"/>
      <x:c r="Q74" s="24"/>
      <x:c r="R74" s="24"/>
      <x:c r="S74" s="24"/>
      <x:c r="T74" s="24"/>
      <x:c r="U74" s="24"/>
      <x:c r="V74" s="24"/>
      <x:c r="W74" s="24"/>
      <x:c r="X74" s="81" t="str">
        <x:f>IF(OR(R74="",R74=0),"",U74/R74)</x:f>
      </x:c>
      <x:c r="Y74" s="81" t="str">
        <x:f>IF(OR(Q74="",Q74=0),"",R74/Q74)</x:f>
      </x:c>
      <x:c r="Z74" s="26" t="s">
        <x:v>825</x:v>
      </x:c>
      <x:c r="AA74" s="24"/>
    </x:row>
    <x:row r="75" ht="188.10000610351562" customHeight="1">
      <x:c r="A75" s="22" t="s">
        <x:v>908</x:v>
      </x:c>
      <x:c r="B75" s="22" t="s">
        <x:v>293</x:v>
      </x:c>
      <x:c r="C75" s="22" t="s">
        <x:v>39</x:v>
      </x:c>
      <x:c r="D75" s="23" t="s">
        <x:v>294</x:v>
      </x:c>
      <x:c r="E75" s="23" t="s">
        <x:v>145</x:v>
      </x:c>
      <x:c r="F75" s="23" t="s">
        <x:v>295</x:v>
      </x:c>
      <x:c r="G75" s="23" t="s">
        <x:v>666</x:v>
      </x:c>
      <x:c r="H75" s="23" t="s">
        <x:v>668</x:v>
      </x:c>
      <x:c r="I75" s="23" t="s">
        <x:v>349</x:v>
      </x:c>
      <x:c r="J75" s="23" t="s">
        <x:v>854</x:v>
      </x:c>
      <x:c r="K75" s="23" t="s">
        <x:v>297</x:v>
      </x:c>
      <x:c r="L75" s="23" t="s">
        <x:v>298</x:v>
      </x:c>
      <x:c r="M75" s="23" t="s">
        <x:v>299</x:v>
      </x:c>
      <x:c r="N75" s="23" t="s">
        <x:v>300</x:v>
      </x:c>
      <x:c r="O75" s="23" t="s">
        <x:v>301</x:v>
      </x:c>
      <x:c r="P75" s="24"/>
      <x:c r="Q75" s="24"/>
      <x:c r="R75" s="24"/>
      <x:c r="S75" s="24"/>
      <x:c r="T75" s="24"/>
      <x:c r="U75" s="24"/>
      <x:c r="V75" s="24"/>
      <x:c r="W75" s="24"/>
      <x:c r="X75" s="81" t="str">
        <x:f>IF(OR(R75="",R75=0),"",U75/R75)</x:f>
      </x:c>
      <x:c r="Y75" s="81" t="str">
        <x:f>IF(OR(Q75="",Q75=0),"",R75/Q75)</x:f>
      </x:c>
      <x:c r="Z75" s="26" t="s">
        <x:v>825</x:v>
      </x:c>
      <x:c r="AA75" s="24"/>
    </x:row>
    <x:row r="76" ht="188.10000610351562" customHeight="1">
      <x:c r="A76" s="22" t="s">
        <x:v>909</x:v>
      </x:c>
      <x:c r="B76" s="22" t="s">
        <x:v>293</x:v>
      </x:c>
      <x:c r="C76" s="22" t="s">
        <x:v>39</x:v>
      </x:c>
      <x:c r="D76" s="23" t="s">
        <x:v>294</x:v>
      </x:c>
      <x:c r="E76" s="23" t="s">
        <x:v>145</x:v>
      </x:c>
      <x:c r="F76" s="23" t="s">
        <x:v>295</x:v>
      </x:c>
      <x:c r="G76" s="23" t="s">
        <x:v>671</x:v>
      </x:c>
      <x:c r="H76" s="23" t="s">
        <x:v>673</x:v>
      </x:c>
      <x:c r="I76" s="23" t="s">
        <x:v>872</x:v>
      </x:c>
      <x:c r="J76" s="23" t="s">
        <x:v>873</x:v>
      </x:c>
      <x:c r="K76" s="23" t="s">
        <x:v>297</x:v>
      </x:c>
      <x:c r="L76" s="23" t="s">
        <x:v>298</x:v>
      </x:c>
      <x:c r="M76" s="23" t="s">
        <x:v>299</x:v>
      </x:c>
      <x:c r="N76" s="23" t="s">
        <x:v>300</x:v>
      </x:c>
      <x:c r="O76" s="23" t="s">
        <x:v>301</x:v>
      </x:c>
      <x:c r="P76" s="24"/>
      <x:c r="Q76" s="24"/>
      <x:c r="R76" s="24"/>
      <x:c r="S76" s="24"/>
      <x:c r="T76" s="24"/>
      <x:c r="U76" s="24"/>
      <x:c r="V76" s="24"/>
      <x:c r="W76" s="24"/>
      <x:c r="X76" s="81" t="str">
        <x:f>IF(OR(R76="",R76=0),"",U76/R76)</x:f>
      </x:c>
      <x:c r="Y76" s="81" t="str">
        <x:f>IF(OR(Q76="",Q76=0),"",R76/Q76)</x:f>
      </x:c>
      <x:c r="Z76" s="26" t="s">
        <x:v>825</x:v>
      </x:c>
      <x:c r="AA76" s="24"/>
    </x:row>
    <x:row r="77" ht="188.10000610351562" customHeight="1">
      <x:c r="A77" s="22" t="s">
        <x:v>910</x:v>
      </x:c>
      <x:c r="B77" s="22" t="s">
        <x:v>293</x:v>
      </x:c>
      <x:c r="C77" s="22" t="s">
        <x:v>39</x:v>
      </x:c>
      <x:c r="D77" s="23" t="s">
        <x:v>294</x:v>
      </x:c>
      <x:c r="E77" s="23" t="s">
        <x:v>145</x:v>
      </x:c>
      <x:c r="F77" s="23" t="s">
        <x:v>295</x:v>
      </x:c>
      <x:c r="G77" s="23" t="s">
        <x:v>671</x:v>
      </x:c>
      <x:c r="H77" s="23" t="s">
        <x:v>673</x:v>
      </x:c>
      <x:c r="I77" s="23" t="s">
        <x:v>349</x:v>
      </x:c>
      <x:c r="J77" s="23" t="s">
        <x:v>854</x:v>
      </x:c>
      <x:c r="K77" s="23" t="s">
        <x:v>297</x:v>
      </x:c>
      <x:c r="L77" s="23" t="s">
        <x:v>298</x:v>
      </x:c>
      <x:c r="M77" s="23" t="s">
        <x:v>299</x:v>
      </x:c>
      <x:c r="N77" s="23" t="s">
        <x:v>300</x:v>
      </x:c>
      <x:c r="O77" s="23" t="s">
        <x:v>301</x:v>
      </x:c>
      <x:c r="P77" s="24"/>
      <x:c r="Q77" s="24"/>
      <x:c r="R77" s="24"/>
      <x:c r="S77" s="24"/>
      <x:c r="T77" s="24"/>
      <x:c r="U77" s="24"/>
      <x:c r="V77" s="24"/>
      <x:c r="W77" s="24"/>
      <x:c r="X77" s="81" t="str">
        <x:f>IF(OR(R77="",R77=0),"",U77/R77)</x:f>
      </x:c>
      <x:c r="Y77" s="81" t="str">
        <x:f>IF(OR(Q77="",Q77=0),"",R77/Q77)</x:f>
      </x:c>
      <x:c r="Z77" s="26" t="s">
        <x:v>825</x:v>
      </x:c>
      <x:c r="AA77" s="24"/>
    </x:row>
    <x:row r="78" ht="188.10000610351562" customHeight="1">
      <x:c r="A78" s="22" t="s">
        <x:v>911</x:v>
      </x:c>
      <x:c r="B78" s="22" t="s">
        <x:v>293</x:v>
      </x:c>
      <x:c r="C78" s="22" t="s">
        <x:v>39</x:v>
      </x:c>
      <x:c r="D78" s="23" t="s">
        <x:v>294</x:v>
      </x:c>
      <x:c r="E78" s="23" t="s">
        <x:v>145</x:v>
      </x:c>
      <x:c r="F78" s="23" t="s">
        <x:v>295</x:v>
      </x:c>
      <x:c r="G78" s="23" t="s">
        <x:v>676</x:v>
      </x:c>
      <x:c r="H78" s="23" t="s">
        <x:v>678</x:v>
      </x:c>
      <x:c r="I78" s="23" t="s">
        <x:v>872</x:v>
      </x:c>
      <x:c r="J78" s="23" t="s">
        <x:v>873</x:v>
      </x:c>
      <x:c r="K78" s="23" t="s">
        <x:v>297</x:v>
      </x:c>
      <x:c r="L78" s="23" t="s">
        <x:v>298</x:v>
      </x:c>
      <x:c r="M78" s="23" t="s">
        <x:v>299</x:v>
      </x:c>
      <x:c r="N78" s="23" t="s">
        <x:v>300</x:v>
      </x:c>
      <x:c r="O78" s="23" t="s">
        <x:v>301</x:v>
      </x:c>
      <x:c r="P78" s="24"/>
      <x:c r="Q78" s="24"/>
      <x:c r="R78" s="24"/>
      <x:c r="S78" s="24"/>
      <x:c r="T78" s="24"/>
      <x:c r="U78" s="24"/>
      <x:c r="V78" s="24"/>
      <x:c r="W78" s="24"/>
      <x:c r="X78" s="81" t="str">
        <x:f>IF(OR(R78="",R78=0),"",U78/R78)</x:f>
      </x:c>
      <x:c r="Y78" s="81" t="str">
        <x:f>IF(OR(Q78="",Q78=0),"",R78/Q78)</x:f>
      </x:c>
      <x:c r="Z78" s="26" t="s">
        <x:v>825</x:v>
      </x:c>
      <x:c r="AA78" s="24"/>
    </x:row>
    <x:row r="79" ht="188.10000610351562" customHeight="1">
      <x:c r="A79" s="22" t="s">
        <x:v>912</x:v>
      </x:c>
      <x:c r="B79" s="22" t="s">
        <x:v>293</x:v>
      </x:c>
      <x:c r="C79" s="22" t="s">
        <x:v>39</x:v>
      </x:c>
      <x:c r="D79" s="23" t="s">
        <x:v>294</x:v>
      </x:c>
      <x:c r="E79" s="23" t="s">
        <x:v>145</x:v>
      </x:c>
      <x:c r="F79" s="23" t="s">
        <x:v>295</x:v>
      </x:c>
      <x:c r="G79" s="23" t="s">
        <x:v>676</x:v>
      </x:c>
      <x:c r="H79" s="23" t="s">
        <x:v>678</x:v>
      </x:c>
      <x:c r="I79" s="23" t="s">
        <x:v>349</x:v>
      </x:c>
      <x:c r="J79" s="23" t="s">
        <x:v>854</x:v>
      </x:c>
      <x:c r="K79" s="23" t="s">
        <x:v>297</x:v>
      </x:c>
      <x:c r="L79" s="23" t="s">
        <x:v>298</x:v>
      </x:c>
      <x:c r="M79" s="23" t="s">
        <x:v>299</x:v>
      </x:c>
      <x:c r="N79" s="23" t="s">
        <x:v>300</x:v>
      </x:c>
      <x:c r="O79" s="23" t="s">
        <x:v>301</x:v>
      </x:c>
      <x:c r="P79" s="24"/>
      <x:c r="Q79" s="24"/>
      <x:c r="R79" s="24"/>
      <x:c r="S79" s="24"/>
      <x:c r="T79" s="24"/>
      <x:c r="U79" s="24"/>
      <x:c r="V79" s="24"/>
      <x:c r="W79" s="24"/>
      <x:c r="X79" s="81" t="str">
        <x:f>IF(OR(R79="",R79=0),"",U79/R79)</x:f>
      </x:c>
      <x:c r="Y79" s="81" t="str">
        <x:f>IF(OR(Q79="",Q79=0),"",R79/Q79)</x:f>
      </x:c>
      <x:c r="Z79" s="26" t="s">
        <x:v>825</x:v>
      </x:c>
      <x:c r="AA79" s="24"/>
    </x:row>
    <x:row r="80" ht="188.10000610351562" customHeight="1">
      <x:c r="A80" s="22" t="s">
        <x:v>913</x:v>
      </x:c>
      <x:c r="B80" s="22" t="s">
        <x:v>302</x:v>
      </x:c>
      <x:c r="C80" s="22" t="s">
        <x:v>39</x:v>
      </x:c>
      <x:c r="D80" s="23" t="s">
        <x:v>303</x:v>
      </x:c>
      <x:c r="E80" s="23" t="s">
        <x:v>156</x:v>
      </x:c>
      <x:c r="F80" s="23" t="s">
        <x:v>304</x:v>
      </x:c>
      <x:c r="G80" s="23" t="s">
        <x:v>666</x:v>
      </x:c>
      <x:c r="H80" s="23" t="s">
        <x:v>668</x:v>
      </x:c>
      <x:c r="I80" s="23" t="s">
        <x:v>349</x:v>
      </x:c>
      <x:c r="J80" s="23" t="s">
        <x:v>854</x:v>
      </x:c>
      <x:c r="K80" s="23" t="s">
        <x:v>306</x:v>
      </x:c>
      <x:c r="L80" s="23" t="s">
        <x:v>307</x:v>
      </x:c>
      <x:c r="M80" s="23" t="s">
        <x:v>308</x:v>
      </x:c>
      <x:c r="N80" s="23" t="s">
        <x:v>309</x:v>
      </x:c>
      <x:c r="O80" s="23" t="s">
        <x:v>310</x:v>
      </x:c>
      <x:c r="P80" s="24"/>
      <x:c r="Q80" s="24"/>
      <x:c r="R80" s="24"/>
      <x:c r="S80" s="24"/>
      <x:c r="T80" s="24"/>
      <x:c r="U80" s="24"/>
      <x:c r="V80" s="24"/>
      <x:c r="W80" s="24"/>
      <x:c r="X80" s="81" t="str">
        <x:f>IF(OR(R80="",R80=0),"",U80/R80)</x:f>
      </x:c>
      <x:c r="Y80" s="81" t="str">
        <x:f>IF(OR(Q80="",Q80=0),"",R80/Q80)</x:f>
      </x:c>
      <x:c r="Z80" s="26" t="s">
        <x:v>825</x:v>
      </x:c>
      <x:c r="AA80" s="24"/>
    </x:row>
    <x:row r="81" ht="188.10000610351562" customHeight="1">
      <x:c r="A81" s="22" t="s">
        <x:v>914</x:v>
      </x:c>
      <x:c r="B81" s="22" t="s">
        <x:v>302</x:v>
      </x:c>
      <x:c r="C81" s="22" t="s">
        <x:v>39</x:v>
      </x:c>
      <x:c r="D81" s="23" t="s">
        <x:v>303</x:v>
      </x:c>
      <x:c r="E81" s="23" t="s">
        <x:v>156</x:v>
      </x:c>
      <x:c r="F81" s="23" t="s">
        <x:v>304</x:v>
      </x:c>
      <x:c r="G81" s="23" t="s">
        <x:v>666</x:v>
      </x:c>
      <x:c r="H81" s="23" t="s">
        <x:v>668</x:v>
      </x:c>
      <x:c r="I81" s="23" t="s">
        <x:v>872</x:v>
      </x:c>
      <x:c r="J81" s="23" t="s">
        <x:v>873</x:v>
      </x:c>
      <x:c r="K81" s="23" t="s">
        <x:v>306</x:v>
      </x:c>
      <x:c r="L81" s="23" t="s">
        <x:v>307</x:v>
      </x:c>
      <x:c r="M81" s="23" t="s">
        <x:v>308</x:v>
      </x:c>
      <x:c r="N81" s="23" t="s">
        <x:v>309</x:v>
      </x:c>
      <x:c r="O81" s="23" t="s">
        <x:v>310</x:v>
      </x:c>
      <x:c r="P81" s="24"/>
      <x:c r="Q81" s="24"/>
      <x:c r="R81" s="24"/>
      <x:c r="S81" s="24"/>
      <x:c r="T81" s="24"/>
      <x:c r="U81" s="24"/>
      <x:c r="V81" s="24"/>
      <x:c r="W81" s="24"/>
      <x:c r="X81" s="81" t="str">
        <x:f>IF(OR(R81="",R81=0),"",U81/R81)</x:f>
      </x:c>
      <x:c r="Y81" s="81" t="str">
        <x:f>IF(OR(Q81="",Q81=0),"",R81/Q81)</x:f>
      </x:c>
      <x:c r="Z81" s="26" t="s">
        <x:v>825</x:v>
      </x:c>
      <x:c r="AA81" s="24"/>
    </x:row>
    <x:row r="82" ht="188.10000610351562" customHeight="1">
      <x:c r="A82" s="22" t="s">
        <x:v>915</x:v>
      </x:c>
      <x:c r="B82" s="22" t="s">
        <x:v>302</x:v>
      </x:c>
      <x:c r="C82" s="22" t="s">
        <x:v>39</x:v>
      </x:c>
      <x:c r="D82" s="23" t="s">
        <x:v>303</x:v>
      </x:c>
      <x:c r="E82" s="23" t="s">
        <x:v>156</x:v>
      </x:c>
      <x:c r="F82" s="23" t="s">
        <x:v>304</x:v>
      </x:c>
      <x:c r="G82" s="23" t="s">
        <x:v>676</x:v>
      </x:c>
      <x:c r="H82" s="23" t="s">
        <x:v>678</x:v>
      </x:c>
      <x:c r="I82" s="23" t="s">
        <x:v>349</x:v>
      </x:c>
      <x:c r="J82" s="23" t="s">
        <x:v>854</x:v>
      </x:c>
      <x:c r="K82" s="23" t="s">
        <x:v>306</x:v>
      </x:c>
      <x:c r="L82" s="23" t="s">
        <x:v>307</x:v>
      </x:c>
      <x:c r="M82" s="23" t="s">
        <x:v>308</x:v>
      </x:c>
      <x:c r="N82" s="23" t="s">
        <x:v>309</x:v>
      </x:c>
      <x:c r="O82" s="23" t="s">
        <x:v>310</x:v>
      </x:c>
      <x:c r="P82" s="24"/>
      <x:c r="Q82" s="24"/>
      <x:c r="R82" s="24"/>
      <x:c r="S82" s="24"/>
      <x:c r="T82" s="24"/>
      <x:c r="U82" s="24"/>
      <x:c r="V82" s="24"/>
      <x:c r="W82" s="24"/>
      <x:c r="X82" s="81" t="str">
        <x:f>IF(OR(R82="",R82=0),"",U82/R82)</x:f>
      </x:c>
      <x:c r="Y82" s="81" t="str">
        <x:f>IF(OR(Q82="",Q82=0),"",R82/Q82)</x:f>
      </x:c>
      <x:c r="Z82" s="26" t="s">
        <x:v>825</x:v>
      </x:c>
      <x:c r="AA82" s="24"/>
    </x:row>
    <x:row r="83" ht="188.10000610351562" customHeight="1">
      <x:c r="A83" s="22" t="s">
        <x:v>916</x:v>
      </x:c>
      <x:c r="B83" s="22" t="s">
        <x:v>302</x:v>
      </x:c>
      <x:c r="C83" s="22" t="s">
        <x:v>39</x:v>
      </x:c>
      <x:c r="D83" s="23" t="s">
        <x:v>303</x:v>
      </x:c>
      <x:c r="E83" s="23" t="s">
        <x:v>156</x:v>
      </x:c>
      <x:c r="F83" s="23" t="s">
        <x:v>304</x:v>
      </x:c>
      <x:c r="G83" s="23" t="s">
        <x:v>676</x:v>
      </x:c>
      <x:c r="H83" s="23" t="s">
        <x:v>678</x:v>
      </x:c>
      <x:c r="I83" s="23" t="s">
        <x:v>872</x:v>
      </x:c>
      <x:c r="J83" s="23" t="s">
        <x:v>873</x:v>
      </x:c>
      <x:c r="K83" s="23" t="s">
        <x:v>306</x:v>
      </x:c>
      <x:c r="L83" s="23" t="s">
        <x:v>307</x:v>
      </x:c>
      <x:c r="M83" s="23" t="s">
        <x:v>308</x:v>
      </x:c>
      <x:c r="N83" s="23" t="s">
        <x:v>309</x:v>
      </x:c>
      <x:c r="O83" s="23" t="s">
        <x:v>310</x:v>
      </x:c>
      <x:c r="P83" s="24"/>
      <x:c r="Q83" s="24"/>
      <x:c r="R83" s="24"/>
      <x:c r="S83" s="24"/>
      <x:c r="T83" s="24"/>
      <x:c r="U83" s="24"/>
      <x:c r="V83" s="24"/>
      <x:c r="W83" s="24"/>
      <x:c r="X83" s="81" t="str">
        <x:f>IF(OR(R83="",R83=0),"",U83/R83)</x:f>
      </x:c>
      <x:c r="Y83" s="81" t="str">
        <x:f>IF(OR(Q83="",Q83=0),"",R83/Q83)</x:f>
      </x:c>
      <x:c r="Z83" s="26" t="s">
        <x:v>825</x:v>
      </x:c>
      <x:c r="AA83" s="24"/>
    </x:row>
    <x:row r="84" ht="188.10000610351562" customHeight="1">
      <x:c r="A84" s="22" t="s">
        <x:v>917</x:v>
      </x:c>
      <x:c r="B84" s="22" t="s">
        <x:v>311</x:v>
      </x:c>
      <x:c r="C84" s="22" t="s">
        <x:v>39</x:v>
      </x:c>
      <x:c r="D84" s="23" t="s">
        <x:v>312</x:v>
      </x:c>
      <x:c r="E84" s="23" t="s">
        <x:v>165</x:v>
      </x:c>
      <x:c r="F84" s="23" t="s">
        <x:v>313</x:v>
      </x:c>
      <x:c r="G84" s="23" t="s">
        <x:v>167</x:v>
      </x:c>
      <x:c r="H84" s="23" t="s">
        <x:v>690</x:v>
      </x:c>
      <x:c r="I84" s="23" t="s">
        <x:v>349</x:v>
      </x:c>
      <x:c r="J84" s="23" t="s">
        <x:v>854</x:v>
      </x:c>
      <x:c r="K84" s="23" t="s">
        <x:v>315</x:v>
      </x:c>
      <x:c r="L84" s="23" t="s">
        <x:v>316</x:v>
      </x:c>
      <x:c r="M84" s="23" t="s">
        <x:v>317</x:v>
      </x:c>
      <x:c r="N84" s="23" t="s">
        <x:v>318</x:v>
      </x:c>
      <x:c r="O84" s="23" t="s">
        <x:v>319</x:v>
      </x:c>
      <x:c r="P84" s="24"/>
      <x:c r="Q84" s="24"/>
      <x:c r="R84" s="24"/>
      <x:c r="S84" s="24"/>
      <x:c r="T84" s="24"/>
      <x:c r="U84" s="24"/>
      <x:c r="V84" s="24"/>
      <x:c r="W84" s="24"/>
      <x:c r="X84" s="81" t="str">
        <x:f>IF(OR(R84="",R84=0),"",U84/R84)</x:f>
      </x:c>
      <x:c r="Y84" s="81" t="str">
        <x:f>IF(OR(Q84="",Q84=0),"",R84/Q84)</x:f>
      </x:c>
      <x:c r="Z84" s="26" t="s">
        <x:v>825</x:v>
      </x:c>
      <x:c r="AA84" s="24"/>
    </x:row>
    <x:row r="85" ht="188.10000610351562" customHeight="1">
      <x:c r="A85" s="22" t="s">
        <x:v>918</x:v>
      </x:c>
      <x:c r="B85" s="22" t="s">
        <x:v>311</x:v>
      </x:c>
      <x:c r="C85" s="22" t="s">
        <x:v>39</x:v>
      </x:c>
      <x:c r="D85" s="23" t="s">
        <x:v>312</x:v>
      </x:c>
      <x:c r="E85" s="23" t="s">
        <x:v>165</x:v>
      </x:c>
      <x:c r="F85" s="23" t="s">
        <x:v>313</x:v>
      </x:c>
      <x:c r="G85" s="23" t="s">
        <x:v>167</x:v>
      </x:c>
      <x:c r="H85" s="23" t="s">
        <x:v>690</x:v>
      </x:c>
      <x:c r="I85" s="23" t="s">
        <x:v>839</x:v>
      </x:c>
      <x:c r="J85" s="23" t="s">
        <x:v>840</x:v>
      </x:c>
      <x:c r="K85" s="23" t="s">
        <x:v>315</x:v>
      </x:c>
      <x:c r="L85" s="23" t="s">
        <x:v>316</x:v>
      </x:c>
      <x:c r="M85" s="23" t="s">
        <x:v>317</x:v>
      </x:c>
      <x:c r="N85" s="23" t="s">
        <x:v>318</x:v>
      </x:c>
      <x:c r="O85" s="23" t="s">
        <x:v>319</x:v>
      </x:c>
      <x:c r="P85" s="24"/>
      <x:c r="Q85" s="24"/>
      <x:c r="R85" s="24"/>
      <x:c r="S85" s="24"/>
      <x:c r="T85" s="24"/>
      <x:c r="U85" s="24"/>
      <x:c r="V85" s="24"/>
      <x:c r="W85" s="24"/>
      <x:c r="X85" s="81" t="str">
        <x:f>IF(OR(R85="",R85=0),"",U85/R85)</x:f>
      </x:c>
      <x:c r="Y85" s="81" t="str">
        <x:f>IF(OR(Q85="",Q85=0),"",R85/Q85)</x:f>
      </x:c>
      <x:c r="Z85" s="26" t="s">
        <x:v>825</x:v>
      </x:c>
      <x:c r="AA85" s="24"/>
    </x:row>
    <x:row r="86" ht="188.10000610351562" customHeight="1">
      <x:c r="A86" s="22" t="s">
        <x:v>919</x:v>
      </x:c>
      <x:c r="B86" s="22" t="s">
        <x:v>320</x:v>
      </x:c>
      <x:c r="C86" s="22" t="s">
        <x:v>39</x:v>
      </x:c>
      <x:c r="D86" s="23" t="s">
        <x:v>321</x:v>
      </x:c>
      <x:c r="E86" s="23" t="s">
        <x:v>176</x:v>
      </x:c>
      <x:c r="F86" s="23" t="s">
        <x:v>322</x:v>
      </x:c>
      <x:c r="G86" s="23" t="s">
        <x:v>666</x:v>
      </x:c>
      <x:c r="H86" s="23" t="s">
        <x:v>668</x:v>
      </x:c>
      <x:c r="I86" s="23" t="s">
        <x:v>349</x:v>
      </x:c>
      <x:c r="J86" s="23" t="s">
        <x:v>854</x:v>
      </x:c>
      <x:c r="K86" s="23" t="s">
        <x:v>324</x:v>
      </x:c>
      <x:c r="L86" s="23" t="s">
        <x:v>325</x:v>
      </x:c>
      <x:c r="M86" s="23" t="s">
        <x:v>326</x:v>
      </x:c>
      <x:c r="N86" s="23" t="s">
        <x:v>327</x:v>
      </x:c>
      <x:c r="O86" s="23" t="s">
        <x:v>328</x:v>
      </x:c>
      <x:c r="P86" s="24"/>
      <x:c r="Q86" s="24"/>
      <x:c r="R86" s="24"/>
      <x:c r="S86" s="24"/>
      <x:c r="T86" s="24"/>
      <x:c r="U86" s="24"/>
      <x:c r="V86" s="24"/>
      <x:c r="W86" s="24"/>
      <x:c r="X86" s="81" t="str">
        <x:f>IF(OR(R86="",R86=0),"",U86/R86)</x:f>
      </x:c>
      <x:c r="Y86" s="81" t="str">
        <x:f>IF(OR(Q86="",Q86=0),"",R86/Q86)</x:f>
      </x:c>
      <x:c r="Z86" s="26" t="s">
        <x:v>825</x:v>
      </x:c>
      <x:c r="AA86" s="24"/>
    </x:row>
    <x:row r="87" ht="188.10000610351562" customHeight="1">
      <x:c r="A87" s="22" t="s">
        <x:v>920</x:v>
      </x:c>
      <x:c r="B87" s="22" t="s">
        <x:v>320</x:v>
      </x:c>
      <x:c r="C87" s="22" t="s">
        <x:v>39</x:v>
      </x:c>
      <x:c r="D87" s="23" t="s">
        <x:v>321</x:v>
      </x:c>
      <x:c r="E87" s="23" t="s">
        <x:v>176</x:v>
      </x:c>
      <x:c r="F87" s="23" t="s">
        <x:v>322</x:v>
      </x:c>
      <x:c r="G87" s="23" t="s">
        <x:v>666</x:v>
      </x:c>
      <x:c r="H87" s="23" t="s">
        <x:v>668</x:v>
      </x:c>
      <x:c r="I87" s="23" t="s">
        <x:v>843</x:v>
      </x:c>
      <x:c r="J87" s="23" t="s">
        <x:v>844</x:v>
      </x:c>
      <x:c r="K87" s="23" t="s">
        <x:v>324</x:v>
      </x:c>
      <x:c r="L87" s="23" t="s">
        <x:v>325</x:v>
      </x:c>
      <x:c r="M87" s="23" t="s">
        <x:v>326</x:v>
      </x:c>
      <x:c r="N87" s="23" t="s">
        <x:v>327</x:v>
      </x:c>
      <x:c r="O87" s="23" t="s">
        <x:v>328</x:v>
      </x:c>
      <x:c r="P87" s="24"/>
      <x:c r="Q87" s="24"/>
      <x:c r="R87" s="24"/>
      <x:c r="S87" s="24"/>
      <x:c r="T87" s="24"/>
      <x:c r="U87" s="24"/>
      <x:c r="V87" s="24"/>
      <x:c r="W87" s="24"/>
      <x:c r="X87" s="81" t="str">
        <x:f>IF(OR(R87="",R87=0),"",U87/R87)</x:f>
      </x:c>
      <x:c r="Y87" s="81" t="str">
        <x:f>IF(OR(Q87="",Q87=0),"",R87/Q87)</x:f>
      </x:c>
      <x:c r="Z87" s="26" t="s">
        <x:v>825</x:v>
      </x:c>
      <x:c r="AA87" s="24"/>
    </x:row>
    <x:row r="88" ht="188.10000610351562" customHeight="1">
      <x:c r="A88" s="22" t="s">
        <x:v>921</x:v>
      </x:c>
      <x:c r="B88" s="22" t="s">
        <x:v>320</x:v>
      </x:c>
      <x:c r="C88" s="22" t="s">
        <x:v>39</x:v>
      </x:c>
      <x:c r="D88" s="23" t="s">
        <x:v>321</x:v>
      </x:c>
      <x:c r="E88" s="23" t="s">
        <x:v>176</x:v>
      </x:c>
      <x:c r="F88" s="23" t="s">
        <x:v>322</x:v>
      </x:c>
      <x:c r="G88" s="23" t="s">
        <x:v>676</x:v>
      </x:c>
      <x:c r="H88" s="23" t="s">
        <x:v>678</x:v>
      </x:c>
      <x:c r="I88" s="23" t="s">
        <x:v>349</x:v>
      </x:c>
      <x:c r="J88" s="23" t="s">
        <x:v>854</x:v>
      </x:c>
      <x:c r="K88" s="23" t="s">
        <x:v>324</x:v>
      </x:c>
      <x:c r="L88" s="23" t="s">
        <x:v>325</x:v>
      </x:c>
      <x:c r="M88" s="23" t="s">
        <x:v>326</x:v>
      </x:c>
      <x:c r="N88" s="23" t="s">
        <x:v>327</x:v>
      </x:c>
      <x:c r="O88" s="23" t="s">
        <x:v>328</x:v>
      </x:c>
      <x:c r="P88" s="24"/>
      <x:c r="Q88" s="24"/>
      <x:c r="R88" s="24"/>
      <x:c r="S88" s="24"/>
      <x:c r="T88" s="24"/>
      <x:c r="U88" s="24"/>
      <x:c r="V88" s="24"/>
      <x:c r="W88" s="24"/>
      <x:c r="X88" s="81" t="str">
        <x:f>IF(OR(R88="",R88=0),"",U88/R88)</x:f>
      </x:c>
      <x:c r="Y88" s="81" t="str">
        <x:f>IF(OR(Q88="",Q88=0),"",R88/Q88)</x:f>
      </x:c>
      <x:c r="Z88" s="26" t="s">
        <x:v>825</x:v>
      </x:c>
      <x:c r="AA88" s="24"/>
    </x:row>
    <x:row r="89" ht="188.10000610351562" customHeight="1">
      <x:c r="A89" s="22" t="s">
        <x:v>922</x:v>
      </x:c>
      <x:c r="B89" s="22" t="s">
        <x:v>320</x:v>
      </x:c>
      <x:c r="C89" s="22" t="s">
        <x:v>39</x:v>
      </x:c>
      <x:c r="D89" s="23" t="s">
        <x:v>321</x:v>
      </x:c>
      <x:c r="E89" s="23" t="s">
        <x:v>176</x:v>
      </x:c>
      <x:c r="F89" s="23" t="s">
        <x:v>322</x:v>
      </x:c>
      <x:c r="G89" s="23" t="s">
        <x:v>676</x:v>
      </x:c>
      <x:c r="H89" s="23" t="s">
        <x:v>678</x:v>
      </x:c>
      <x:c r="I89" s="23" t="s">
        <x:v>843</x:v>
      </x:c>
      <x:c r="J89" s="23" t="s">
        <x:v>844</x:v>
      </x:c>
      <x:c r="K89" s="23" t="s">
        <x:v>324</x:v>
      </x:c>
      <x:c r="L89" s="23" t="s">
        <x:v>325</x:v>
      </x:c>
      <x:c r="M89" s="23" t="s">
        <x:v>326</x:v>
      </x:c>
      <x:c r="N89" s="23" t="s">
        <x:v>327</x:v>
      </x:c>
      <x:c r="O89" s="23" t="s">
        <x:v>328</x:v>
      </x:c>
      <x:c r="P89" s="24"/>
      <x:c r="Q89" s="24"/>
      <x:c r="R89" s="24"/>
      <x:c r="S89" s="24"/>
      <x:c r="T89" s="24"/>
      <x:c r="U89" s="24"/>
      <x:c r="V89" s="24"/>
      <x:c r="W89" s="24"/>
      <x:c r="X89" s="81" t="str">
        <x:f>IF(OR(R89="",R89=0),"",U89/R89)</x:f>
      </x:c>
      <x:c r="Y89" s="81" t="str">
        <x:f>IF(OR(Q89="",Q89=0),"",R89/Q89)</x:f>
      </x:c>
      <x:c r="Z89" s="26" t="s">
        <x:v>825</x:v>
      </x:c>
      <x:c r="AA89" s="24"/>
    </x:row>
    <x:row r="90" ht="188.10000610351562" customHeight="1">
      <x:c r="A90" s="22" t="s">
        <x:v>923</x:v>
      </x:c>
      <x:c r="B90" s="22" t="s">
        <x:v>320</x:v>
      </x:c>
      <x:c r="C90" s="22" t="s">
        <x:v>39</x:v>
      </x:c>
      <x:c r="D90" s="23" t="s">
        <x:v>321</x:v>
      </x:c>
      <x:c r="E90" s="23" t="s">
        <x:v>176</x:v>
      </x:c>
      <x:c r="F90" s="23" t="s">
        <x:v>322</x:v>
      </x:c>
      <x:c r="G90" s="23" t="s">
        <x:v>693</x:v>
      </x:c>
      <x:c r="H90" s="23" t="s">
        <x:v>695</x:v>
      </x:c>
      <x:c r="I90" s="23" t="s">
        <x:v>349</x:v>
      </x:c>
      <x:c r="J90" s="23" t="s">
        <x:v>854</x:v>
      </x:c>
      <x:c r="K90" s="23" t="s">
        <x:v>324</x:v>
      </x:c>
      <x:c r="L90" s="23" t="s">
        <x:v>325</x:v>
      </x:c>
      <x:c r="M90" s="23" t="s">
        <x:v>326</x:v>
      </x:c>
      <x:c r="N90" s="23" t="s">
        <x:v>327</x:v>
      </x:c>
      <x:c r="O90" s="23" t="s">
        <x:v>328</x:v>
      </x:c>
      <x:c r="P90" s="24"/>
      <x:c r="Q90" s="24"/>
      <x:c r="R90" s="24"/>
      <x:c r="S90" s="24"/>
      <x:c r="T90" s="24"/>
      <x:c r="U90" s="24"/>
      <x:c r="V90" s="24"/>
      <x:c r="W90" s="24"/>
      <x:c r="X90" s="81" t="str">
        <x:f>IF(OR(R90="",R90=0),"",U90/R90)</x:f>
      </x:c>
      <x:c r="Y90" s="81" t="str">
        <x:f>IF(OR(Q90="",Q90=0),"",R90/Q90)</x:f>
      </x:c>
      <x:c r="Z90" s="26" t="s">
        <x:v>825</x:v>
      </x:c>
      <x:c r="AA90" s="24"/>
    </x:row>
    <x:row r="91" ht="188.10000610351562" customHeight="1">
      <x:c r="A91" s="22" t="s">
        <x:v>924</x:v>
      </x:c>
      <x:c r="B91" s="22" t="s">
        <x:v>320</x:v>
      </x:c>
      <x:c r="C91" s="22" t="s">
        <x:v>39</x:v>
      </x:c>
      <x:c r="D91" s="23" t="s">
        <x:v>321</x:v>
      </x:c>
      <x:c r="E91" s="23" t="s">
        <x:v>176</x:v>
      </x:c>
      <x:c r="F91" s="23" t="s">
        <x:v>322</x:v>
      </x:c>
      <x:c r="G91" s="23" t="s">
        <x:v>693</x:v>
      </x:c>
      <x:c r="H91" s="23" t="s">
        <x:v>695</x:v>
      </x:c>
      <x:c r="I91" s="23" t="s">
        <x:v>843</x:v>
      </x:c>
      <x:c r="J91" s="23" t="s">
        <x:v>844</x:v>
      </x:c>
      <x:c r="K91" s="23" t="s">
        <x:v>324</x:v>
      </x:c>
      <x:c r="L91" s="23" t="s">
        <x:v>325</x:v>
      </x:c>
      <x:c r="M91" s="23" t="s">
        <x:v>326</x:v>
      </x:c>
      <x:c r="N91" s="23" t="s">
        <x:v>327</x:v>
      </x:c>
      <x:c r="O91" s="23" t="s">
        <x:v>328</x:v>
      </x:c>
      <x:c r="P91" s="24"/>
      <x:c r="Q91" s="24"/>
      <x:c r="R91" s="24"/>
      <x:c r="S91" s="24"/>
      <x:c r="T91" s="24"/>
      <x:c r="U91" s="24"/>
      <x:c r="V91" s="24"/>
      <x:c r="W91" s="24"/>
      <x:c r="X91" s="81" t="str">
        <x:f>IF(OR(R91="",R91=0),"",U91/R91)</x:f>
      </x:c>
      <x:c r="Y91" s="81" t="str">
        <x:f>IF(OR(Q91="",Q91=0),"",R91/Q91)</x:f>
      </x:c>
      <x:c r="Z91" s="26" t="s">
        <x:v>825</x:v>
      </x:c>
      <x:c r="AA91" s="24"/>
    </x:row>
    <x:row r="92" ht="188.10000610351562" customHeight="1">
      <x:c r="A92" s="22" t="s">
        <x:v>925</x:v>
      </x:c>
      <x:c r="B92" s="22" t="s">
        <x:v>329</x:v>
      </x:c>
      <x:c r="C92" s="22" t="s">
        <x:v>39</x:v>
      </x:c>
      <x:c r="D92" s="23" t="s">
        <x:v>330</x:v>
      </x:c>
      <x:c r="E92" s="23" t="s">
        <x:v>187</x:v>
      </x:c>
      <x:c r="F92" s="23" t="s">
        <x:v>331</x:v>
      </x:c>
      <x:c r="G92" s="23" t="s">
        <x:v>666</x:v>
      </x:c>
      <x:c r="H92" s="23" t="s">
        <x:v>668</x:v>
      </x:c>
      <x:c r="I92" s="23" t="s">
        <x:v>349</x:v>
      </x:c>
      <x:c r="J92" s="23" t="s">
        <x:v>854</x:v>
      </x:c>
      <x:c r="K92" s="23" t="s">
        <x:v>333</x:v>
      </x:c>
      <x:c r="L92" s="23" t="s">
        <x:v>334</x:v>
      </x:c>
      <x:c r="M92" s="23" t="s">
        <x:v>335</x:v>
      </x:c>
      <x:c r="N92" s="23" t="s">
        <x:v>336</x:v>
      </x:c>
      <x:c r="O92" s="23" t="s">
        <x:v>173</x:v>
      </x:c>
      <x:c r="P92" s="24"/>
      <x:c r="Q92" s="24"/>
      <x:c r="R92" s="24"/>
      <x:c r="S92" s="24"/>
      <x:c r="T92" s="24"/>
      <x:c r="U92" s="24"/>
      <x:c r="V92" s="24"/>
      <x:c r="W92" s="24"/>
      <x:c r="X92" s="81" t="str">
        <x:f>IF(OR(R92="",R92=0),"",U92/R92)</x:f>
      </x:c>
      <x:c r="Y92" s="81" t="str">
        <x:f>IF(OR(Q92="",Q92=0),"",R92/Q92)</x:f>
      </x:c>
      <x:c r="Z92" s="26" t="s">
        <x:v>825</x:v>
      </x:c>
      <x:c r="AA92" s="24"/>
    </x:row>
    <x:row r="93" ht="188.10000610351562" customHeight="1">
      <x:c r="A93" s="22" t="s">
        <x:v>926</x:v>
      </x:c>
      <x:c r="B93" s="22" t="s">
        <x:v>329</x:v>
      </x:c>
      <x:c r="C93" s="22" t="s">
        <x:v>39</x:v>
      </x:c>
      <x:c r="D93" s="23" t="s">
        <x:v>330</x:v>
      </x:c>
      <x:c r="E93" s="23" t="s">
        <x:v>187</x:v>
      </x:c>
      <x:c r="F93" s="23" t="s">
        <x:v>331</x:v>
      </x:c>
      <x:c r="G93" s="23" t="s">
        <x:v>666</x:v>
      </x:c>
      <x:c r="H93" s="23" t="s">
        <x:v>668</x:v>
      </x:c>
      <x:c r="I93" s="23" t="s">
        <x:v>189</x:v>
      </x:c>
      <x:c r="J93" s="23" t="s">
        <x:v>824</x:v>
      </x:c>
      <x:c r="K93" s="23" t="s">
        <x:v>333</x:v>
      </x:c>
      <x:c r="L93" s="23" t="s">
        <x:v>334</x:v>
      </x:c>
      <x:c r="M93" s="23" t="s">
        <x:v>335</x:v>
      </x:c>
      <x:c r="N93" s="23" t="s">
        <x:v>336</x:v>
      </x:c>
      <x:c r="O93" s="23" t="s">
        <x:v>173</x:v>
      </x:c>
      <x:c r="P93" s="24"/>
      <x:c r="Q93" s="24"/>
      <x:c r="R93" s="24"/>
      <x:c r="S93" s="24"/>
      <x:c r="T93" s="24"/>
      <x:c r="U93" s="24"/>
      <x:c r="V93" s="24"/>
      <x:c r="W93" s="24"/>
      <x:c r="X93" s="81" t="str">
        <x:f>IF(OR(R93="",R93=0),"",U93/R93)</x:f>
      </x:c>
      <x:c r="Y93" s="81" t="str">
        <x:f>IF(OR(Q93="",Q93=0),"",R93/Q93)</x:f>
      </x:c>
      <x:c r="Z93" s="26" t="s">
        <x:v>825</x:v>
      </x:c>
      <x:c r="AA93" s="24"/>
    </x:row>
    <x:row r="94" ht="188.10000610351562" customHeight="1">
      <x:c r="A94" s="22" t="s">
        <x:v>927</x:v>
      </x:c>
      <x:c r="B94" s="22" t="s">
        <x:v>329</x:v>
      </x:c>
      <x:c r="C94" s="22" t="s">
        <x:v>39</x:v>
      </x:c>
      <x:c r="D94" s="23" t="s">
        <x:v>330</x:v>
      </x:c>
      <x:c r="E94" s="23" t="s">
        <x:v>187</x:v>
      </x:c>
      <x:c r="F94" s="23" t="s">
        <x:v>331</x:v>
      </x:c>
      <x:c r="G94" s="23" t="s">
        <x:v>676</x:v>
      </x:c>
      <x:c r="H94" s="23" t="s">
        <x:v>678</x:v>
      </x:c>
      <x:c r="I94" s="23" t="s">
        <x:v>349</x:v>
      </x:c>
      <x:c r="J94" s="23" t="s">
        <x:v>854</x:v>
      </x:c>
      <x:c r="K94" s="23" t="s">
        <x:v>333</x:v>
      </x:c>
      <x:c r="L94" s="23" t="s">
        <x:v>334</x:v>
      </x:c>
      <x:c r="M94" s="23" t="s">
        <x:v>335</x:v>
      </x:c>
      <x:c r="N94" s="23" t="s">
        <x:v>336</x:v>
      </x:c>
      <x:c r="O94" s="23" t="s">
        <x:v>173</x:v>
      </x:c>
      <x:c r="P94" s="24"/>
      <x:c r="Q94" s="24"/>
      <x:c r="R94" s="24"/>
      <x:c r="S94" s="24"/>
      <x:c r="T94" s="24"/>
      <x:c r="U94" s="24"/>
      <x:c r="V94" s="24"/>
      <x:c r="W94" s="24"/>
      <x:c r="X94" s="81" t="str">
        <x:f>IF(OR(R94="",R94=0),"",U94/R94)</x:f>
      </x:c>
      <x:c r="Y94" s="81" t="str">
        <x:f>IF(OR(Q94="",Q94=0),"",R94/Q94)</x:f>
      </x:c>
      <x:c r="Z94" s="26" t="s">
        <x:v>825</x:v>
      </x:c>
      <x:c r="AA94" s="24"/>
    </x:row>
    <x:row r="95" ht="188.10000610351562" customHeight="1">
      <x:c r="A95" s="22" t="s">
        <x:v>928</x:v>
      </x:c>
      <x:c r="B95" s="22" t="s">
        <x:v>329</x:v>
      </x:c>
      <x:c r="C95" s="22" t="s">
        <x:v>39</x:v>
      </x:c>
      <x:c r="D95" s="23" t="s">
        <x:v>330</x:v>
      </x:c>
      <x:c r="E95" s="23" t="s">
        <x:v>187</x:v>
      </x:c>
      <x:c r="F95" s="23" t="s">
        <x:v>331</x:v>
      </x:c>
      <x:c r="G95" s="23" t="s">
        <x:v>676</x:v>
      </x:c>
      <x:c r="H95" s="23" t="s">
        <x:v>678</x:v>
      </x:c>
      <x:c r="I95" s="23" t="s">
        <x:v>189</x:v>
      </x:c>
      <x:c r="J95" s="23" t="s">
        <x:v>824</x:v>
      </x:c>
      <x:c r="K95" s="23" t="s">
        <x:v>333</x:v>
      </x:c>
      <x:c r="L95" s="23" t="s">
        <x:v>334</x:v>
      </x:c>
      <x:c r="M95" s="23" t="s">
        <x:v>335</x:v>
      </x:c>
      <x:c r="N95" s="23" t="s">
        <x:v>336</x:v>
      </x:c>
      <x:c r="O95" s="23" t="s">
        <x:v>173</x:v>
      </x:c>
      <x:c r="P95" s="24"/>
      <x:c r="Q95" s="24"/>
      <x:c r="R95" s="24"/>
      <x:c r="S95" s="24"/>
      <x:c r="T95" s="24"/>
      <x:c r="U95" s="24"/>
      <x:c r="V95" s="24"/>
      <x:c r="W95" s="24"/>
      <x:c r="X95" s="81" t="str">
        <x:f>IF(OR(R95="",R95=0),"",U95/R95)</x:f>
      </x:c>
      <x:c r="Y95" s="81" t="str">
        <x:f>IF(OR(Q95="",Q95=0),"",R95/Q95)</x:f>
      </x:c>
      <x:c r="Z95" s="26" t="s">
        <x:v>825</x:v>
      </x:c>
      <x:c r="AA95" s="24"/>
    </x:row>
    <x:row r="96" ht="188.10000610351562" customHeight="1">
      <x:c r="A96" s="22" t="s">
        <x:v>929</x:v>
      </x:c>
      <x:c r="B96" s="22" t="s">
        <x:v>329</x:v>
      </x:c>
      <x:c r="C96" s="22" t="s">
        <x:v>39</x:v>
      </x:c>
      <x:c r="D96" s="23" t="s">
        <x:v>330</x:v>
      </x:c>
      <x:c r="E96" s="23" t="s">
        <x:v>187</x:v>
      </x:c>
      <x:c r="F96" s="23" t="s">
        <x:v>331</x:v>
      </x:c>
      <x:c r="G96" s="23" t="s">
        <x:v>693</x:v>
      </x:c>
      <x:c r="H96" s="23" t="s">
        <x:v>695</x:v>
      </x:c>
      <x:c r="I96" s="23" t="s">
        <x:v>349</x:v>
      </x:c>
      <x:c r="J96" s="23" t="s">
        <x:v>854</x:v>
      </x:c>
      <x:c r="K96" s="23" t="s">
        <x:v>333</x:v>
      </x:c>
      <x:c r="L96" s="23" t="s">
        <x:v>334</x:v>
      </x:c>
      <x:c r="M96" s="23" t="s">
        <x:v>335</x:v>
      </x:c>
      <x:c r="N96" s="23" t="s">
        <x:v>336</x:v>
      </x:c>
      <x:c r="O96" s="23" t="s">
        <x:v>173</x:v>
      </x:c>
      <x:c r="P96" s="24"/>
      <x:c r="Q96" s="24"/>
      <x:c r="R96" s="24"/>
      <x:c r="S96" s="24"/>
      <x:c r="T96" s="24"/>
      <x:c r="U96" s="24"/>
      <x:c r="V96" s="24"/>
      <x:c r="W96" s="24"/>
      <x:c r="X96" s="81" t="str">
        <x:f>IF(OR(R96="",R96=0),"",U96/R96)</x:f>
      </x:c>
      <x:c r="Y96" s="81" t="str">
        <x:f>IF(OR(Q96="",Q96=0),"",R96/Q96)</x:f>
      </x:c>
      <x:c r="Z96" s="26" t="s">
        <x:v>825</x:v>
      </x:c>
      <x:c r="AA96" s="24"/>
    </x:row>
    <x:row r="97" ht="188.10000610351562" customHeight="1">
      <x:c r="A97" s="22" t="s">
        <x:v>930</x:v>
      </x:c>
      <x:c r="B97" s="22" t="s">
        <x:v>329</x:v>
      </x:c>
      <x:c r="C97" s="22" t="s">
        <x:v>39</x:v>
      </x:c>
      <x:c r="D97" s="23" t="s">
        <x:v>330</x:v>
      </x:c>
      <x:c r="E97" s="23" t="s">
        <x:v>187</x:v>
      </x:c>
      <x:c r="F97" s="23" t="s">
        <x:v>331</x:v>
      </x:c>
      <x:c r="G97" s="23" t="s">
        <x:v>693</x:v>
      </x:c>
      <x:c r="H97" s="23" t="s">
        <x:v>695</x:v>
      </x:c>
      <x:c r="I97" s="23" t="s">
        <x:v>189</x:v>
      </x:c>
      <x:c r="J97" s="23" t="s">
        <x:v>824</x:v>
      </x:c>
      <x:c r="K97" s="23" t="s">
        <x:v>333</x:v>
      </x:c>
      <x:c r="L97" s="23" t="s">
        <x:v>334</x:v>
      </x:c>
      <x:c r="M97" s="23" t="s">
        <x:v>335</x:v>
      </x:c>
      <x:c r="N97" s="23" t="s">
        <x:v>336</x:v>
      </x:c>
      <x:c r="O97" s="23" t="s">
        <x:v>173</x:v>
      </x:c>
      <x:c r="P97" s="24"/>
      <x:c r="Q97" s="24"/>
      <x:c r="R97" s="24"/>
      <x:c r="S97" s="24"/>
      <x:c r="T97" s="24"/>
      <x:c r="U97" s="24"/>
      <x:c r="V97" s="24"/>
      <x:c r="W97" s="24"/>
      <x:c r="X97" s="81" t="str">
        <x:f>IF(OR(R97="",R97=0),"",U97/R97)</x:f>
      </x:c>
      <x:c r="Y97" s="81" t="str">
        <x:f>IF(OR(Q97="",Q97=0),"",R97/Q97)</x:f>
      </x:c>
      <x:c r="Z97" s="26" t="s">
        <x:v>825</x:v>
      </x:c>
      <x:c r="AA97" s="24"/>
    </x:row>
    <x:row r="98" ht="188.10000610351562" customHeight="1">
      <x:c r="A98" s="22" t="s">
        <x:v>931</x:v>
      </x:c>
      <x:c r="B98" s="22" t="s">
        <x:v>337</x:v>
      </x:c>
      <x:c r="C98" s="22" t="s">
        <x:v>39</x:v>
      </x:c>
      <x:c r="D98" s="23" t="s">
        <x:v>338</x:v>
      </x:c>
      <x:c r="E98" s="23" t="s">
        <x:v>196</x:v>
      </x:c>
      <x:c r="F98" s="23" t="s">
        <x:v>339</x:v>
      </x:c>
      <x:c r="G98" s="23" t="s">
        <x:v>666</x:v>
      </x:c>
      <x:c r="H98" s="23" t="s">
        <x:v>668</x:v>
      </x:c>
      <x:c r="I98" s="23" t="s">
        <x:v>349</x:v>
      </x:c>
      <x:c r="J98" s="23" t="s">
        <x:v>854</x:v>
      </x:c>
      <x:c r="K98" s="23" t="s">
        <x:v>341</x:v>
      </x:c>
      <x:c r="L98" s="23" t="s">
        <x:v>342</x:v>
      </x:c>
      <x:c r="M98" s="23" t="s">
        <x:v>343</x:v>
      </x:c>
      <x:c r="N98" s="23" t="s">
        <x:v>344</x:v>
      </x:c>
      <x:c r="O98" s="23" t="s">
        <x:v>345</x:v>
      </x:c>
      <x:c r="P98" s="24"/>
      <x:c r="Q98" s="24"/>
      <x:c r="R98" s="24"/>
      <x:c r="S98" s="24"/>
      <x:c r="T98" s="24"/>
      <x:c r="U98" s="24"/>
      <x:c r="V98" s="24"/>
      <x:c r="W98" s="24"/>
      <x:c r="X98" s="81" t="str">
        <x:f>IF(OR(R98="",R98=0),"",U98/R98)</x:f>
      </x:c>
      <x:c r="Y98" s="81" t="str">
        <x:f>IF(OR(Q98="",Q98=0),"",R98/Q98)</x:f>
      </x:c>
      <x:c r="Z98" s="26" t="s">
        <x:v>825</x:v>
      </x:c>
      <x:c r="AA98" s="24"/>
    </x:row>
    <x:row r="99" ht="188.10000610351562" customHeight="1">
      <x:c r="A99" s="22" t="s">
        <x:v>932</x:v>
      </x:c>
      <x:c r="B99" s="22" t="s">
        <x:v>337</x:v>
      </x:c>
      <x:c r="C99" s="22" t="s">
        <x:v>39</x:v>
      </x:c>
      <x:c r="D99" s="23" t="s">
        <x:v>338</x:v>
      </x:c>
      <x:c r="E99" s="23" t="s">
        <x:v>196</x:v>
      </x:c>
      <x:c r="F99" s="23" t="s">
        <x:v>339</x:v>
      </x:c>
      <x:c r="G99" s="23" t="s">
        <x:v>666</x:v>
      </x:c>
      <x:c r="H99" s="23" t="s">
        <x:v>668</x:v>
      </x:c>
      <x:c r="I99" s="23" t="s">
        <x:v>429</x:v>
      </x:c>
      <x:c r="J99" s="23" t="s">
        <x:v>933</x:v>
      </x:c>
      <x:c r="K99" s="23" t="s">
        <x:v>341</x:v>
      </x:c>
      <x:c r="L99" s="23" t="s">
        <x:v>342</x:v>
      </x:c>
      <x:c r="M99" s="23" t="s">
        <x:v>343</x:v>
      </x:c>
      <x:c r="N99" s="23" t="s">
        <x:v>344</x:v>
      </x:c>
      <x:c r="O99" s="23" t="s">
        <x:v>345</x:v>
      </x:c>
      <x:c r="P99" s="24"/>
      <x:c r="Q99" s="24"/>
      <x:c r="R99" s="24"/>
      <x:c r="S99" s="24"/>
      <x:c r="T99" s="24"/>
      <x:c r="U99" s="24"/>
      <x:c r="V99" s="24"/>
      <x:c r="W99" s="24"/>
      <x:c r="X99" s="81" t="str">
        <x:f>IF(OR(R99="",R99=0),"",U99/R99)</x:f>
      </x:c>
      <x:c r="Y99" s="81" t="str">
        <x:f>IF(OR(Q99="",Q99=0),"",R99/Q99)</x:f>
      </x:c>
      <x:c r="Z99" s="26" t="s">
        <x:v>825</x:v>
      </x:c>
      <x:c r="AA99" s="24"/>
    </x:row>
    <x:row r="100" ht="188.10000610351562" customHeight="1">
      <x:c r="A100" s="22" t="s">
        <x:v>934</x:v>
      </x:c>
      <x:c r="B100" s="22" t="s">
        <x:v>337</x:v>
      </x:c>
      <x:c r="C100" s="22" t="s">
        <x:v>39</x:v>
      </x:c>
      <x:c r="D100" s="23" t="s">
        <x:v>338</x:v>
      </x:c>
      <x:c r="E100" s="23" t="s">
        <x:v>196</x:v>
      </x:c>
      <x:c r="F100" s="23" t="s">
        <x:v>339</x:v>
      </x:c>
      <x:c r="G100" s="23" t="s">
        <x:v>676</x:v>
      </x:c>
      <x:c r="H100" s="23" t="s">
        <x:v>678</x:v>
      </x:c>
      <x:c r="I100" s="23" t="s">
        <x:v>349</x:v>
      </x:c>
      <x:c r="J100" s="23" t="s">
        <x:v>854</x:v>
      </x:c>
      <x:c r="K100" s="23" t="s">
        <x:v>341</x:v>
      </x:c>
      <x:c r="L100" s="23" t="s">
        <x:v>342</x:v>
      </x:c>
      <x:c r="M100" s="23" t="s">
        <x:v>343</x:v>
      </x:c>
      <x:c r="N100" s="23" t="s">
        <x:v>344</x:v>
      </x:c>
      <x:c r="O100" s="23" t="s">
        <x:v>345</x:v>
      </x:c>
      <x:c r="P100" s="24"/>
      <x:c r="Q100" s="24"/>
      <x:c r="R100" s="24"/>
      <x:c r="S100" s="24"/>
      <x:c r="T100" s="24"/>
      <x:c r="U100" s="24"/>
      <x:c r="V100" s="24"/>
      <x:c r="W100" s="24"/>
      <x:c r="X100" s="81" t="str">
        <x:f>IF(OR(R100="",R100=0),"",U100/R100)</x:f>
      </x:c>
      <x:c r="Y100" s="81" t="str">
        <x:f>IF(OR(Q100="",Q100=0),"",R100/Q100)</x:f>
      </x:c>
      <x:c r="Z100" s="26" t="s">
        <x:v>825</x:v>
      </x:c>
      <x:c r="AA100" s="24"/>
    </x:row>
    <x:row r="101" ht="188.10000610351562" customHeight="1">
      <x:c r="A101" s="22" t="s">
        <x:v>935</x:v>
      </x:c>
      <x:c r="B101" s="22" t="s">
        <x:v>337</x:v>
      </x:c>
      <x:c r="C101" s="22" t="s">
        <x:v>39</x:v>
      </x:c>
      <x:c r="D101" s="23" t="s">
        <x:v>338</x:v>
      </x:c>
      <x:c r="E101" s="23" t="s">
        <x:v>196</x:v>
      </x:c>
      <x:c r="F101" s="23" t="s">
        <x:v>339</x:v>
      </x:c>
      <x:c r="G101" s="23" t="s">
        <x:v>676</x:v>
      </x:c>
      <x:c r="H101" s="23" t="s">
        <x:v>678</x:v>
      </x:c>
      <x:c r="I101" s="23" t="s">
        <x:v>429</x:v>
      </x:c>
      <x:c r="J101" s="23" t="s">
        <x:v>933</x:v>
      </x:c>
      <x:c r="K101" s="23" t="s">
        <x:v>341</x:v>
      </x:c>
      <x:c r="L101" s="23" t="s">
        <x:v>342</x:v>
      </x:c>
      <x:c r="M101" s="23" t="s">
        <x:v>343</x:v>
      </x:c>
      <x:c r="N101" s="23" t="s">
        <x:v>344</x:v>
      </x:c>
      <x:c r="O101" s="23" t="s">
        <x:v>345</x:v>
      </x:c>
      <x:c r="P101" s="24"/>
      <x:c r="Q101" s="24"/>
      <x:c r="R101" s="24"/>
      <x:c r="S101" s="24"/>
      <x:c r="T101" s="24"/>
      <x:c r="U101" s="24"/>
      <x:c r="V101" s="24"/>
      <x:c r="W101" s="24"/>
      <x:c r="X101" s="81" t="str">
        <x:f>IF(OR(R101="",R101=0),"",U101/R101)</x:f>
      </x:c>
      <x:c r="Y101" s="81" t="str">
        <x:f>IF(OR(Q101="",Q101=0),"",R101/Q101)</x:f>
      </x:c>
      <x:c r="Z101" s="26" t="s">
        <x:v>825</x:v>
      </x:c>
      <x:c r="AA101" s="24"/>
    </x:row>
    <x:row r="102" ht="188.10000610351562" customHeight="1">
      <x:c r="A102" s="22" t="s">
        <x:v>936</x:v>
      </x:c>
      <x:c r="B102" s="22" t="s">
        <x:v>337</x:v>
      </x:c>
      <x:c r="C102" s="22" t="s">
        <x:v>39</x:v>
      </x:c>
      <x:c r="D102" s="23" t="s">
        <x:v>338</x:v>
      </x:c>
      <x:c r="E102" s="23" t="s">
        <x:v>196</x:v>
      </x:c>
      <x:c r="F102" s="23" t="s">
        <x:v>339</x:v>
      </x:c>
      <x:c r="G102" s="23" t="s">
        <x:v>693</x:v>
      </x:c>
      <x:c r="H102" s="23" t="s">
        <x:v>695</x:v>
      </x:c>
      <x:c r="I102" s="23" t="s">
        <x:v>349</x:v>
      </x:c>
      <x:c r="J102" s="23" t="s">
        <x:v>854</x:v>
      </x:c>
      <x:c r="K102" s="23" t="s">
        <x:v>341</x:v>
      </x:c>
      <x:c r="L102" s="23" t="s">
        <x:v>342</x:v>
      </x:c>
      <x:c r="M102" s="23" t="s">
        <x:v>343</x:v>
      </x:c>
      <x:c r="N102" s="23" t="s">
        <x:v>344</x:v>
      </x:c>
      <x:c r="O102" s="23" t="s">
        <x:v>345</x:v>
      </x:c>
      <x:c r="P102" s="24"/>
      <x:c r="Q102" s="24"/>
      <x:c r="R102" s="24"/>
      <x:c r="S102" s="24"/>
      <x:c r="T102" s="24"/>
      <x:c r="U102" s="24"/>
      <x:c r="V102" s="24"/>
      <x:c r="W102" s="24"/>
      <x:c r="X102" s="81" t="str">
        <x:f>IF(OR(R102="",R102=0),"",U102/R102)</x:f>
      </x:c>
      <x:c r="Y102" s="81" t="str">
        <x:f>IF(OR(Q102="",Q102=0),"",R102/Q102)</x:f>
      </x:c>
      <x:c r="Z102" s="26" t="s">
        <x:v>825</x:v>
      </x:c>
      <x:c r="AA102" s="24"/>
    </x:row>
    <x:row r="103" ht="188.10000610351562" customHeight="1">
      <x:c r="A103" s="22" t="s">
        <x:v>937</x:v>
      </x:c>
      <x:c r="B103" s="22" t="s">
        <x:v>337</x:v>
      </x:c>
      <x:c r="C103" s="22" t="s">
        <x:v>39</x:v>
      </x:c>
      <x:c r="D103" s="23" t="s">
        <x:v>338</x:v>
      </x:c>
      <x:c r="E103" s="23" t="s">
        <x:v>196</x:v>
      </x:c>
      <x:c r="F103" s="23" t="s">
        <x:v>339</x:v>
      </x:c>
      <x:c r="G103" s="23" t="s">
        <x:v>693</x:v>
      </x:c>
      <x:c r="H103" s="23" t="s">
        <x:v>695</x:v>
      </x:c>
      <x:c r="I103" s="23" t="s">
        <x:v>429</x:v>
      </x:c>
      <x:c r="J103" s="23" t="s">
        <x:v>933</x:v>
      </x:c>
      <x:c r="K103" s="23" t="s">
        <x:v>341</x:v>
      </x:c>
      <x:c r="L103" s="23" t="s">
        <x:v>342</x:v>
      </x:c>
      <x:c r="M103" s="23" t="s">
        <x:v>343</x:v>
      </x:c>
      <x:c r="N103" s="23" t="s">
        <x:v>344</x:v>
      </x:c>
      <x:c r="O103" s="23" t="s">
        <x:v>345</x:v>
      </x:c>
      <x:c r="P103" s="24"/>
      <x:c r="Q103" s="24"/>
      <x:c r="R103" s="24"/>
      <x:c r="S103" s="24"/>
      <x:c r="T103" s="24"/>
      <x:c r="U103" s="24"/>
      <x:c r="V103" s="24"/>
      <x:c r="W103" s="24"/>
      <x:c r="X103" s="81" t="str">
        <x:f>IF(OR(R103="",R103=0),"",U103/R103)</x:f>
      </x:c>
      <x:c r="Y103" s="81" t="str">
        <x:f>IF(OR(Q103="",Q103=0),"",R103/Q103)</x:f>
      </x:c>
      <x:c r="Z103" s="26" t="s">
        <x:v>825</x:v>
      </x:c>
      <x:c r="AA103" s="24"/>
    </x:row>
    <x:row r="104" ht="188.10000610351562" customHeight="1">
      <x:c r="A104" s="22" t="s">
        <x:v>938</x:v>
      </x:c>
      <x:c r="B104" s="22" t="s">
        <x:v>346</x:v>
      </x:c>
      <x:c r="C104" s="22" t="s">
        <x:v>39</x:v>
      </x:c>
      <x:c r="D104" s="23" t="s">
        <x:v>347</x:v>
      </x:c>
      <x:c r="E104" s="23" t="s">
        <x:v>176</x:v>
      </x:c>
      <x:c r="F104" s="23" t="s">
        <x:v>348</x:v>
      </x:c>
      <x:c r="G104" s="23" t="s">
        <x:v>666</x:v>
      </x:c>
      <x:c r="H104" s="23" t="s">
        <x:v>668</x:v>
      </x:c>
      <x:c r="I104" s="23" t="s">
        <x:v>349</x:v>
      </x:c>
      <x:c r="J104" s="23" t="s">
        <x:v>854</x:v>
      </x:c>
      <x:c r="K104" s="23" t="s">
        <x:v>350</x:v>
      </x:c>
      <x:c r="L104" s="23" t="s">
        <x:v>351</x:v>
      </x:c>
      <x:c r="M104" s="23" t="s">
        <x:v>352</x:v>
      </x:c>
      <x:c r="N104" s="23" t="s">
        <x:v>353</x:v>
      </x:c>
      <x:c r="O104" s="23" t="s">
        <x:v>173</x:v>
      </x:c>
      <x:c r="P104" s="24"/>
      <x:c r="Q104" s="24"/>
      <x:c r="R104" s="24"/>
      <x:c r="S104" s="24"/>
      <x:c r="T104" s="24"/>
      <x:c r="U104" s="24"/>
      <x:c r="V104" s="24"/>
      <x:c r="W104" s="24"/>
      <x:c r="X104" s="81" t="str">
        <x:f>IF(OR(R104="",R104=0),"",U104/R104)</x:f>
      </x:c>
      <x:c r="Y104" s="81" t="str">
        <x:f>IF(OR(Q104="",Q104=0),"",R104/Q104)</x:f>
      </x:c>
      <x:c r="Z104" s="26" t="s">
        <x:v>825</x:v>
      </x:c>
      <x:c r="AA104" s="24"/>
    </x:row>
    <x:row r="105" ht="188.10000610351562" customHeight="1">
      <x:c r="A105" s="22" t="s">
        <x:v>939</x:v>
      </x:c>
      <x:c r="B105" s="22" t="s">
        <x:v>346</x:v>
      </x:c>
      <x:c r="C105" s="22" t="s">
        <x:v>39</x:v>
      </x:c>
      <x:c r="D105" s="23" t="s">
        <x:v>347</x:v>
      </x:c>
      <x:c r="E105" s="23" t="s">
        <x:v>176</x:v>
      </x:c>
      <x:c r="F105" s="23" t="s">
        <x:v>348</x:v>
      </x:c>
      <x:c r="G105" s="23" t="s">
        <x:v>684</x:v>
      </x:c>
      <x:c r="H105" s="23" t="s">
        <x:v>686</x:v>
      </x:c>
      <x:c r="I105" s="23" t="s">
        <x:v>349</x:v>
      </x:c>
      <x:c r="J105" s="23" t="s">
        <x:v>854</x:v>
      </x:c>
      <x:c r="K105" s="23" t="s">
        <x:v>350</x:v>
      </x:c>
      <x:c r="L105" s="23" t="s">
        <x:v>351</x:v>
      </x:c>
      <x:c r="M105" s="23" t="s">
        <x:v>352</x:v>
      </x:c>
      <x:c r="N105" s="23" t="s">
        <x:v>353</x:v>
      </x:c>
      <x:c r="O105" s="23" t="s">
        <x:v>173</x:v>
      </x:c>
      <x:c r="P105" s="24"/>
      <x:c r="Q105" s="24"/>
      <x:c r="R105" s="24"/>
      <x:c r="S105" s="24"/>
      <x:c r="T105" s="24"/>
      <x:c r="U105" s="24"/>
      <x:c r="V105" s="24"/>
      <x:c r="W105" s="24"/>
      <x:c r="X105" s="81" t="str">
        <x:f>IF(OR(R105="",R105=0),"",U105/R105)</x:f>
      </x:c>
      <x:c r="Y105" s="81" t="str">
        <x:f>IF(OR(Q105="",Q105=0),"",R105/Q105)</x:f>
      </x:c>
      <x:c r="Z105" s="26" t="s">
        <x:v>825</x:v>
      </x:c>
      <x:c r="AA105" s="24"/>
    </x:row>
    <x:row r="106" ht="188.10000610351562" customHeight="1">
      <x:c r="A106" s="22" t="s">
        <x:v>940</x:v>
      </x:c>
      <x:c r="B106" s="22" t="s">
        <x:v>346</x:v>
      </x:c>
      <x:c r="C106" s="22" t="s">
        <x:v>39</x:v>
      </x:c>
      <x:c r="D106" s="23" t="s">
        <x:v>347</x:v>
      </x:c>
      <x:c r="E106" s="23" t="s">
        <x:v>176</x:v>
      </x:c>
      <x:c r="F106" s="23" t="s">
        <x:v>348</x:v>
      </x:c>
      <x:c r="G106" s="23" t="s">
        <x:v>693</x:v>
      </x:c>
      <x:c r="H106" s="23" t="s">
        <x:v>695</x:v>
      </x:c>
      <x:c r="I106" s="23" t="s">
        <x:v>349</x:v>
      </x:c>
      <x:c r="J106" s="23" t="s">
        <x:v>854</x:v>
      </x:c>
      <x:c r="K106" s="23" t="s">
        <x:v>350</x:v>
      </x:c>
      <x:c r="L106" s="23" t="s">
        <x:v>351</x:v>
      </x:c>
      <x:c r="M106" s="23" t="s">
        <x:v>352</x:v>
      </x:c>
      <x:c r="N106" s="23" t="s">
        <x:v>353</x:v>
      </x:c>
      <x:c r="O106" s="23" t="s">
        <x:v>173</x:v>
      </x:c>
      <x:c r="P106" s="24"/>
      <x:c r="Q106" s="24"/>
      <x:c r="R106" s="24"/>
      <x:c r="S106" s="24"/>
      <x:c r="T106" s="24"/>
      <x:c r="U106" s="24"/>
      <x:c r="V106" s="24"/>
      <x:c r="W106" s="24"/>
      <x:c r="X106" s="81" t="str">
        <x:f>IF(OR(R106="",R106=0),"",U106/R106)</x:f>
      </x:c>
      <x:c r="Y106" s="81" t="str">
        <x:f>IF(OR(Q106="",Q106=0),"",R106/Q106)</x:f>
      </x:c>
      <x:c r="Z106" s="26" t="s">
        <x:v>825</x:v>
      </x:c>
      <x:c r="AA106" s="24"/>
    </x:row>
    <x:row r="107" ht="188.10000610351562" customHeight="1">
      <x:c r="A107" s="22" t="s">
        <x:v>941</x:v>
      </x:c>
      <x:c r="B107" s="22" t="s">
        <x:v>354</x:v>
      </x:c>
      <x:c r="C107" s="22" t="s">
        <x:v>39</x:v>
      </x:c>
      <x:c r="D107" s="23" t="s">
        <x:v>355</x:v>
      </x:c>
      <x:c r="E107" s="23" t="s">
        <x:v>176</x:v>
      </x:c>
      <x:c r="F107" s="23" t="s">
        <x:v>356</x:v>
      </x:c>
      <x:c r="G107" s="23" t="s">
        <x:v>666</x:v>
      </x:c>
      <x:c r="H107" s="23" t="s">
        <x:v>668</x:v>
      </x:c>
      <x:c r="I107" s="23" t="s">
        <x:v>349</x:v>
      </x:c>
      <x:c r="J107" s="23" t="s">
        <x:v>854</x:v>
      </x:c>
      <x:c r="K107" s="23" t="s">
        <x:v>357</x:v>
      </x:c>
      <x:c r="L107" s="23" t="s">
        <x:v>358</x:v>
      </x:c>
      <x:c r="M107" s="23" t="s">
        <x:v>359</x:v>
      </x:c>
      <x:c r="N107" s="23" t="s">
        <x:v>360</x:v>
      </x:c>
      <x:c r="O107" s="23" t="s">
        <x:v>173</x:v>
      </x:c>
      <x:c r="P107" s="24"/>
      <x:c r="Q107" s="24"/>
      <x:c r="R107" s="24"/>
      <x:c r="S107" s="24"/>
      <x:c r="T107" s="24"/>
      <x:c r="U107" s="24"/>
      <x:c r="V107" s="24"/>
      <x:c r="W107" s="24"/>
      <x:c r="X107" s="81" t="str">
        <x:f>IF(OR(R107="",R107=0),"",U107/R107)</x:f>
      </x:c>
      <x:c r="Y107" s="81" t="str">
        <x:f>IF(OR(Q107="",Q107=0),"",R107/Q107)</x:f>
      </x:c>
      <x:c r="Z107" s="26" t="s">
        <x:v>825</x:v>
      </x:c>
      <x:c r="AA107" s="24"/>
    </x:row>
    <x:row r="108" ht="188.10000610351562" customHeight="1">
      <x:c r="A108" s="22" t="s">
        <x:v>942</x:v>
      </x:c>
      <x:c r="B108" s="22" t="s">
        <x:v>354</x:v>
      </x:c>
      <x:c r="C108" s="22" t="s">
        <x:v>39</x:v>
      </x:c>
      <x:c r="D108" s="23" t="s">
        <x:v>355</x:v>
      </x:c>
      <x:c r="E108" s="23" t="s">
        <x:v>176</x:v>
      </x:c>
      <x:c r="F108" s="23" t="s">
        <x:v>356</x:v>
      </x:c>
      <x:c r="G108" s="23" t="s">
        <x:v>676</x:v>
      </x:c>
      <x:c r="H108" s="23" t="s">
        <x:v>678</x:v>
      </x:c>
      <x:c r="I108" s="23" t="s">
        <x:v>349</x:v>
      </x:c>
      <x:c r="J108" s="23" t="s">
        <x:v>854</x:v>
      </x:c>
      <x:c r="K108" s="23" t="s">
        <x:v>357</x:v>
      </x:c>
      <x:c r="L108" s="23" t="s">
        <x:v>358</x:v>
      </x:c>
      <x:c r="M108" s="23" t="s">
        <x:v>359</x:v>
      </x:c>
      <x:c r="N108" s="23" t="s">
        <x:v>360</x:v>
      </x:c>
      <x:c r="O108" s="23" t="s">
        <x:v>173</x:v>
      </x:c>
      <x:c r="P108" s="24"/>
      <x:c r="Q108" s="24"/>
      <x:c r="R108" s="24"/>
      <x:c r="S108" s="24"/>
      <x:c r="T108" s="24"/>
      <x:c r="U108" s="24"/>
      <x:c r="V108" s="24"/>
      <x:c r="W108" s="24"/>
      <x:c r="X108" s="81" t="str">
        <x:f>IF(OR(R108="",R108=0),"",U108/R108)</x:f>
      </x:c>
      <x:c r="Y108" s="81" t="str">
        <x:f>IF(OR(Q108="",Q108=0),"",R108/Q108)</x:f>
      </x:c>
      <x:c r="Z108" s="26" t="s">
        <x:v>825</x:v>
      </x:c>
      <x:c r="AA108" s="24"/>
    </x:row>
    <x:row r="109" ht="188.10000610351562" customHeight="1">
      <x:c r="A109" s="22" t="s">
        <x:v>943</x:v>
      </x:c>
      <x:c r="B109" s="22" t="s">
        <x:v>354</x:v>
      </x:c>
      <x:c r="C109" s="22" t="s">
        <x:v>39</x:v>
      </x:c>
      <x:c r="D109" s="23" t="s">
        <x:v>355</x:v>
      </x:c>
      <x:c r="E109" s="23" t="s">
        <x:v>176</x:v>
      </x:c>
      <x:c r="F109" s="23" t="s">
        <x:v>356</x:v>
      </x:c>
      <x:c r="G109" s="23" t="s">
        <x:v>693</x:v>
      </x:c>
      <x:c r="H109" s="23" t="s">
        <x:v>695</x:v>
      </x:c>
      <x:c r="I109" s="23" t="s">
        <x:v>349</x:v>
      </x:c>
      <x:c r="J109" s="23" t="s">
        <x:v>854</x:v>
      </x:c>
      <x:c r="K109" s="23" t="s">
        <x:v>357</x:v>
      </x:c>
      <x:c r="L109" s="23" t="s">
        <x:v>358</x:v>
      </x:c>
      <x:c r="M109" s="23" t="s">
        <x:v>359</x:v>
      </x:c>
      <x:c r="N109" s="23" t="s">
        <x:v>360</x:v>
      </x:c>
      <x:c r="O109" s="23" t="s">
        <x:v>173</x:v>
      </x:c>
      <x:c r="P109" s="24"/>
      <x:c r="Q109" s="24"/>
      <x:c r="R109" s="24"/>
      <x:c r="S109" s="24"/>
      <x:c r="T109" s="24"/>
      <x:c r="U109" s="24"/>
      <x:c r="V109" s="24"/>
      <x:c r="W109" s="24"/>
      <x:c r="X109" s="81" t="str">
        <x:f>IF(OR(R109="",R109=0),"",U109/R109)</x:f>
      </x:c>
      <x:c r="Y109" s="81" t="str">
        <x:f>IF(OR(Q109="",Q109=0),"",R109/Q109)</x:f>
      </x:c>
      <x:c r="Z109" s="26" t="s">
        <x:v>825</x:v>
      </x:c>
      <x:c r="AA109" s="24"/>
    </x:row>
    <x:row r="110" ht="188.10000610351562" customHeight="1">
      <x:c r="A110" s="22" t="s">
        <x:v>944</x:v>
      </x:c>
      <x:c r="B110" s="22" t="s">
        <x:v>361</x:v>
      </x:c>
      <x:c r="C110" s="22" t="s">
        <x:v>39</x:v>
      </x:c>
      <x:c r="D110" s="23" t="s">
        <x:v>362</x:v>
      </x:c>
      <x:c r="E110" s="23" t="s">
        <x:v>187</x:v>
      </x:c>
      <x:c r="F110" s="23" t="s">
        <x:v>363</x:v>
      </x:c>
      <x:c r="G110" s="23" t="s">
        <x:v>666</x:v>
      </x:c>
      <x:c r="H110" s="23" t="s">
        <x:v>668</x:v>
      </x:c>
      <x:c r="I110" s="23" t="s">
        <x:v>349</x:v>
      </x:c>
      <x:c r="J110" s="23" t="s">
        <x:v>854</x:v>
      </x:c>
      <x:c r="K110" s="23" t="s">
        <x:v>364</x:v>
      </x:c>
      <x:c r="L110" s="23" t="s">
        <x:v>365</x:v>
      </x:c>
      <x:c r="M110" s="23" t="s">
        <x:v>366</x:v>
      </x:c>
      <x:c r="N110" s="23" t="s">
        <x:v>367</x:v>
      </x:c>
      <x:c r="O110" s="23" t="s">
        <x:v>184</x:v>
      </x:c>
      <x:c r="P110" s="24"/>
      <x:c r="Q110" s="24"/>
      <x:c r="R110" s="24"/>
      <x:c r="S110" s="24"/>
      <x:c r="T110" s="24"/>
      <x:c r="U110" s="24"/>
      <x:c r="V110" s="24"/>
      <x:c r="W110" s="24"/>
      <x:c r="X110" s="81" t="str">
        <x:f>IF(OR(R110="",R110=0),"",U110/R110)</x:f>
      </x:c>
      <x:c r="Y110" s="81" t="str">
        <x:f>IF(OR(Q110="",Q110=0),"",R110/Q110)</x:f>
      </x:c>
      <x:c r="Z110" s="26" t="s">
        <x:v>825</x:v>
      </x:c>
      <x:c r="AA110" s="24"/>
    </x:row>
    <x:row r="111" ht="188.10000610351562" customHeight="1">
      <x:c r="A111" s="22" t="s">
        <x:v>945</x:v>
      </x:c>
      <x:c r="B111" s="22" t="s">
        <x:v>361</x:v>
      </x:c>
      <x:c r="C111" s="22" t="s">
        <x:v>39</x:v>
      </x:c>
      <x:c r="D111" s="23" t="s">
        <x:v>362</x:v>
      </x:c>
      <x:c r="E111" s="23" t="s">
        <x:v>187</x:v>
      </x:c>
      <x:c r="F111" s="23" t="s">
        <x:v>363</x:v>
      </x:c>
      <x:c r="G111" s="23" t="s">
        <x:v>676</x:v>
      </x:c>
      <x:c r="H111" s="23" t="s">
        <x:v>678</x:v>
      </x:c>
      <x:c r="I111" s="23" t="s">
        <x:v>349</x:v>
      </x:c>
      <x:c r="J111" s="23" t="s">
        <x:v>854</x:v>
      </x:c>
      <x:c r="K111" s="23" t="s">
        <x:v>364</x:v>
      </x:c>
      <x:c r="L111" s="23" t="s">
        <x:v>365</x:v>
      </x:c>
      <x:c r="M111" s="23" t="s">
        <x:v>366</x:v>
      </x:c>
      <x:c r="N111" s="23" t="s">
        <x:v>367</x:v>
      </x:c>
      <x:c r="O111" s="23" t="s">
        <x:v>184</x:v>
      </x:c>
      <x:c r="P111" s="24"/>
      <x:c r="Q111" s="24"/>
      <x:c r="R111" s="24"/>
      <x:c r="S111" s="24"/>
      <x:c r="T111" s="24"/>
      <x:c r="U111" s="24"/>
      <x:c r="V111" s="24"/>
      <x:c r="W111" s="24"/>
      <x:c r="X111" s="81" t="str">
        <x:f>IF(OR(R111="",R111=0),"",U111/R111)</x:f>
      </x:c>
      <x:c r="Y111" s="81" t="str">
        <x:f>IF(OR(Q111="",Q111=0),"",R111/Q111)</x:f>
      </x:c>
      <x:c r="Z111" s="26" t="s">
        <x:v>825</x:v>
      </x:c>
      <x:c r="AA111" s="24"/>
    </x:row>
    <x:row r="112" ht="188.10000610351562" customHeight="1">
      <x:c r="A112" s="22" t="s">
        <x:v>946</x:v>
      </x:c>
      <x:c r="B112" s="22" t="s">
        <x:v>361</x:v>
      </x:c>
      <x:c r="C112" s="22" t="s">
        <x:v>39</x:v>
      </x:c>
      <x:c r="D112" s="23" t="s">
        <x:v>362</x:v>
      </x:c>
      <x:c r="E112" s="23" t="s">
        <x:v>187</x:v>
      </x:c>
      <x:c r="F112" s="23" t="s">
        <x:v>363</x:v>
      </x:c>
      <x:c r="G112" s="23" t="s">
        <x:v>693</x:v>
      </x:c>
      <x:c r="H112" s="23" t="s">
        <x:v>695</x:v>
      </x:c>
      <x:c r="I112" s="23" t="s">
        <x:v>349</x:v>
      </x:c>
      <x:c r="J112" s="23" t="s">
        <x:v>854</x:v>
      </x:c>
      <x:c r="K112" s="23" t="s">
        <x:v>364</x:v>
      </x:c>
      <x:c r="L112" s="23" t="s">
        <x:v>365</x:v>
      </x:c>
      <x:c r="M112" s="23" t="s">
        <x:v>366</x:v>
      </x:c>
      <x:c r="N112" s="23" t="s">
        <x:v>367</x:v>
      </x:c>
      <x:c r="O112" s="23" t="s">
        <x:v>184</x:v>
      </x:c>
      <x:c r="P112" s="24"/>
      <x:c r="Q112" s="24"/>
      <x:c r="R112" s="24"/>
      <x:c r="S112" s="24"/>
      <x:c r="T112" s="24"/>
      <x:c r="U112" s="24"/>
      <x:c r="V112" s="24"/>
      <x:c r="W112" s="24"/>
      <x:c r="X112" s="81" t="str">
        <x:f>IF(OR(R112="",R112=0),"",U112/R112)</x:f>
      </x:c>
      <x:c r="Y112" s="81" t="str">
        <x:f>IF(OR(Q112="",Q112=0),"",R112/Q112)</x:f>
      </x:c>
      <x:c r="Z112" s="26" t="s">
        <x:v>825</x:v>
      </x:c>
      <x:c r="AA112" s="24"/>
    </x:row>
    <x:row r="113" ht="188.10000610351562" customHeight="1">
      <x:c r="A113" s="22" t="s">
        <x:v>947</x:v>
      </x:c>
      <x:c r="B113" s="22" t="s">
        <x:v>368</x:v>
      </x:c>
      <x:c r="C113" s="22" t="s">
        <x:v>39</x:v>
      </x:c>
      <x:c r="D113" s="23" t="s">
        <x:v>369</x:v>
      </x:c>
      <x:c r="E113" s="23" t="s">
        <x:v>176</x:v>
      </x:c>
      <x:c r="F113" s="23" t="s">
        <x:v>370</x:v>
      </x:c>
      <x:c r="G113" s="23" t="s">
        <x:v>666</x:v>
      </x:c>
      <x:c r="H113" s="23" t="s">
        <x:v>668</x:v>
      </x:c>
      <x:c r="I113" s="23" t="s">
        <x:v>349</x:v>
      </x:c>
      <x:c r="J113" s="23" t="s">
        <x:v>854</x:v>
      </x:c>
      <x:c r="K113" s="23" t="s">
        <x:v>373</x:v>
      </x:c>
      <x:c r="L113" s="23" t="s">
        <x:v>374</x:v>
      </x:c>
      <x:c r="M113" s="23" t="s">
        <x:v>375</x:v>
      </x:c>
      <x:c r="N113" s="23" t="s">
        <x:v>376</x:v>
      </x:c>
      <x:c r="O113" s="23" t="s">
        <x:v>377</x:v>
      </x:c>
      <x:c r="P113" s="24"/>
      <x:c r="Q113" s="24"/>
      <x:c r="R113" s="24"/>
      <x:c r="S113" s="24"/>
      <x:c r="T113" s="24"/>
      <x:c r="U113" s="24"/>
      <x:c r="V113" s="24"/>
      <x:c r="W113" s="24"/>
      <x:c r="X113" s="81" t="str">
        <x:f>IF(OR(R113="",R113=0),"",U113/R113)</x:f>
      </x:c>
      <x:c r="Y113" s="81" t="str">
        <x:f>IF(OR(Q113="",Q113=0),"",R113/Q113)</x:f>
      </x:c>
      <x:c r="Z113" s="26" t="s">
        <x:v>825</x:v>
      </x:c>
      <x:c r="AA113" s="24"/>
    </x:row>
    <x:row r="114" ht="188.10000610351562" customHeight="1">
      <x:c r="A114" s="22" t="s">
        <x:v>948</x:v>
      </x:c>
      <x:c r="B114" s="22" t="s">
        <x:v>368</x:v>
      </x:c>
      <x:c r="C114" s="22" t="s">
        <x:v>39</x:v>
      </x:c>
      <x:c r="D114" s="23" t="s">
        <x:v>369</x:v>
      </x:c>
      <x:c r="E114" s="23" t="s">
        <x:v>176</x:v>
      </x:c>
      <x:c r="F114" s="23" t="s">
        <x:v>370</x:v>
      </x:c>
      <x:c r="G114" s="23" t="s">
        <x:v>666</x:v>
      </x:c>
      <x:c r="H114" s="23" t="s">
        <x:v>668</x:v>
      </x:c>
      <x:c r="I114" s="23" t="s">
        <x:v>827</x:v>
      </x:c>
      <x:c r="J114" s="23" t="s">
        <x:v>828</x:v>
      </x:c>
      <x:c r="K114" s="23" t="s">
        <x:v>373</x:v>
      </x:c>
      <x:c r="L114" s="23" t="s">
        <x:v>374</x:v>
      </x:c>
      <x:c r="M114" s="23" t="s">
        <x:v>375</x:v>
      </x:c>
      <x:c r="N114" s="23" t="s">
        <x:v>376</x:v>
      </x:c>
      <x:c r="O114" s="23" t="s">
        <x:v>377</x:v>
      </x:c>
      <x:c r="P114" s="24"/>
      <x:c r="Q114" s="24"/>
      <x:c r="R114" s="24"/>
      <x:c r="S114" s="24"/>
      <x:c r="T114" s="24"/>
      <x:c r="U114" s="24"/>
      <x:c r="V114" s="24"/>
      <x:c r="W114" s="24"/>
      <x:c r="X114" s="81" t="str">
        <x:f>IF(OR(R114="",R114=0),"",U114/R114)</x:f>
      </x:c>
      <x:c r="Y114" s="81" t="str">
        <x:f>IF(OR(Q114="",Q114=0),"",R114/Q114)</x:f>
      </x:c>
      <x:c r="Z114" s="26" t="s">
        <x:v>825</x:v>
      </x:c>
      <x:c r="AA114" s="24"/>
    </x:row>
    <x:row r="115" ht="188.10000610351562" customHeight="1">
      <x:c r="A115" s="22" t="s">
        <x:v>949</x:v>
      </x:c>
      <x:c r="B115" s="22" t="s">
        <x:v>368</x:v>
      </x:c>
      <x:c r="C115" s="22" t="s">
        <x:v>39</x:v>
      </x:c>
      <x:c r="D115" s="23" t="s">
        <x:v>369</x:v>
      </x:c>
      <x:c r="E115" s="23" t="s">
        <x:v>176</x:v>
      </x:c>
      <x:c r="F115" s="23" t="s">
        <x:v>370</x:v>
      </x:c>
      <x:c r="G115" s="23" t="s">
        <x:v>676</x:v>
      </x:c>
      <x:c r="H115" s="23" t="s">
        <x:v>678</x:v>
      </x:c>
      <x:c r="I115" s="23" t="s">
        <x:v>349</x:v>
      </x:c>
      <x:c r="J115" s="23" t="s">
        <x:v>854</x:v>
      </x:c>
      <x:c r="K115" s="23" t="s">
        <x:v>373</x:v>
      </x:c>
      <x:c r="L115" s="23" t="s">
        <x:v>374</x:v>
      </x:c>
      <x:c r="M115" s="23" t="s">
        <x:v>375</x:v>
      </x:c>
      <x:c r="N115" s="23" t="s">
        <x:v>376</x:v>
      </x:c>
      <x:c r="O115" s="23" t="s">
        <x:v>377</x:v>
      </x:c>
      <x:c r="P115" s="24"/>
      <x:c r="Q115" s="24"/>
      <x:c r="R115" s="24"/>
      <x:c r="S115" s="24"/>
      <x:c r="T115" s="24"/>
      <x:c r="U115" s="24"/>
      <x:c r="V115" s="24"/>
      <x:c r="W115" s="24"/>
      <x:c r="X115" s="81" t="str">
        <x:f>IF(OR(R115="",R115=0),"",U115/R115)</x:f>
      </x:c>
      <x:c r="Y115" s="81" t="str">
        <x:f>IF(OR(Q115="",Q115=0),"",R115/Q115)</x:f>
      </x:c>
      <x:c r="Z115" s="26" t="s">
        <x:v>825</x:v>
      </x:c>
      <x:c r="AA115" s="24"/>
    </x:row>
    <x:row r="116" ht="188.10000610351562" customHeight="1">
      <x:c r="A116" s="22" t="s">
        <x:v>950</x:v>
      </x:c>
      <x:c r="B116" s="22" t="s">
        <x:v>368</x:v>
      </x:c>
      <x:c r="C116" s="22" t="s">
        <x:v>39</x:v>
      </x:c>
      <x:c r="D116" s="23" t="s">
        <x:v>369</x:v>
      </x:c>
      <x:c r="E116" s="23" t="s">
        <x:v>176</x:v>
      </x:c>
      <x:c r="F116" s="23" t="s">
        <x:v>370</x:v>
      </x:c>
      <x:c r="G116" s="23" t="s">
        <x:v>676</x:v>
      </x:c>
      <x:c r="H116" s="23" t="s">
        <x:v>678</x:v>
      </x:c>
      <x:c r="I116" s="23" t="s">
        <x:v>827</x:v>
      </x:c>
      <x:c r="J116" s="23" t="s">
        <x:v>828</x:v>
      </x:c>
      <x:c r="K116" s="23" t="s">
        <x:v>373</x:v>
      </x:c>
      <x:c r="L116" s="23" t="s">
        <x:v>374</x:v>
      </x:c>
      <x:c r="M116" s="23" t="s">
        <x:v>375</x:v>
      </x:c>
      <x:c r="N116" s="23" t="s">
        <x:v>376</x:v>
      </x:c>
      <x:c r="O116" s="23" t="s">
        <x:v>377</x:v>
      </x:c>
      <x:c r="P116" s="24"/>
      <x:c r="Q116" s="24"/>
      <x:c r="R116" s="24"/>
      <x:c r="S116" s="24"/>
      <x:c r="T116" s="24"/>
      <x:c r="U116" s="24"/>
      <x:c r="V116" s="24"/>
      <x:c r="W116" s="24"/>
      <x:c r="X116" s="81" t="str">
        <x:f>IF(OR(R116="",R116=0),"",U116/R116)</x:f>
      </x:c>
      <x:c r="Y116" s="81" t="str">
        <x:f>IF(OR(Q116="",Q116=0),"",R116/Q116)</x:f>
      </x:c>
      <x:c r="Z116" s="26" t="s">
        <x:v>825</x:v>
      </x:c>
      <x:c r="AA116" s="24"/>
    </x:row>
    <x:row r="117" ht="188.10000610351562" customHeight="1">
      <x:c r="A117" s="22" t="s">
        <x:v>951</x:v>
      </x:c>
      <x:c r="B117" s="22" t="s">
        <x:v>368</x:v>
      </x:c>
      <x:c r="C117" s="22" t="s">
        <x:v>39</x:v>
      </x:c>
      <x:c r="D117" s="23" t="s">
        <x:v>369</x:v>
      </x:c>
      <x:c r="E117" s="23" t="s">
        <x:v>176</x:v>
      </x:c>
      <x:c r="F117" s="23" t="s">
        <x:v>370</x:v>
      </x:c>
      <x:c r="G117" s="23" t="s">
        <x:v>167</x:v>
      </x:c>
      <x:c r="H117" s="23" t="s">
        <x:v>690</x:v>
      </x:c>
      <x:c r="I117" s="23" t="s">
        <x:v>349</x:v>
      </x:c>
      <x:c r="J117" s="23" t="s">
        <x:v>854</x:v>
      </x:c>
      <x:c r="K117" s="23" t="s">
        <x:v>373</x:v>
      </x:c>
      <x:c r="L117" s="23" t="s">
        <x:v>374</x:v>
      </x:c>
      <x:c r="M117" s="23" t="s">
        <x:v>375</x:v>
      </x:c>
      <x:c r="N117" s="23" t="s">
        <x:v>376</x:v>
      </x:c>
      <x:c r="O117" s="23" t="s">
        <x:v>377</x:v>
      </x:c>
      <x:c r="P117" s="24"/>
      <x:c r="Q117" s="24"/>
      <x:c r="R117" s="24"/>
      <x:c r="S117" s="24"/>
      <x:c r="T117" s="24"/>
      <x:c r="U117" s="24"/>
      <x:c r="V117" s="24"/>
      <x:c r="W117" s="24"/>
      <x:c r="X117" s="81" t="str">
        <x:f>IF(OR(R117="",R117=0),"",U117/R117)</x:f>
      </x:c>
      <x:c r="Y117" s="81" t="str">
        <x:f>IF(OR(Q117="",Q117=0),"",R117/Q117)</x:f>
      </x:c>
      <x:c r="Z117" s="26" t="s">
        <x:v>825</x:v>
      </x:c>
      <x:c r="AA117" s="24"/>
    </x:row>
    <x:row r="118" ht="188.10000610351562" customHeight="1">
      <x:c r="A118" s="22" t="s">
        <x:v>952</x:v>
      </x:c>
      <x:c r="B118" s="22" t="s">
        <x:v>368</x:v>
      </x:c>
      <x:c r="C118" s="22" t="s">
        <x:v>39</x:v>
      </x:c>
      <x:c r="D118" s="23" t="s">
        <x:v>369</x:v>
      </x:c>
      <x:c r="E118" s="23" t="s">
        <x:v>176</x:v>
      </x:c>
      <x:c r="F118" s="23" t="s">
        <x:v>370</x:v>
      </x:c>
      <x:c r="G118" s="23" t="s">
        <x:v>167</x:v>
      </x:c>
      <x:c r="H118" s="23" t="s">
        <x:v>690</x:v>
      </x:c>
      <x:c r="I118" s="23" t="s">
        <x:v>827</x:v>
      </x:c>
      <x:c r="J118" s="23" t="s">
        <x:v>828</x:v>
      </x:c>
      <x:c r="K118" s="23" t="s">
        <x:v>373</x:v>
      </x:c>
      <x:c r="L118" s="23" t="s">
        <x:v>374</x:v>
      </x:c>
      <x:c r="M118" s="23" t="s">
        <x:v>375</x:v>
      </x:c>
      <x:c r="N118" s="23" t="s">
        <x:v>376</x:v>
      </x:c>
      <x:c r="O118" s="23" t="s">
        <x:v>377</x:v>
      </x:c>
      <x:c r="P118" s="24"/>
      <x:c r="Q118" s="24"/>
      <x:c r="R118" s="24"/>
      <x:c r="S118" s="24"/>
      <x:c r="T118" s="24"/>
      <x:c r="U118" s="24"/>
      <x:c r="V118" s="24"/>
      <x:c r="W118" s="24"/>
      <x:c r="X118" s="81" t="str">
        <x:f>IF(OR(R118="",R118=0),"",U118/R118)</x:f>
      </x:c>
      <x:c r="Y118" s="81" t="str">
        <x:f>IF(OR(Q118="",Q118=0),"",R118/Q118)</x:f>
      </x:c>
      <x:c r="Z118" s="26" t="s">
        <x:v>825</x:v>
      </x:c>
      <x:c r="AA118" s="24"/>
    </x:row>
    <x:row r="119" ht="188.10000610351562" customHeight="1">
      <x:c r="A119" s="22" t="s">
        <x:v>953</x:v>
      </x:c>
      <x:c r="B119" s="22" t="s">
        <x:v>378</x:v>
      </x:c>
      <x:c r="C119" s="22" t="s">
        <x:v>39</x:v>
      </x:c>
      <x:c r="D119" s="23" t="s">
        <x:v>379</x:v>
      </x:c>
      <x:c r="E119" s="23" t="s">
        <x:v>205</x:v>
      </x:c>
      <x:c r="F119" s="23" t="s">
        <x:v>380</x:v>
      </x:c>
      <x:c r="G119" s="23" t="s">
        <x:v>666</x:v>
      </x:c>
      <x:c r="H119" s="23" t="s">
        <x:v>668</x:v>
      </x:c>
      <x:c r="I119" s="23" t="s">
        <x:v>349</x:v>
      </x:c>
      <x:c r="J119" s="23" t="s">
        <x:v>854</x:v>
      </x:c>
      <x:c r="K119" s="23" t="s">
        <x:v>381</x:v>
      </x:c>
      <x:c r="L119" s="23" t="s">
        <x:v>382</x:v>
      </x:c>
      <x:c r="M119" s="23" t="s">
        <x:v>383</x:v>
      </x:c>
      <x:c r="N119" s="23" t="s">
        <x:v>384</x:v>
      </x:c>
      <x:c r="O119" s="23" t="s">
        <x:v>385</x:v>
      </x:c>
      <x:c r="P119" s="24"/>
      <x:c r="Q119" s="24"/>
      <x:c r="R119" s="24"/>
      <x:c r="S119" s="24"/>
      <x:c r="T119" s="24"/>
      <x:c r="U119" s="24"/>
      <x:c r="V119" s="24"/>
      <x:c r="W119" s="24"/>
      <x:c r="X119" s="81" t="str">
        <x:f>IF(OR(R119="",R119=0),"",U119/R119)</x:f>
      </x:c>
      <x:c r="Y119" s="81" t="str">
        <x:f>IF(OR(Q119="",Q119=0),"",R119/Q119)</x:f>
      </x:c>
      <x:c r="Z119" s="26" t="s">
        <x:v>825</x:v>
      </x:c>
      <x:c r="AA119" s="24"/>
    </x:row>
    <x:row r="120" ht="188.10000610351562" customHeight="1">
      <x:c r="A120" s="22" t="s">
        <x:v>954</x:v>
      </x:c>
      <x:c r="B120" s="22" t="s">
        <x:v>378</x:v>
      </x:c>
      <x:c r="C120" s="22" t="s">
        <x:v>39</x:v>
      </x:c>
      <x:c r="D120" s="23" t="s">
        <x:v>379</x:v>
      </x:c>
      <x:c r="E120" s="23" t="s">
        <x:v>205</x:v>
      </x:c>
      <x:c r="F120" s="23" t="s">
        <x:v>380</x:v>
      </x:c>
      <x:c r="G120" s="23" t="s">
        <x:v>666</x:v>
      </x:c>
      <x:c r="H120" s="23" t="s">
        <x:v>668</x:v>
      </x:c>
      <x:c r="I120" s="23" t="s">
        <x:v>429</x:v>
      </x:c>
      <x:c r="J120" s="23" t="s">
        <x:v>933</x:v>
      </x:c>
      <x:c r="K120" s="23" t="s">
        <x:v>381</x:v>
      </x:c>
      <x:c r="L120" s="23" t="s">
        <x:v>382</x:v>
      </x:c>
      <x:c r="M120" s="23" t="s">
        <x:v>383</x:v>
      </x:c>
      <x:c r="N120" s="23" t="s">
        <x:v>384</x:v>
      </x:c>
      <x:c r="O120" s="23" t="s">
        <x:v>385</x:v>
      </x:c>
      <x:c r="P120" s="24"/>
      <x:c r="Q120" s="24"/>
      <x:c r="R120" s="24"/>
      <x:c r="S120" s="24"/>
      <x:c r="T120" s="24"/>
      <x:c r="U120" s="24"/>
      <x:c r="V120" s="24"/>
      <x:c r="W120" s="24"/>
      <x:c r="X120" s="81" t="str">
        <x:f>IF(OR(R120="",R120=0),"",U120/R120)</x:f>
      </x:c>
      <x:c r="Y120" s="81" t="str">
        <x:f>IF(OR(Q120="",Q120=0),"",R120/Q120)</x:f>
      </x:c>
      <x:c r="Z120" s="26" t="s">
        <x:v>825</x:v>
      </x:c>
      <x:c r="AA120" s="24"/>
    </x:row>
    <x:row r="121" ht="188.10000610351562" customHeight="1">
      <x:c r="A121" s="22" t="s">
        <x:v>955</x:v>
      </x:c>
      <x:c r="B121" s="22" t="s">
        <x:v>378</x:v>
      </x:c>
      <x:c r="C121" s="22" t="s">
        <x:v>39</x:v>
      </x:c>
      <x:c r="D121" s="23" t="s">
        <x:v>379</x:v>
      </x:c>
      <x:c r="E121" s="23" t="s">
        <x:v>205</x:v>
      </x:c>
      <x:c r="F121" s="23" t="s">
        <x:v>380</x:v>
      </x:c>
      <x:c r="G121" s="23" t="s">
        <x:v>684</x:v>
      </x:c>
      <x:c r="H121" s="23" t="s">
        <x:v>686</x:v>
      </x:c>
      <x:c r="I121" s="23" t="s">
        <x:v>349</x:v>
      </x:c>
      <x:c r="J121" s="23" t="s">
        <x:v>854</x:v>
      </x:c>
      <x:c r="K121" s="23" t="s">
        <x:v>381</x:v>
      </x:c>
      <x:c r="L121" s="23" t="s">
        <x:v>382</x:v>
      </x:c>
      <x:c r="M121" s="23" t="s">
        <x:v>383</x:v>
      </x:c>
      <x:c r="N121" s="23" t="s">
        <x:v>384</x:v>
      </x:c>
      <x:c r="O121" s="23" t="s">
        <x:v>385</x:v>
      </x:c>
      <x:c r="P121" s="24"/>
      <x:c r="Q121" s="24"/>
      <x:c r="R121" s="24"/>
      <x:c r="S121" s="24"/>
      <x:c r="T121" s="24"/>
      <x:c r="U121" s="24"/>
      <x:c r="V121" s="24"/>
      <x:c r="W121" s="24"/>
      <x:c r="X121" s="81" t="str">
        <x:f>IF(OR(R121="",R121=0),"",U121/R121)</x:f>
      </x:c>
      <x:c r="Y121" s="81" t="str">
        <x:f>IF(OR(Q121="",Q121=0),"",R121/Q121)</x:f>
      </x:c>
      <x:c r="Z121" s="26" t="s">
        <x:v>825</x:v>
      </x:c>
      <x:c r="AA121" s="24"/>
    </x:row>
    <x:row r="122" ht="188.10000610351562" customHeight="1">
      <x:c r="A122" s="22" t="s">
        <x:v>956</x:v>
      </x:c>
      <x:c r="B122" s="22" t="s">
        <x:v>378</x:v>
      </x:c>
      <x:c r="C122" s="22" t="s">
        <x:v>39</x:v>
      </x:c>
      <x:c r="D122" s="23" t="s">
        <x:v>379</x:v>
      </x:c>
      <x:c r="E122" s="23" t="s">
        <x:v>205</x:v>
      </x:c>
      <x:c r="F122" s="23" t="s">
        <x:v>380</x:v>
      </x:c>
      <x:c r="G122" s="23" t="s">
        <x:v>684</x:v>
      </x:c>
      <x:c r="H122" s="23" t="s">
        <x:v>686</x:v>
      </x:c>
      <x:c r="I122" s="23" t="s">
        <x:v>429</x:v>
      </x:c>
      <x:c r="J122" s="23" t="s">
        <x:v>933</x:v>
      </x:c>
      <x:c r="K122" s="23" t="s">
        <x:v>381</x:v>
      </x:c>
      <x:c r="L122" s="23" t="s">
        <x:v>382</x:v>
      </x:c>
      <x:c r="M122" s="23" t="s">
        <x:v>383</x:v>
      </x:c>
      <x:c r="N122" s="23" t="s">
        <x:v>384</x:v>
      </x:c>
      <x:c r="O122" s="23" t="s">
        <x:v>385</x:v>
      </x:c>
      <x:c r="P122" s="24"/>
      <x:c r="Q122" s="24"/>
      <x:c r="R122" s="24"/>
      <x:c r="S122" s="24"/>
      <x:c r="T122" s="24"/>
      <x:c r="U122" s="24"/>
      <x:c r="V122" s="24"/>
      <x:c r="W122" s="24"/>
      <x:c r="X122" s="81" t="str">
        <x:f>IF(OR(R122="",R122=0),"",U122/R122)</x:f>
      </x:c>
      <x:c r="Y122" s="81" t="str">
        <x:f>IF(OR(Q122="",Q122=0),"",R122/Q122)</x:f>
      </x:c>
      <x:c r="Z122" s="26" t="s">
        <x:v>825</x:v>
      </x:c>
      <x:c r="AA122" s="24"/>
    </x:row>
    <x:row r="123" ht="188.10000610351562" customHeight="1">
      <x:c r="A123" s="22" t="s">
        <x:v>957</x:v>
      </x:c>
      <x:c r="B123" s="22" t="s">
        <x:v>378</x:v>
      </x:c>
      <x:c r="C123" s="22" t="s">
        <x:v>39</x:v>
      </x:c>
      <x:c r="D123" s="23" t="s">
        <x:v>379</x:v>
      </x:c>
      <x:c r="E123" s="23" t="s">
        <x:v>205</x:v>
      </x:c>
      <x:c r="F123" s="23" t="s">
        <x:v>380</x:v>
      </x:c>
      <x:c r="G123" s="23" t="s">
        <x:v>693</x:v>
      </x:c>
      <x:c r="H123" s="23" t="s">
        <x:v>695</x:v>
      </x:c>
      <x:c r="I123" s="23" t="s">
        <x:v>349</x:v>
      </x:c>
      <x:c r="J123" s="23" t="s">
        <x:v>854</x:v>
      </x:c>
      <x:c r="K123" s="23" t="s">
        <x:v>381</x:v>
      </x:c>
      <x:c r="L123" s="23" t="s">
        <x:v>382</x:v>
      </x:c>
      <x:c r="M123" s="23" t="s">
        <x:v>383</x:v>
      </x:c>
      <x:c r="N123" s="23" t="s">
        <x:v>384</x:v>
      </x:c>
      <x:c r="O123" s="23" t="s">
        <x:v>385</x:v>
      </x:c>
      <x:c r="P123" s="24"/>
      <x:c r="Q123" s="24"/>
      <x:c r="R123" s="24"/>
      <x:c r="S123" s="24"/>
      <x:c r="T123" s="24"/>
      <x:c r="U123" s="24"/>
      <x:c r="V123" s="24"/>
      <x:c r="W123" s="24"/>
      <x:c r="X123" s="81" t="str">
        <x:f>IF(OR(R123="",R123=0),"",U123/R123)</x:f>
      </x:c>
      <x:c r="Y123" s="81" t="str">
        <x:f>IF(OR(Q123="",Q123=0),"",R123/Q123)</x:f>
      </x:c>
      <x:c r="Z123" s="26" t="s">
        <x:v>825</x:v>
      </x:c>
      <x:c r="AA123" s="24"/>
    </x:row>
    <x:row r="124" ht="188.10000610351562" customHeight="1">
      <x:c r="A124" s="22" t="s">
        <x:v>958</x:v>
      </x:c>
      <x:c r="B124" s="22" t="s">
        <x:v>378</x:v>
      </x:c>
      <x:c r="C124" s="22" t="s">
        <x:v>39</x:v>
      </x:c>
      <x:c r="D124" s="23" t="s">
        <x:v>379</x:v>
      </x:c>
      <x:c r="E124" s="23" t="s">
        <x:v>205</x:v>
      </x:c>
      <x:c r="F124" s="23" t="s">
        <x:v>380</x:v>
      </x:c>
      <x:c r="G124" s="23" t="s">
        <x:v>693</x:v>
      </x:c>
      <x:c r="H124" s="23" t="s">
        <x:v>695</x:v>
      </x:c>
      <x:c r="I124" s="23" t="s">
        <x:v>429</x:v>
      </x:c>
      <x:c r="J124" s="23" t="s">
        <x:v>933</x:v>
      </x:c>
      <x:c r="K124" s="23" t="s">
        <x:v>381</x:v>
      </x:c>
      <x:c r="L124" s="23" t="s">
        <x:v>382</x:v>
      </x:c>
      <x:c r="M124" s="23" t="s">
        <x:v>383</x:v>
      </x:c>
      <x:c r="N124" s="23" t="s">
        <x:v>384</x:v>
      </x:c>
      <x:c r="O124" s="23" t="s">
        <x:v>385</x:v>
      </x:c>
      <x:c r="P124" s="24"/>
      <x:c r="Q124" s="24"/>
      <x:c r="R124" s="24"/>
      <x:c r="S124" s="24"/>
      <x:c r="T124" s="24"/>
      <x:c r="U124" s="24"/>
      <x:c r="V124" s="24"/>
      <x:c r="W124" s="24"/>
      <x:c r="X124" s="81" t="str">
        <x:f>IF(OR(R124="",R124=0),"",U124/R124)</x:f>
      </x:c>
      <x:c r="Y124" s="81" t="str">
        <x:f>IF(OR(Q124="",Q124=0),"",R124/Q124)</x:f>
      </x:c>
      <x:c r="Z124" s="26" t="s">
        <x:v>825</x:v>
      </x:c>
      <x:c r="AA124" s="24"/>
    </x:row>
    <x:row r="125" ht="188.10000610351562" customHeight="1">
      <x:c r="A125" s="22" t="s">
        <x:v>959</x:v>
      </x:c>
      <x:c r="B125" s="22" t="s">
        <x:v>386</x:v>
      </x:c>
      <x:c r="C125" s="22" t="s">
        <x:v>39</x:v>
      </x:c>
      <x:c r="D125" s="23" t="s">
        <x:v>387</x:v>
      </x:c>
      <x:c r="E125" s="23" t="s">
        <x:v>285</x:v>
      </x:c>
      <x:c r="F125" s="23" t="s">
        <x:v>388</x:v>
      </x:c>
      <x:c r="G125" s="23" t="s">
        <x:v>666</x:v>
      </x:c>
      <x:c r="H125" s="23" t="s">
        <x:v>668</x:v>
      </x:c>
      <x:c r="I125" s="23" t="s">
        <x:v>349</x:v>
      </x:c>
      <x:c r="J125" s="23" t="s">
        <x:v>854</x:v>
      </x:c>
      <x:c r="K125" s="23" t="s">
        <x:v>288</x:v>
      </x:c>
      <x:c r="L125" s="23" t="s">
        <x:v>389</x:v>
      </x:c>
      <x:c r="M125" s="23" t="s">
        <x:v>390</x:v>
      </x:c>
      <x:c r="N125" s="23" t="s">
        <x:v>391</x:v>
      </x:c>
      <x:c r="O125" s="23" t="s">
        <x:v>392</x:v>
      </x:c>
      <x:c r="P125" s="24"/>
      <x:c r="Q125" s="24"/>
      <x:c r="R125" s="24"/>
      <x:c r="S125" s="24"/>
      <x:c r="T125" s="24"/>
      <x:c r="U125" s="24"/>
      <x:c r="V125" s="24"/>
      <x:c r="W125" s="24"/>
      <x:c r="X125" s="81" t="str">
        <x:f>IF(OR(R125="",R125=0),"",U125/R125)</x:f>
      </x:c>
      <x:c r="Y125" s="81" t="str">
        <x:f>IF(OR(Q125="",Q125=0),"",R125/Q125)</x:f>
      </x:c>
      <x:c r="Z125" s="26" t="s">
        <x:v>825</x:v>
      </x:c>
      <x:c r="AA125" s="24"/>
    </x:row>
    <x:row r="126" ht="188.10000610351562" customHeight="1">
      <x:c r="A126" s="22" t="s">
        <x:v>960</x:v>
      </x:c>
      <x:c r="B126" s="22" t="s">
        <x:v>386</x:v>
      </x:c>
      <x:c r="C126" s="22" t="s">
        <x:v>39</x:v>
      </x:c>
      <x:c r="D126" s="23" t="s">
        <x:v>387</x:v>
      </x:c>
      <x:c r="E126" s="23" t="s">
        <x:v>285</x:v>
      </x:c>
      <x:c r="F126" s="23" t="s">
        <x:v>388</x:v>
      </x:c>
      <x:c r="G126" s="23" t="s">
        <x:v>167</x:v>
      </x:c>
      <x:c r="H126" s="23" t="s">
        <x:v>690</x:v>
      </x:c>
      <x:c r="I126" s="23" t="s">
        <x:v>349</x:v>
      </x:c>
      <x:c r="J126" s="23" t="s">
        <x:v>854</x:v>
      </x:c>
      <x:c r="K126" s="23" t="s">
        <x:v>288</x:v>
      </x:c>
      <x:c r="L126" s="23" t="s">
        <x:v>389</x:v>
      </x:c>
      <x:c r="M126" s="23" t="s">
        <x:v>390</x:v>
      </x:c>
      <x:c r="N126" s="23" t="s">
        <x:v>391</x:v>
      </x:c>
      <x:c r="O126" s="23" t="s">
        <x:v>392</x:v>
      </x:c>
      <x:c r="P126" s="24"/>
      <x:c r="Q126" s="24"/>
      <x:c r="R126" s="24"/>
      <x:c r="S126" s="24"/>
      <x:c r="T126" s="24"/>
      <x:c r="U126" s="24"/>
      <x:c r="V126" s="24"/>
      <x:c r="W126" s="24"/>
      <x:c r="X126" s="81" t="str">
        <x:f>IF(OR(R126="",R126=0),"",U126/R126)</x:f>
      </x:c>
      <x:c r="Y126" s="81" t="str">
        <x:f>IF(OR(Q126="",Q126=0),"",R126/Q126)</x:f>
      </x:c>
      <x:c r="Z126" s="26" t="s">
        <x:v>825</x:v>
      </x:c>
      <x:c r="AA126" s="24"/>
    </x:row>
    <x:row r="127" ht="188.10000610351562" customHeight="1">
      <x:c r="A127" s="22" t="s">
        <x:v>961</x:v>
      </x:c>
      <x:c r="B127" s="22" t="s">
        <x:v>386</x:v>
      </x:c>
      <x:c r="C127" s="22" t="s">
        <x:v>39</x:v>
      </x:c>
      <x:c r="D127" s="23" t="s">
        <x:v>387</x:v>
      </x:c>
      <x:c r="E127" s="23" t="s">
        <x:v>285</x:v>
      </x:c>
      <x:c r="F127" s="23" t="s">
        <x:v>388</x:v>
      </x:c>
      <x:c r="G127" s="23" t="s">
        <x:v>693</x:v>
      </x:c>
      <x:c r="H127" s="23" t="s">
        <x:v>695</x:v>
      </x:c>
      <x:c r="I127" s="23" t="s">
        <x:v>349</x:v>
      </x:c>
      <x:c r="J127" s="23" t="s">
        <x:v>854</x:v>
      </x:c>
      <x:c r="K127" s="23" t="s">
        <x:v>288</x:v>
      </x:c>
      <x:c r="L127" s="23" t="s">
        <x:v>389</x:v>
      </x:c>
      <x:c r="M127" s="23" t="s">
        <x:v>390</x:v>
      </x:c>
      <x:c r="N127" s="23" t="s">
        <x:v>391</x:v>
      </x:c>
      <x:c r="O127" s="23" t="s">
        <x:v>392</x:v>
      </x:c>
      <x:c r="P127" s="24"/>
      <x:c r="Q127" s="24"/>
      <x:c r="R127" s="24"/>
      <x:c r="S127" s="24"/>
      <x:c r="T127" s="24"/>
      <x:c r="U127" s="24"/>
      <x:c r="V127" s="24"/>
      <x:c r="W127" s="24"/>
      <x:c r="X127" s="81" t="str">
        <x:f>IF(OR(R127="",R127=0),"",U127/R127)</x:f>
      </x:c>
      <x:c r="Y127" s="81" t="str">
        <x:f>IF(OR(Q127="",Q127=0),"",R127/Q127)</x:f>
      </x:c>
      <x:c r="Z127" s="26" t="s">
        <x:v>825</x:v>
      </x:c>
      <x:c r="AA127" s="24"/>
    </x:row>
    <x:row r="128" ht="188.10000610351562" customHeight="1">
      <x:c r="A128" s="22" t="s">
        <x:v>962</x:v>
      </x:c>
      <x:c r="B128" s="22" t="s">
        <x:v>393</x:v>
      </x:c>
      <x:c r="C128" s="22" t="s">
        <x:v>46</x:v>
      </x:c>
      <x:c r="D128" s="23" t="s">
        <x:v>394</x:v>
      </x:c>
      <x:c r="E128" s="23" t="s">
        <x:v>145</x:v>
      </x:c>
      <x:c r="F128" s="23" t="s">
        <x:v>395</x:v>
      </x:c>
      <x:c r="G128" s="23" t="s">
        <x:v>666</x:v>
      </x:c>
      <x:c r="H128" s="23" t="s">
        <x:v>668</x:v>
      </x:c>
      <x:c r="I128" s="23" t="s">
        <x:v>872</x:v>
      </x:c>
      <x:c r="J128" s="23" t="s">
        <x:v>873</x:v>
      </x:c>
      <x:c r="K128" s="23" t="s">
        <x:v>397</x:v>
      </x:c>
      <x:c r="L128" s="23" t="s">
        <x:v>398</x:v>
      </x:c>
      <x:c r="M128" s="23" t="s">
        <x:v>399</x:v>
      </x:c>
      <x:c r="N128" s="23" t="s">
        <x:v>400</x:v>
      </x:c>
      <x:c r="O128" s="23" t="s">
        <x:v>401</x:v>
      </x:c>
      <x:c r="P128" s="24"/>
      <x:c r="Q128" s="24"/>
      <x:c r="R128" s="24"/>
      <x:c r="S128" s="24"/>
      <x:c r="T128" s="24"/>
      <x:c r="U128" s="24"/>
      <x:c r="V128" s="24"/>
      <x:c r="W128" s="24"/>
      <x:c r="X128" s="81" t="str">
        <x:f>IF(OR(R128="",R128=0),"",U128/R128)</x:f>
      </x:c>
      <x:c r="Y128" s="81" t="str">
        <x:f>IF(OR(Q128="",Q128=0),"",R128/Q128)</x:f>
      </x:c>
      <x:c r="Z128" s="26" t="s">
        <x:v>825</x:v>
      </x:c>
      <x:c r="AA128" s="24"/>
    </x:row>
    <x:row r="129" ht="188.10000610351562" customHeight="1">
      <x:c r="A129" s="22" t="s">
        <x:v>963</x:v>
      </x:c>
      <x:c r="B129" s="22" t="s">
        <x:v>393</x:v>
      </x:c>
      <x:c r="C129" s="22" t="s">
        <x:v>46</x:v>
      </x:c>
      <x:c r="D129" s="23" t="s">
        <x:v>394</x:v>
      </x:c>
      <x:c r="E129" s="23" t="s">
        <x:v>145</x:v>
      </x:c>
      <x:c r="F129" s="23" t="s">
        <x:v>395</x:v>
      </x:c>
      <x:c r="G129" s="23" t="s">
        <x:v>666</x:v>
      </x:c>
      <x:c r="H129" s="23" t="s">
        <x:v>668</x:v>
      </x:c>
      <x:c r="I129" s="23" t="s">
        <x:v>429</x:v>
      </x:c>
      <x:c r="J129" s="23" t="s">
        <x:v>933</x:v>
      </x:c>
      <x:c r="K129" s="23" t="s">
        <x:v>397</x:v>
      </x:c>
      <x:c r="L129" s="23" t="s">
        <x:v>398</x:v>
      </x:c>
      <x:c r="M129" s="23" t="s">
        <x:v>399</x:v>
      </x:c>
      <x:c r="N129" s="23" t="s">
        <x:v>400</x:v>
      </x:c>
      <x:c r="O129" s="23" t="s">
        <x:v>401</x:v>
      </x:c>
      <x:c r="P129" s="24"/>
      <x:c r="Q129" s="24"/>
      <x:c r="R129" s="24"/>
      <x:c r="S129" s="24"/>
      <x:c r="T129" s="24"/>
      <x:c r="U129" s="24"/>
      <x:c r="V129" s="24"/>
      <x:c r="W129" s="24"/>
      <x:c r="X129" s="81" t="str">
        <x:f>IF(OR(R129="",R129=0),"",U129/R129)</x:f>
      </x:c>
      <x:c r="Y129" s="81" t="str">
        <x:f>IF(OR(Q129="",Q129=0),"",R129/Q129)</x:f>
      </x:c>
      <x:c r="Z129" s="26" t="s">
        <x:v>825</x:v>
      </x:c>
      <x:c r="AA129" s="24"/>
    </x:row>
    <x:row r="130" ht="188.10000610351562" customHeight="1">
      <x:c r="A130" s="22" t="s">
        <x:v>964</x:v>
      </x:c>
      <x:c r="B130" s="22" t="s">
        <x:v>393</x:v>
      </x:c>
      <x:c r="C130" s="22" t="s">
        <x:v>46</x:v>
      </x:c>
      <x:c r="D130" s="23" t="s">
        <x:v>394</x:v>
      </x:c>
      <x:c r="E130" s="23" t="s">
        <x:v>145</x:v>
      </x:c>
      <x:c r="F130" s="23" t="s">
        <x:v>395</x:v>
      </x:c>
      <x:c r="G130" s="23" t="s">
        <x:v>671</x:v>
      </x:c>
      <x:c r="H130" s="23" t="s">
        <x:v>673</x:v>
      </x:c>
      <x:c r="I130" s="23" t="s">
        <x:v>872</x:v>
      </x:c>
      <x:c r="J130" s="23" t="s">
        <x:v>873</x:v>
      </x:c>
      <x:c r="K130" s="23" t="s">
        <x:v>397</x:v>
      </x:c>
      <x:c r="L130" s="23" t="s">
        <x:v>398</x:v>
      </x:c>
      <x:c r="M130" s="23" t="s">
        <x:v>399</x:v>
      </x:c>
      <x:c r="N130" s="23" t="s">
        <x:v>400</x:v>
      </x:c>
      <x:c r="O130" s="23" t="s">
        <x:v>401</x:v>
      </x:c>
      <x:c r="P130" s="24"/>
      <x:c r="Q130" s="24"/>
      <x:c r="R130" s="24"/>
      <x:c r="S130" s="24"/>
      <x:c r="T130" s="24"/>
      <x:c r="U130" s="24"/>
      <x:c r="V130" s="24"/>
      <x:c r="W130" s="24"/>
      <x:c r="X130" s="81" t="str">
        <x:f>IF(OR(R130="",R130=0),"",U130/R130)</x:f>
      </x:c>
      <x:c r="Y130" s="81" t="str">
        <x:f>IF(OR(Q130="",Q130=0),"",R130/Q130)</x:f>
      </x:c>
      <x:c r="Z130" s="26" t="s">
        <x:v>825</x:v>
      </x:c>
      <x:c r="AA130" s="24"/>
    </x:row>
    <x:row r="131" ht="188.10000610351562" customHeight="1">
      <x:c r="A131" s="22" t="s">
        <x:v>965</x:v>
      </x:c>
      <x:c r="B131" s="22" t="s">
        <x:v>393</x:v>
      </x:c>
      <x:c r="C131" s="22" t="s">
        <x:v>46</x:v>
      </x:c>
      <x:c r="D131" s="23" t="s">
        <x:v>394</x:v>
      </x:c>
      <x:c r="E131" s="23" t="s">
        <x:v>145</x:v>
      </x:c>
      <x:c r="F131" s="23" t="s">
        <x:v>395</x:v>
      </x:c>
      <x:c r="G131" s="23" t="s">
        <x:v>671</x:v>
      </x:c>
      <x:c r="H131" s="23" t="s">
        <x:v>673</x:v>
      </x:c>
      <x:c r="I131" s="23" t="s">
        <x:v>429</x:v>
      </x:c>
      <x:c r="J131" s="23" t="s">
        <x:v>933</x:v>
      </x:c>
      <x:c r="K131" s="23" t="s">
        <x:v>397</x:v>
      </x:c>
      <x:c r="L131" s="23" t="s">
        <x:v>398</x:v>
      </x:c>
      <x:c r="M131" s="23" t="s">
        <x:v>399</x:v>
      </x:c>
      <x:c r="N131" s="23" t="s">
        <x:v>400</x:v>
      </x:c>
      <x:c r="O131" s="23" t="s">
        <x:v>401</x:v>
      </x:c>
      <x:c r="P131" s="24"/>
      <x:c r="Q131" s="24"/>
      <x:c r="R131" s="24"/>
      <x:c r="S131" s="24"/>
      <x:c r="T131" s="24"/>
      <x:c r="U131" s="24"/>
      <x:c r="V131" s="24"/>
      <x:c r="W131" s="24"/>
      <x:c r="X131" s="81" t="str">
        <x:f>IF(OR(R131="",R131=0),"",U131/R131)</x:f>
      </x:c>
      <x:c r="Y131" s="81" t="str">
        <x:f>IF(OR(Q131="",Q131=0),"",R131/Q131)</x:f>
      </x:c>
      <x:c r="Z131" s="26" t="s">
        <x:v>825</x:v>
      </x:c>
      <x:c r="AA131" s="24"/>
    </x:row>
    <x:row r="132" ht="188.10000610351562" customHeight="1">
      <x:c r="A132" s="22" t="s">
        <x:v>966</x:v>
      </x:c>
      <x:c r="B132" s="22" t="s">
        <x:v>393</x:v>
      </x:c>
      <x:c r="C132" s="22" t="s">
        <x:v>46</x:v>
      </x:c>
      <x:c r="D132" s="23" t="s">
        <x:v>394</x:v>
      </x:c>
      <x:c r="E132" s="23" t="s">
        <x:v>145</x:v>
      </x:c>
      <x:c r="F132" s="23" t="s">
        <x:v>395</x:v>
      </x:c>
      <x:c r="G132" s="23" t="s">
        <x:v>676</x:v>
      </x:c>
      <x:c r="H132" s="23" t="s">
        <x:v>678</x:v>
      </x:c>
      <x:c r="I132" s="23" t="s">
        <x:v>872</x:v>
      </x:c>
      <x:c r="J132" s="23" t="s">
        <x:v>873</x:v>
      </x:c>
      <x:c r="K132" s="23" t="s">
        <x:v>397</x:v>
      </x:c>
      <x:c r="L132" s="23" t="s">
        <x:v>398</x:v>
      </x:c>
      <x:c r="M132" s="23" t="s">
        <x:v>399</x:v>
      </x:c>
      <x:c r="N132" s="23" t="s">
        <x:v>400</x:v>
      </x:c>
      <x:c r="O132" s="23" t="s">
        <x:v>401</x:v>
      </x:c>
      <x:c r="P132" s="24"/>
      <x:c r="Q132" s="24"/>
      <x:c r="R132" s="24"/>
      <x:c r="S132" s="24"/>
      <x:c r="T132" s="24"/>
      <x:c r="U132" s="24"/>
      <x:c r="V132" s="24"/>
      <x:c r="W132" s="24"/>
      <x:c r="X132" s="81" t="str">
        <x:f>IF(OR(R132="",R132=0),"",U132/R132)</x:f>
      </x:c>
      <x:c r="Y132" s="81" t="str">
        <x:f>IF(OR(Q132="",Q132=0),"",R132/Q132)</x:f>
      </x:c>
      <x:c r="Z132" s="26" t="s">
        <x:v>825</x:v>
      </x:c>
      <x:c r="AA132" s="24"/>
    </x:row>
    <x:row r="133" ht="188.10000610351562" customHeight="1">
      <x:c r="A133" s="22" t="s">
        <x:v>967</x:v>
      </x:c>
      <x:c r="B133" s="22" t="s">
        <x:v>393</x:v>
      </x:c>
      <x:c r="C133" s="22" t="s">
        <x:v>46</x:v>
      </x:c>
      <x:c r="D133" s="23" t="s">
        <x:v>394</x:v>
      </x:c>
      <x:c r="E133" s="23" t="s">
        <x:v>145</x:v>
      </x:c>
      <x:c r="F133" s="23" t="s">
        <x:v>395</x:v>
      </x:c>
      <x:c r="G133" s="23" t="s">
        <x:v>676</x:v>
      </x:c>
      <x:c r="H133" s="23" t="s">
        <x:v>678</x:v>
      </x:c>
      <x:c r="I133" s="23" t="s">
        <x:v>429</x:v>
      </x:c>
      <x:c r="J133" s="23" t="s">
        <x:v>933</x:v>
      </x:c>
      <x:c r="K133" s="23" t="s">
        <x:v>397</x:v>
      </x:c>
      <x:c r="L133" s="23" t="s">
        <x:v>398</x:v>
      </x:c>
      <x:c r="M133" s="23" t="s">
        <x:v>399</x:v>
      </x:c>
      <x:c r="N133" s="23" t="s">
        <x:v>400</x:v>
      </x:c>
      <x:c r="O133" s="23" t="s">
        <x:v>401</x:v>
      </x:c>
      <x:c r="P133" s="24"/>
      <x:c r="Q133" s="24"/>
      <x:c r="R133" s="24"/>
      <x:c r="S133" s="24"/>
      <x:c r="T133" s="24"/>
      <x:c r="U133" s="24"/>
      <x:c r="V133" s="24"/>
      <x:c r="W133" s="24"/>
      <x:c r="X133" s="81" t="str">
        <x:f>IF(OR(R133="",R133=0),"",U133/R133)</x:f>
      </x:c>
      <x:c r="Y133" s="81" t="str">
        <x:f>IF(OR(Q133="",Q133=0),"",R133/Q133)</x:f>
      </x:c>
      <x:c r="Z133" s="26" t="s">
        <x:v>825</x:v>
      </x:c>
      <x:c r="AA133" s="24"/>
    </x:row>
    <x:row r="134" ht="188.10000610351562" customHeight="1">
      <x:c r="A134" s="22" t="s">
        <x:v>968</x:v>
      </x:c>
      <x:c r="B134" s="22" t="s">
        <x:v>402</x:v>
      </x:c>
      <x:c r="C134" s="22" t="s">
        <x:v>46</x:v>
      </x:c>
      <x:c r="D134" s="23" t="s">
        <x:v>403</x:v>
      </x:c>
      <x:c r="E134" s="23" t="s">
        <x:v>156</x:v>
      </x:c>
      <x:c r="F134" s="23" t="s">
        <x:v>404</x:v>
      </x:c>
      <x:c r="G134" s="23" t="s">
        <x:v>666</x:v>
      </x:c>
      <x:c r="H134" s="23" t="s">
        <x:v>668</x:v>
      </x:c>
      <x:c r="I134" s="23" t="s">
        <x:v>429</x:v>
      </x:c>
      <x:c r="J134" s="23" t="s">
        <x:v>933</x:v>
      </x:c>
      <x:c r="K134" s="23" t="s">
        <x:v>406</x:v>
      </x:c>
      <x:c r="L134" s="23" t="s">
        <x:v>407</x:v>
      </x:c>
      <x:c r="M134" s="23" t="s">
        <x:v>408</x:v>
      </x:c>
      <x:c r="N134" s="23" t="s">
        <x:v>409</x:v>
      </x:c>
      <x:c r="O134" s="23" t="s">
        <x:v>410</x:v>
      </x:c>
      <x:c r="P134" s="24"/>
      <x:c r="Q134" s="24"/>
      <x:c r="R134" s="24"/>
      <x:c r="S134" s="24"/>
      <x:c r="T134" s="24"/>
      <x:c r="U134" s="24"/>
      <x:c r="V134" s="24"/>
      <x:c r="W134" s="24"/>
      <x:c r="X134" s="81" t="str">
        <x:f>IF(OR(R134="",R134=0),"",U134/R134)</x:f>
      </x:c>
      <x:c r="Y134" s="81" t="str">
        <x:f>IF(OR(Q134="",Q134=0),"",R134/Q134)</x:f>
      </x:c>
      <x:c r="Z134" s="26" t="s">
        <x:v>825</x:v>
      </x:c>
      <x:c r="AA134" s="24"/>
    </x:row>
    <x:row r="135" ht="188.10000610351562" customHeight="1">
      <x:c r="A135" s="22" t="s">
        <x:v>969</x:v>
      </x:c>
      <x:c r="B135" s="22" t="s">
        <x:v>402</x:v>
      </x:c>
      <x:c r="C135" s="22" t="s">
        <x:v>46</x:v>
      </x:c>
      <x:c r="D135" s="23" t="s">
        <x:v>403</x:v>
      </x:c>
      <x:c r="E135" s="23" t="s">
        <x:v>156</x:v>
      </x:c>
      <x:c r="F135" s="23" t="s">
        <x:v>404</x:v>
      </x:c>
      <x:c r="G135" s="23" t="s">
        <x:v>666</x:v>
      </x:c>
      <x:c r="H135" s="23" t="s">
        <x:v>668</x:v>
      </x:c>
      <x:c r="I135" s="23" t="s">
        <x:v>872</x:v>
      </x:c>
      <x:c r="J135" s="23" t="s">
        <x:v>873</x:v>
      </x:c>
      <x:c r="K135" s="23" t="s">
        <x:v>406</x:v>
      </x:c>
      <x:c r="L135" s="23" t="s">
        <x:v>407</x:v>
      </x:c>
      <x:c r="M135" s="23" t="s">
        <x:v>408</x:v>
      </x:c>
      <x:c r="N135" s="23" t="s">
        <x:v>409</x:v>
      </x:c>
      <x:c r="O135" s="23" t="s">
        <x:v>410</x:v>
      </x:c>
      <x:c r="P135" s="24"/>
      <x:c r="Q135" s="24"/>
      <x:c r="R135" s="24"/>
      <x:c r="S135" s="24"/>
      <x:c r="T135" s="24"/>
      <x:c r="U135" s="24"/>
      <x:c r="V135" s="24"/>
      <x:c r="W135" s="24"/>
      <x:c r="X135" s="81" t="str">
        <x:f>IF(OR(R135="",R135=0),"",U135/R135)</x:f>
      </x:c>
      <x:c r="Y135" s="81" t="str">
        <x:f>IF(OR(Q135="",Q135=0),"",R135/Q135)</x:f>
      </x:c>
      <x:c r="Z135" s="26" t="s">
        <x:v>825</x:v>
      </x:c>
      <x:c r="AA135" s="24"/>
    </x:row>
    <x:row r="136" ht="188.10000610351562" customHeight="1">
      <x:c r="A136" s="22" t="s">
        <x:v>970</x:v>
      </x:c>
      <x:c r="B136" s="22" t="s">
        <x:v>402</x:v>
      </x:c>
      <x:c r="C136" s="22" t="s">
        <x:v>46</x:v>
      </x:c>
      <x:c r="D136" s="23" t="s">
        <x:v>403</x:v>
      </x:c>
      <x:c r="E136" s="23" t="s">
        <x:v>156</x:v>
      </x:c>
      <x:c r="F136" s="23" t="s">
        <x:v>404</x:v>
      </x:c>
      <x:c r="G136" s="23" t="s">
        <x:v>676</x:v>
      </x:c>
      <x:c r="H136" s="23" t="s">
        <x:v>678</x:v>
      </x:c>
      <x:c r="I136" s="23" t="s">
        <x:v>429</x:v>
      </x:c>
      <x:c r="J136" s="23" t="s">
        <x:v>933</x:v>
      </x:c>
      <x:c r="K136" s="23" t="s">
        <x:v>406</x:v>
      </x:c>
      <x:c r="L136" s="23" t="s">
        <x:v>407</x:v>
      </x:c>
      <x:c r="M136" s="23" t="s">
        <x:v>408</x:v>
      </x:c>
      <x:c r="N136" s="23" t="s">
        <x:v>409</x:v>
      </x:c>
      <x:c r="O136" s="23" t="s">
        <x:v>410</x:v>
      </x:c>
      <x:c r="P136" s="24"/>
      <x:c r="Q136" s="24"/>
      <x:c r="R136" s="24"/>
      <x:c r="S136" s="24"/>
      <x:c r="T136" s="24"/>
      <x:c r="U136" s="24"/>
      <x:c r="V136" s="24"/>
      <x:c r="W136" s="24"/>
      <x:c r="X136" s="81" t="str">
        <x:f>IF(OR(R136="",R136=0),"",U136/R136)</x:f>
      </x:c>
      <x:c r="Y136" s="81" t="str">
        <x:f>IF(OR(Q136="",Q136=0),"",R136/Q136)</x:f>
      </x:c>
      <x:c r="Z136" s="26" t="s">
        <x:v>825</x:v>
      </x:c>
      <x:c r="AA136" s="24"/>
    </x:row>
    <x:row r="137" ht="188.10000610351562" customHeight="1">
      <x:c r="A137" s="22" t="s">
        <x:v>971</x:v>
      </x:c>
      <x:c r="B137" s="22" t="s">
        <x:v>402</x:v>
      </x:c>
      <x:c r="C137" s="22" t="s">
        <x:v>46</x:v>
      </x:c>
      <x:c r="D137" s="23" t="s">
        <x:v>403</x:v>
      </x:c>
      <x:c r="E137" s="23" t="s">
        <x:v>156</x:v>
      </x:c>
      <x:c r="F137" s="23" t="s">
        <x:v>404</x:v>
      </x:c>
      <x:c r="G137" s="23" t="s">
        <x:v>676</x:v>
      </x:c>
      <x:c r="H137" s="23" t="s">
        <x:v>678</x:v>
      </x:c>
      <x:c r="I137" s="23" t="s">
        <x:v>872</x:v>
      </x:c>
      <x:c r="J137" s="23" t="s">
        <x:v>873</x:v>
      </x:c>
      <x:c r="K137" s="23" t="s">
        <x:v>406</x:v>
      </x:c>
      <x:c r="L137" s="23" t="s">
        <x:v>407</x:v>
      </x:c>
      <x:c r="M137" s="23" t="s">
        <x:v>408</x:v>
      </x:c>
      <x:c r="N137" s="23" t="s">
        <x:v>409</x:v>
      </x:c>
      <x:c r="O137" s="23" t="s">
        <x:v>410</x:v>
      </x:c>
      <x:c r="P137" s="24"/>
      <x:c r="Q137" s="24"/>
      <x:c r="R137" s="24"/>
      <x:c r="S137" s="24"/>
      <x:c r="T137" s="24"/>
      <x:c r="U137" s="24"/>
      <x:c r="V137" s="24"/>
      <x:c r="W137" s="24"/>
      <x:c r="X137" s="81" t="str">
        <x:f>IF(OR(R137="",R137=0),"",U137/R137)</x:f>
      </x:c>
      <x:c r="Y137" s="81" t="str">
        <x:f>IF(OR(Q137="",Q137=0),"",R137/Q137)</x:f>
      </x:c>
      <x:c r="Z137" s="26" t="s">
        <x:v>825</x:v>
      </x:c>
      <x:c r="AA137" s="24"/>
    </x:row>
    <x:row r="138" ht="188.10000610351562" customHeight="1">
      <x:c r="A138" s="22" t="s">
        <x:v>972</x:v>
      </x:c>
      <x:c r="B138" s="22" t="s">
        <x:v>411</x:v>
      </x:c>
      <x:c r="C138" s="22" t="s">
        <x:v>46</x:v>
      </x:c>
      <x:c r="D138" s="23" t="s">
        <x:v>412</x:v>
      </x:c>
      <x:c r="E138" s="23" t="s">
        <x:v>165</x:v>
      </x:c>
      <x:c r="F138" s="23" t="s">
        <x:v>413</x:v>
      </x:c>
      <x:c r="G138" s="23" t="s">
        <x:v>167</x:v>
      </x:c>
      <x:c r="H138" s="23" t="s">
        <x:v>690</x:v>
      </x:c>
      <x:c r="I138" s="23" t="s">
        <x:v>429</x:v>
      </x:c>
      <x:c r="J138" s="23" t="s">
        <x:v>933</x:v>
      </x:c>
      <x:c r="K138" s="23" t="s">
        <x:v>415</x:v>
      </x:c>
      <x:c r="L138" s="23" t="s">
        <x:v>416</x:v>
      </x:c>
      <x:c r="M138" s="23" t="s">
        <x:v>417</x:v>
      </x:c>
      <x:c r="N138" s="23" t="s">
        <x:v>418</x:v>
      </x:c>
      <x:c r="O138" s="23" t="s">
        <x:v>419</x:v>
      </x:c>
      <x:c r="P138" s="24"/>
      <x:c r="Q138" s="24"/>
      <x:c r="R138" s="24"/>
      <x:c r="S138" s="24"/>
      <x:c r="T138" s="24"/>
      <x:c r="U138" s="24"/>
      <x:c r="V138" s="24"/>
      <x:c r="W138" s="24"/>
      <x:c r="X138" s="81" t="str">
        <x:f>IF(OR(R138="",R138=0),"",U138/R138)</x:f>
      </x:c>
      <x:c r="Y138" s="81" t="str">
        <x:f>IF(OR(Q138="",Q138=0),"",R138/Q138)</x:f>
      </x:c>
      <x:c r="Z138" s="26" t="s">
        <x:v>825</x:v>
      </x:c>
      <x:c r="AA138" s="24"/>
    </x:row>
    <x:row r="139" ht="188.10000610351562" customHeight="1">
      <x:c r="A139" s="22" t="s">
        <x:v>973</x:v>
      </x:c>
      <x:c r="B139" s="22" t="s">
        <x:v>411</x:v>
      </x:c>
      <x:c r="C139" s="22" t="s">
        <x:v>46</x:v>
      </x:c>
      <x:c r="D139" s="23" t="s">
        <x:v>412</x:v>
      </x:c>
      <x:c r="E139" s="23" t="s">
        <x:v>165</x:v>
      </x:c>
      <x:c r="F139" s="23" t="s">
        <x:v>413</x:v>
      </x:c>
      <x:c r="G139" s="23" t="s">
        <x:v>167</x:v>
      </x:c>
      <x:c r="H139" s="23" t="s">
        <x:v>690</x:v>
      </x:c>
      <x:c r="I139" s="23" t="s">
        <x:v>839</x:v>
      </x:c>
      <x:c r="J139" s="23" t="s">
        <x:v>840</x:v>
      </x:c>
      <x:c r="K139" s="23" t="s">
        <x:v>415</x:v>
      </x:c>
      <x:c r="L139" s="23" t="s">
        <x:v>416</x:v>
      </x:c>
      <x:c r="M139" s="23" t="s">
        <x:v>417</x:v>
      </x:c>
      <x:c r="N139" s="23" t="s">
        <x:v>418</x:v>
      </x:c>
      <x:c r="O139" s="23" t="s">
        <x:v>419</x:v>
      </x:c>
      <x:c r="P139" s="24"/>
      <x:c r="Q139" s="24"/>
      <x:c r="R139" s="24"/>
      <x:c r="S139" s="24"/>
      <x:c r="T139" s="24"/>
      <x:c r="U139" s="24"/>
      <x:c r="V139" s="24"/>
      <x:c r="W139" s="24"/>
      <x:c r="X139" s="81" t="str">
        <x:f>IF(OR(R139="",R139=0),"",U139/R139)</x:f>
      </x:c>
      <x:c r="Y139" s="81" t="str">
        <x:f>IF(OR(Q139="",Q139=0),"",R139/Q139)</x:f>
      </x:c>
      <x:c r="Z139" s="26" t="s">
        <x:v>825</x:v>
      </x:c>
      <x:c r="AA139" s="24"/>
    </x:row>
    <x:row r="140" ht="188.10000610351562" customHeight="1">
      <x:c r="A140" s="22" t="s">
        <x:v>974</x:v>
      </x:c>
      <x:c r="B140" s="22" t="s">
        <x:v>420</x:v>
      </x:c>
      <x:c r="C140" s="22" t="s">
        <x:v>46</x:v>
      </x:c>
      <x:c r="D140" s="23" t="s">
        <x:v>421</x:v>
      </x:c>
      <x:c r="E140" s="23" t="s">
        <x:v>145</x:v>
      </x:c>
      <x:c r="F140" s="23" t="s">
        <x:v>422</x:v>
      </x:c>
      <x:c r="G140" s="23" t="s">
        <x:v>666</x:v>
      </x:c>
      <x:c r="H140" s="23" t="s">
        <x:v>668</x:v>
      </x:c>
      <x:c r="I140" s="23" t="s">
        <x:v>872</x:v>
      </x:c>
      <x:c r="J140" s="23" t="s">
        <x:v>873</x:v>
      </x:c>
      <x:c r="K140" s="23" t="s">
        <x:v>406</x:v>
      </x:c>
      <x:c r="L140" s="23" t="s">
        <x:v>423</x:v>
      </x:c>
      <x:c r="M140" s="23" t="s">
        <x:v>424</x:v>
      </x:c>
      <x:c r="N140" s="23" t="s">
        <x:v>425</x:v>
      </x:c>
      <x:c r="O140" s="23" t="s">
        <x:v>228</x:v>
      </x:c>
      <x:c r="P140" s="24"/>
      <x:c r="Q140" s="24"/>
      <x:c r="R140" s="24"/>
      <x:c r="S140" s="24"/>
      <x:c r="T140" s="24"/>
      <x:c r="U140" s="24"/>
      <x:c r="V140" s="24"/>
      <x:c r="W140" s="24"/>
      <x:c r="X140" s="81" t="str">
        <x:f>IF(OR(R140="",R140=0),"",U140/R140)</x:f>
      </x:c>
      <x:c r="Y140" s="81" t="str">
        <x:f>IF(OR(Q140="",Q140=0),"",R140/Q140)</x:f>
      </x:c>
      <x:c r="Z140" s="26" t="s">
        <x:v>825</x:v>
      </x:c>
      <x:c r="AA140" s="24"/>
    </x:row>
    <x:row r="141" ht="188.10000610351562" customHeight="1">
      <x:c r="A141" s="22" t="s">
        <x:v>975</x:v>
      </x:c>
      <x:c r="B141" s="22" t="s">
        <x:v>420</x:v>
      </x:c>
      <x:c r="C141" s="22" t="s">
        <x:v>46</x:v>
      </x:c>
      <x:c r="D141" s="23" t="s">
        <x:v>421</x:v>
      </x:c>
      <x:c r="E141" s="23" t="s">
        <x:v>145</x:v>
      </x:c>
      <x:c r="F141" s="23" t="s">
        <x:v>422</x:v>
      </x:c>
      <x:c r="G141" s="23" t="s">
        <x:v>666</x:v>
      </x:c>
      <x:c r="H141" s="23" t="s">
        <x:v>668</x:v>
      </x:c>
      <x:c r="I141" s="23" t="s">
        <x:v>429</x:v>
      </x:c>
      <x:c r="J141" s="23" t="s">
        <x:v>933</x:v>
      </x:c>
      <x:c r="K141" s="23" t="s">
        <x:v>406</x:v>
      </x:c>
      <x:c r="L141" s="23" t="s">
        <x:v>423</x:v>
      </x:c>
      <x:c r="M141" s="23" t="s">
        <x:v>424</x:v>
      </x:c>
      <x:c r="N141" s="23" t="s">
        <x:v>425</x:v>
      </x:c>
      <x:c r="O141" s="23" t="s">
        <x:v>228</x:v>
      </x:c>
      <x:c r="P141" s="24"/>
      <x:c r="Q141" s="24"/>
      <x:c r="R141" s="24"/>
      <x:c r="S141" s="24"/>
      <x:c r="T141" s="24"/>
      <x:c r="U141" s="24"/>
      <x:c r="V141" s="24"/>
      <x:c r="W141" s="24"/>
      <x:c r="X141" s="81" t="str">
        <x:f>IF(OR(R141="",R141=0),"",U141/R141)</x:f>
      </x:c>
      <x:c r="Y141" s="81" t="str">
        <x:f>IF(OR(Q141="",Q141=0),"",R141/Q141)</x:f>
      </x:c>
      <x:c r="Z141" s="26" t="s">
        <x:v>825</x:v>
      </x:c>
      <x:c r="AA141" s="24"/>
    </x:row>
    <x:row r="142" ht="188.10000610351562" customHeight="1">
      <x:c r="A142" s="22" t="s">
        <x:v>976</x:v>
      </x:c>
      <x:c r="B142" s="22" t="s">
        <x:v>420</x:v>
      </x:c>
      <x:c r="C142" s="22" t="s">
        <x:v>46</x:v>
      </x:c>
      <x:c r="D142" s="23" t="s">
        <x:v>421</x:v>
      </x:c>
      <x:c r="E142" s="23" t="s">
        <x:v>145</x:v>
      </x:c>
      <x:c r="F142" s="23" t="s">
        <x:v>422</x:v>
      </x:c>
      <x:c r="G142" s="23" t="s">
        <x:v>671</x:v>
      </x:c>
      <x:c r="H142" s="23" t="s">
        <x:v>673</x:v>
      </x:c>
      <x:c r="I142" s="23" t="s">
        <x:v>872</x:v>
      </x:c>
      <x:c r="J142" s="23" t="s">
        <x:v>873</x:v>
      </x:c>
      <x:c r="K142" s="23" t="s">
        <x:v>406</x:v>
      </x:c>
      <x:c r="L142" s="23" t="s">
        <x:v>423</x:v>
      </x:c>
      <x:c r="M142" s="23" t="s">
        <x:v>424</x:v>
      </x:c>
      <x:c r="N142" s="23" t="s">
        <x:v>425</x:v>
      </x:c>
      <x:c r="O142" s="23" t="s">
        <x:v>228</x:v>
      </x:c>
      <x:c r="P142" s="24"/>
      <x:c r="Q142" s="24"/>
      <x:c r="R142" s="24"/>
      <x:c r="S142" s="24"/>
      <x:c r="T142" s="24"/>
      <x:c r="U142" s="24"/>
      <x:c r="V142" s="24"/>
      <x:c r="W142" s="24"/>
      <x:c r="X142" s="81" t="str">
        <x:f>IF(OR(R142="",R142=0),"",U142/R142)</x:f>
      </x:c>
      <x:c r="Y142" s="81" t="str">
        <x:f>IF(OR(Q142="",Q142=0),"",R142/Q142)</x:f>
      </x:c>
      <x:c r="Z142" s="26" t="s">
        <x:v>825</x:v>
      </x:c>
      <x:c r="AA142" s="24"/>
    </x:row>
    <x:row r="143" ht="188.10000610351562" customHeight="1">
      <x:c r="A143" s="22" t="s">
        <x:v>977</x:v>
      </x:c>
      <x:c r="B143" s="22" t="s">
        <x:v>420</x:v>
      </x:c>
      <x:c r="C143" s="22" t="s">
        <x:v>46</x:v>
      </x:c>
      <x:c r="D143" s="23" t="s">
        <x:v>421</x:v>
      </x:c>
      <x:c r="E143" s="23" t="s">
        <x:v>145</x:v>
      </x:c>
      <x:c r="F143" s="23" t="s">
        <x:v>422</x:v>
      </x:c>
      <x:c r="G143" s="23" t="s">
        <x:v>671</x:v>
      </x:c>
      <x:c r="H143" s="23" t="s">
        <x:v>673</x:v>
      </x:c>
      <x:c r="I143" s="23" t="s">
        <x:v>429</x:v>
      </x:c>
      <x:c r="J143" s="23" t="s">
        <x:v>933</x:v>
      </x:c>
      <x:c r="K143" s="23" t="s">
        <x:v>406</x:v>
      </x:c>
      <x:c r="L143" s="23" t="s">
        <x:v>423</x:v>
      </x:c>
      <x:c r="M143" s="23" t="s">
        <x:v>424</x:v>
      </x:c>
      <x:c r="N143" s="23" t="s">
        <x:v>425</x:v>
      </x:c>
      <x:c r="O143" s="23" t="s">
        <x:v>228</x:v>
      </x:c>
      <x:c r="P143" s="24"/>
      <x:c r="Q143" s="24"/>
      <x:c r="R143" s="24"/>
      <x:c r="S143" s="24"/>
      <x:c r="T143" s="24"/>
      <x:c r="U143" s="24"/>
      <x:c r="V143" s="24"/>
      <x:c r="W143" s="24"/>
      <x:c r="X143" s="81" t="str">
        <x:f>IF(OR(R143="",R143=0),"",U143/R143)</x:f>
      </x:c>
      <x:c r="Y143" s="81" t="str">
        <x:f>IF(OR(Q143="",Q143=0),"",R143/Q143)</x:f>
      </x:c>
      <x:c r="Z143" s="26" t="s">
        <x:v>825</x:v>
      </x:c>
      <x:c r="AA143" s="24"/>
    </x:row>
    <x:row r="144" ht="188.10000610351562" customHeight="1">
      <x:c r="A144" s="22" t="s">
        <x:v>978</x:v>
      </x:c>
      <x:c r="B144" s="22" t="s">
        <x:v>420</x:v>
      </x:c>
      <x:c r="C144" s="22" t="s">
        <x:v>46</x:v>
      </x:c>
      <x:c r="D144" s="23" t="s">
        <x:v>421</x:v>
      </x:c>
      <x:c r="E144" s="23" t="s">
        <x:v>145</x:v>
      </x:c>
      <x:c r="F144" s="23" t="s">
        <x:v>422</x:v>
      </x:c>
      <x:c r="G144" s="23" t="s">
        <x:v>676</x:v>
      </x:c>
      <x:c r="H144" s="23" t="s">
        <x:v>678</x:v>
      </x:c>
      <x:c r="I144" s="23" t="s">
        <x:v>872</x:v>
      </x:c>
      <x:c r="J144" s="23" t="s">
        <x:v>873</x:v>
      </x:c>
      <x:c r="K144" s="23" t="s">
        <x:v>406</x:v>
      </x:c>
      <x:c r="L144" s="23" t="s">
        <x:v>423</x:v>
      </x:c>
      <x:c r="M144" s="23" t="s">
        <x:v>424</x:v>
      </x:c>
      <x:c r="N144" s="23" t="s">
        <x:v>425</x:v>
      </x:c>
      <x:c r="O144" s="23" t="s">
        <x:v>228</x:v>
      </x:c>
      <x:c r="P144" s="24"/>
      <x:c r="Q144" s="24"/>
      <x:c r="R144" s="24"/>
      <x:c r="S144" s="24"/>
      <x:c r="T144" s="24"/>
      <x:c r="U144" s="24"/>
      <x:c r="V144" s="24"/>
      <x:c r="W144" s="24"/>
      <x:c r="X144" s="81" t="str">
        <x:f>IF(OR(R144="",R144=0),"",U144/R144)</x:f>
      </x:c>
      <x:c r="Y144" s="81" t="str">
        <x:f>IF(OR(Q144="",Q144=0),"",R144/Q144)</x:f>
      </x:c>
      <x:c r="Z144" s="26" t="s">
        <x:v>825</x:v>
      </x:c>
      <x:c r="AA144" s="24"/>
    </x:row>
    <x:row r="145" ht="188.10000610351562" customHeight="1">
      <x:c r="A145" s="22" t="s">
        <x:v>979</x:v>
      </x:c>
      <x:c r="B145" s="22" t="s">
        <x:v>420</x:v>
      </x:c>
      <x:c r="C145" s="22" t="s">
        <x:v>46</x:v>
      </x:c>
      <x:c r="D145" s="23" t="s">
        <x:v>421</x:v>
      </x:c>
      <x:c r="E145" s="23" t="s">
        <x:v>145</x:v>
      </x:c>
      <x:c r="F145" s="23" t="s">
        <x:v>422</x:v>
      </x:c>
      <x:c r="G145" s="23" t="s">
        <x:v>676</x:v>
      </x:c>
      <x:c r="H145" s="23" t="s">
        <x:v>678</x:v>
      </x:c>
      <x:c r="I145" s="23" t="s">
        <x:v>429</x:v>
      </x:c>
      <x:c r="J145" s="23" t="s">
        <x:v>933</x:v>
      </x:c>
      <x:c r="K145" s="23" t="s">
        <x:v>406</x:v>
      </x:c>
      <x:c r="L145" s="23" t="s">
        <x:v>423</x:v>
      </x:c>
      <x:c r="M145" s="23" t="s">
        <x:v>424</x:v>
      </x:c>
      <x:c r="N145" s="23" t="s">
        <x:v>425</x:v>
      </x:c>
      <x:c r="O145" s="23" t="s">
        <x:v>228</x:v>
      </x:c>
      <x:c r="P145" s="24"/>
      <x:c r="Q145" s="24"/>
      <x:c r="R145" s="24"/>
      <x:c r="S145" s="24"/>
      <x:c r="T145" s="24"/>
      <x:c r="U145" s="24"/>
      <x:c r="V145" s="24"/>
      <x:c r="W145" s="24"/>
      <x:c r="X145" s="81" t="str">
        <x:f>IF(OR(R145="",R145=0),"",U145/R145)</x:f>
      </x:c>
      <x:c r="Y145" s="81" t="str">
        <x:f>IF(OR(Q145="",Q145=0),"",R145/Q145)</x:f>
      </x:c>
      <x:c r="Z145" s="26" t="s">
        <x:v>825</x:v>
      </x:c>
      <x:c r="AA145" s="24"/>
    </x:row>
    <x:row r="146" ht="188.10000610351562" customHeight="1">
      <x:c r="A146" s="22" t="s">
        <x:v>980</x:v>
      </x:c>
      <x:c r="B146" s="22" t="s">
        <x:v>426</x:v>
      </x:c>
      <x:c r="C146" s="22" t="s">
        <x:v>46</x:v>
      </x:c>
      <x:c r="D146" s="23" t="s">
        <x:v>427</x:v>
      </x:c>
      <x:c r="E146" s="23" t="s">
        <x:v>176</x:v>
      </x:c>
      <x:c r="F146" s="23" t="s">
        <x:v>428</x:v>
      </x:c>
      <x:c r="G146" s="23" t="s">
        <x:v>666</x:v>
      </x:c>
      <x:c r="H146" s="23" t="s">
        <x:v>668</x:v>
      </x:c>
      <x:c r="I146" s="23" t="s">
        <x:v>429</x:v>
      </x:c>
      <x:c r="J146" s="23" t="s">
        <x:v>933</x:v>
      </x:c>
      <x:c r="K146" s="23" t="s">
        <x:v>430</x:v>
      </x:c>
      <x:c r="L146" s="23" t="s">
        <x:v>431</x:v>
      </x:c>
      <x:c r="M146" s="23" t="s">
        <x:v>432</x:v>
      </x:c>
      <x:c r="N146" s="23" t="s">
        <x:v>433</x:v>
      </x:c>
      <x:c r="O146" s="23" t="s">
        <x:v>184</x:v>
      </x:c>
      <x:c r="P146" s="24"/>
      <x:c r="Q146" s="24"/>
      <x:c r="R146" s="24"/>
      <x:c r="S146" s="24"/>
      <x:c r="T146" s="24"/>
      <x:c r="U146" s="24"/>
      <x:c r="V146" s="24"/>
      <x:c r="W146" s="24"/>
      <x:c r="X146" s="81" t="str">
        <x:f>IF(OR(R146="",R146=0),"",U146/R146)</x:f>
      </x:c>
      <x:c r="Y146" s="81" t="str">
        <x:f>IF(OR(Q146="",Q146=0),"",R146/Q146)</x:f>
      </x:c>
      <x:c r="Z146" s="26" t="s">
        <x:v>825</x:v>
      </x:c>
      <x:c r="AA146" s="24"/>
    </x:row>
    <x:row r="147" ht="188.10000610351562" customHeight="1">
      <x:c r="A147" s="22" t="s">
        <x:v>981</x:v>
      </x:c>
      <x:c r="B147" s="22" t="s">
        <x:v>426</x:v>
      </x:c>
      <x:c r="C147" s="22" t="s">
        <x:v>46</x:v>
      </x:c>
      <x:c r="D147" s="23" t="s">
        <x:v>427</x:v>
      </x:c>
      <x:c r="E147" s="23" t="s">
        <x:v>176</x:v>
      </x:c>
      <x:c r="F147" s="23" t="s">
        <x:v>428</x:v>
      </x:c>
      <x:c r="G147" s="23" t="s">
        <x:v>676</x:v>
      </x:c>
      <x:c r="H147" s="23" t="s">
        <x:v>678</x:v>
      </x:c>
      <x:c r="I147" s="23" t="s">
        <x:v>429</x:v>
      </x:c>
      <x:c r="J147" s="23" t="s">
        <x:v>933</x:v>
      </x:c>
      <x:c r="K147" s="23" t="s">
        <x:v>430</x:v>
      </x:c>
      <x:c r="L147" s="23" t="s">
        <x:v>431</x:v>
      </x:c>
      <x:c r="M147" s="23" t="s">
        <x:v>432</x:v>
      </x:c>
      <x:c r="N147" s="23" t="s">
        <x:v>433</x:v>
      </x:c>
      <x:c r="O147" s="23" t="s">
        <x:v>184</x:v>
      </x:c>
      <x:c r="P147" s="24"/>
      <x:c r="Q147" s="24"/>
      <x:c r="R147" s="24"/>
      <x:c r="S147" s="24"/>
      <x:c r="T147" s="24"/>
      <x:c r="U147" s="24"/>
      <x:c r="V147" s="24"/>
      <x:c r="W147" s="24"/>
      <x:c r="X147" s="81" t="str">
        <x:f>IF(OR(R147="",R147=0),"",U147/R147)</x:f>
      </x:c>
      <x:c r="Y147" s="81" t="str">
        <x:f>IF(OR(Q147="",Q147=0),"",R147/Q147)</x:f>
      </x:c>
      <x:c r="Z147" s="26" t="s">
        <x:v>825</x:v>
      </x:c>
      <x:c r="AA147" s="24"/>
    </x:row>
    <x:row r="148" ht="188.10000610351562" customHeight="1">
      <x:c r="A148" s="22" t="s">
        <x:v>982</x:v>
      </x:c>
      <x:c r="B148" s="22" t="s">
        <x:v>426</x:v>
      </x:c>
      <x:c r="C148" s="22" t="s">
        <x:v>46</x:v>
      </x:c>
      <x:c r="D148" s="23" t="s">
        <x:v>427</x:v>
      </x:c>
      <x:c r="E148" s="23" t="s">
        <x:v>176</x:v>
      </x:c>
      <x:c r="F148" s="23" t="s">
        <x:v>428</x:v>
      </x:c>
      <x:c r="G148" s="23" t="s">
        <x:v>693</x:v>
      </x:c>
      <x:c r="H148" s="23" t="s">
        <x:v>695</x:v>
      </x:c>
      <x:c r="I148" s="23" t="s">
        <x:v>429</x:v>
      </x:c>
      <x:c r="J148" s="23" t="s">
        <x:v>933</x:v>
      </x:c>
      <x:c r="K148" s="23" t="s">
        <x:v>430</x:v>
      </x:c>
      <x:c r="L148" s="23" t="s">
        <x:v>431</x:v>
      </x:c>
      <x:c r="M148" s="23" t="s">
        <x:v>432</x:v>
      </x:c>
      <x:c r="N148" s="23" t="s">
        <x:v>433</x:v>
      </x:c>
      <x:c r="O148" s="23" t="s">
        <x:v>184</x:v>
      </x:c>
      <x:c r="P148" s="24"/>
      <x:c r="Q148" s="24"/>
      <x:c r="R148" s="24"/>
      <x:c r="S148" s="24"/>
      <x:c r="T148" s="24"/>
      <x:c r="U148" s="24"/>
      <x:c r="V148" s="24"/>
      <x:c r="W148" s="24"/>
      <x:c r="X148" s="81" t="str">
        <x:f>IF(OR(R148="",R148=0),"",U148/R148)</x:f>
      </x:c>
      <x:c r="Y148" s="81" t="str">
        <x:f>IF(OR(Q148="",Q148=0),"",R148/Q148)</x:f>
      </x:c>
      <x:c r="Z148" s="26" t="s">
        <x:v>825</x:v>
      </x:c>
      <x:c r="AA148" s="24"/>
    </x:row>
    <x:row r="149" ht="188.10000610351562" customHeight="1">
      <x:c r="A149" s="22" t="s">
        <x:v>983</x:v>
      </x:c>
      <x:c r="B149" s="22" t="s">
        <x:v>434</x:v>
      </x:c>
      <x:c r="C149" s="22" t="s">
        <x:v>46</x:v>
      </x:c>
      <x:c r="D149" s="23" t="s">
        <x:v>435</x:v>
      </x:c>
      <x:c r="E149" s="23" t="s">
        <x:v>196</x:v>
      </x:c>
      <x:c r="F149" s="23" t="s">
        <x:v>436</x:v>
      </x:c>
      <x:c r="G149" s="23" t="s">
        <x:v>666</x:v>
      </x:c>
      <x:c r="H149" s="23" t="s">
        <x:v>668</x:v>
      </x:c>
      <x:c r="I149" s="23" t="s">
        <x:v>429</x:v>
      </x:c>
      <x:c r="J149" s="23" t="s">
        <x:v>933</x:v>
      </x:c>
      <x:c r="K149" s="23" t="s">
        <x:v>437</x:v>
      </x:c>
      <x:c r="L149" s="23" t="s">
        <x:v>438</x:v>
      </x:c>
      <x:c r="M149" s="23" t="s">
        <x:v>439</x:v>
      </x:c>
      <x:c r="N149" s="23" t="s">
        <x:v>440</x:v>
      </x:c>
      <x:c r="O149" s="23" t="s">
        <x:v>441</x:v>
      </x:c>
      <x:c r="P149" s="24"/>
      <x:c r="Q149" s="24"/>
      <x:c r="R149" s="24"/>
      <x:c r="S149" s="24"/>
      <x:c r="T149" s="24"/>
      <x:c r="U149" s="24"/>
      <x:c r="V149" s="24"/>
      <x:c r="W149" s="24"/>
      <x:c r="X149" s="81" t="str">
        <x:f>IF(OR(R149="",R149=0),"",U149/R149)</x:f>
      </x:c>
      <x:c r="Y149" s="81" t="str">
        <x:f>IF(OR(Q149="",Q149=0),"",R149/Q149)</x:f>
      </x:c>
      <x:c r="Z149" s="26" t="s">
        <x:v>825</x:v>
      </x:c>
      <x:c r="AA149" s="24"/>
    </x:row>
    <x:row r="150" ht="188.10000610351562" customHeight="1">
      <x:c r="A150" s="22" t="s">
        <x:v>984</x:v>
      </x:c>
      <x:c r="B150" s="22" t="s">
        <x:v>434</x:v>
      </x:c>
      <x:c r="C150" s="22" t="s">
        <x:v>46</x:v>
      </x:c>
      <x:c r="D150" s="23" t="s">
        <x:v>435</x:v>
      </x:c>
      <x:c r="E150" s="23" t="s">
        <x:v>196</x:v>
      </x:c>
      <x:c r="F150" s="23" t="s">
        <x:v>436</x:v>
      </x:c>
      <x:c r="G150" s="23" t="s">
        <x:v>676</x:v>
      </x:c>
      <x:c r="H150" s="23" t="s">
        <x:v>678</x:v>
      </x:c>
      <x:c r="I150" s="23" t="s">
        <x:v>429</x:v>
      </x:c>
      <x:c r="J150" s="23" t="s">
        <x:v>933</x:v>
      </x:c>
      <x:c r="K150" s="23" t="s">
        <x:v>437</x:v>
      </x:c>
      <x:c r="L150" s="23" t="s">
        <x:v>438</x:v>
      </x:c>
      <x:c r="M150" s="23" t="s">
        <x:v>439</x:v>
      </x:c>
      <x:c r="N150" s="23" t="s">
        <x:v>440</x:v>
      </x:c>
      <x:c r="O150" s="23" t="s">
        <x:v>441</x:v>
      </x:c>
      <x:c r="P150" s="24"/>
      <x:c r="Q150" s="24"/>
      <x:c r="R150" s="24"/>
      <x:c r="S150" s="24"/>
      <x:c r="T150" s="24"/>
      <x:c r="U150" s="24"/>
      <x:c r="V150" s="24"/>
      <x:c r="W150" s="24"/>
      <x:c r="X150" s="81" t="str">
        <x:f>IF(OR(R150="",R150=0),"",U150/R150)</x:f>
      </x:c>
      <x:c r="Y150" s="81" t="str">
        <x:f>IF(OR(Q150="",Q150=0),"",R150/Q150)</x:f>
      </x:c>
      <x:c r="Z150" s="26" t="s">
        <x:v>825</x:v>
      </x:c>
      <x:c r="AA150" s="24"/>
    </x:row>
    <x:row r="151" ht="188.10000610351562" customHeight="1">
      <x:c r="A151" s="22" t="s">
        <x:v>985</x:v>
      </x:c>
      <x:c r="B151" s="22" t="s">
        <x:v>434</x:v>
      </x:c>
      <x:c r="C151" s="22" t="s">
        <x:v>46</x:v>
      </x:c>
      <x:c r="D151" s="23" t="s">
        <x:v>435</x:v>
      </x:c>
      <x:c r="E151" s="23" t="s">
        <x:v>196</x:v>
      </x:c>
      <x:c r="F151" s="23" t="s">
        <x:v>436</x:v>
      </x:c>
      <x:c r="G151" s="23" t="s">
        <x:v>167</x:v>
      </x:c>
      <x:c r="H151" s="23" t="s">
        <x:v>690</x:v>
      </x:c>
      <x:c r="I151" s="23" t="s">
        <x:v>429</x:v>
      </x:c>
      <x:c r="J151" s="23" t="s">
        <x:v>933</x:v>
      </x:c>
      <x:c r="K151" s="23" t="s">
        <x:v>437</x:v>
      </x:c>
      <x:c r="L151" s="23" t="s">
        <x:v>438</x:v>
      </x:c>
      <x:c r="M151" s="23" t="s">
        <x:v>439</x:v>
      </x:c>
      <x:c r="N151" s="23" t="s">
        <x:v>440</x:v>
      </x:c>
      <x:c r="O151" s="23" t="s">
        <x:v>441</x:v>
      </x:c>
      <x:c r="P151" s="24"/>
      <x:c r="Q151" s="24"/>
      <x:c r="R151" s="24"/>
      <x:c r="S151" s="24"/>
      <x:c r="T151" s="24"/>
      <x:c r="U151" s="24"/>
      <x:c r="V151" s="24"/>
      <x:c r="W151" s="24"/>
      <x:c r="X151" s="81" t="str">
        <x:f>IF(OR(R151="",R151=0),"",U151/R151)</x:f>
      </x:c>
      <x:c r="Y151" s="81" t="str">
        <x:f>IF(OR(Q151="",Q151=0),"",R151/Q151)</x:f>
      </x:c>
      <x:c r="Z151" s="26" t="s">
        <x:v>825</x:v>
      </x:c>
      <x:c r="AA151" s="24"/>
    </x:row>
    <x:row r="152" ht="188.10000610351562" customHeight="1">
      <x:c r="A152" s="22" t="s">
        <x:v>986</x:v>
      </x:c>
      <x:c r="B152" s="22" t="s">
        <x:v>442</x:v>
      </x:c>
      <x:c r="C152" s="22" t="s">
        <x:v>46</x:v>
      </x:c>
      <x:c r="D152" s="23" t="s">
        <x:v>443</x:v>
      </x:c>
      <x:c r="E152" s="23" t="s">
        <x:v>196</x:v>
      </x:c>
      <x:c r="F152" s="23" t="s">
        <x:v>444</x:v>
      </x:c>
      <x:c r="G152" s="23" t="s">
        <x:v>666</x:v>
      </x:c>
      <x:c r="H152" s="23" t="s">
        <x:v>668</x:v>
      </x:c>
      <x:c r="I152" s="23" t="s">
        <x:v>429</x:v>
      </x:c>
      <x:c r="J152" s="23" t="s">
        <x:v>933</x:v>
      </x:c>
      <x:c r="K152" s="23" t="s">
        <x:v>446</x:v>
      </x:c>
      <x:c r="L152" s="23" t="s">
        <x:v>447</x:v>
      </x:c>
      <x:c r="M152" s="23" t="s">
        <x:v>448</x:v>
      </x:c>
      <x:c r="N152" s="23" t="s">
        <x:v>449</x:v>
      </x:c>
      <x:c r="O152" s="23" t="s">
        <x:v>184</x:v>
      </x:c>
      <x:c r="P152" s="24"/>
      <x:c r="Q152" s="24"/>
      <x:c r="R152" s="24"/>
      <x:c r="S152" s="24"/>
      <x:c r="T152" s="24"/>
      <x:c r="U152" s="24"/>
      <x:c r="V152" s="24"/>
      <x:c r="W152" s="24"/>
      <x:c r="X152" s="81" t="str">
        <x:f>IF(OR(R152="",R152=0),"",U152/R152)</x:f>
      </x:c>
      <x:c r="Y152" s="81" t="str">
        <x:f>IF(OR(Q152="",Q152=0),"",R152/Q152)</x:f>
      </x:c>
      <x:c r="Z152" s="26" t="s">
        <x:v>825</x:v>
      </x:c>
      <x:c r="AA152" s="24"/>
    </x:row>
    <x:row r="153" ht="188.10000610351562" customHeight="1">
      <x:c r="A153" s="22" t="s">
        <x:v>987</x:v>
      </x:c>
      <x:c r="B153" s="22" t="s">
        <x:v>442</x:v>
      </x:c>
      <x:c r="C153" s="22" t="s">
        <x:v>46</x:v>
      </x:c>
      <x:c r="D153" s="23" t="s">
        <x:v>443</x:v>
      </x:c>
      <x:c r="E153" s="23" t="s">
        <x:v>196</x:v>
      </x:c>
      <x:c r="F153" s="23" t="s">
        <x:v>444</x:v>
      </x:c>
      <x:c r="G153" s="23" t="s">
        <x:v>676</x:v>
      </x:c>
      <x:c r="H153" s="23" t="s">
        <x:v>678</x:v>
      </x:c>
      <x:c r="I153" s="23" t="s">
        <x:v>429</x:v>
      </x:c>
      <x:c r="J153" s="23" t="s">
        <x:v>933</x:v>
      </x:c>
      <x:c r="K153" s="23" t="s">
        <x:v>446</x:v>
      </x:c>
      <x:c r="L153" s="23" t="s">
        <x:v>447</x:v>
      </x:c>
      <x:c r="M153" s="23" t="s">
        <x:v>448</x:v>
      </x:c>
      <x:c r="N153" s="23" t="s">
        <x:v>449</x:v>
      </x:c>
      <x:c r="O153" s="23" t="s">
        <x:v>184</x:v>
      </x:c>
      <x:c r="P153" s="24"/>
      <x:c r="Q153" s="24"/>
      <x:c r="R153" s="24"/>
      <x:c r="S153" s="24"/>
      <x:c r="T153" s="24"/>
      <x:c r="U153" s="24"/>
      <x:c r="V153" s="24"/>
      <x:c r="W153" s="24"/>
      <x:c r="X153" s="81" t="str">
        <x:f>IF(OR(R153="",R153=0),"",U153/R153)</x:f>
      </x:c>
      <x:c r="Y153" s="81" t="str">
        <x:f>IF(OR(Q153="",Q153=0),"",R153/Q153)</x:f>
      </x:c>
      <x:c r="Z153" s="26" t="s">
        <x:v>825</x:v>
      </x:c>
      <x:c r="AA153" s="24"/>
    </x:row>
    <x:row r="154" ht="188.10000610351562" customHeight="1">
      <x:c r="A154" s="22" t="s">
        <x:v>988</x:v>
      </x:c>
      <x:c r="B154" s="22" t="s">
        <x:v>442</x:v>
      </x:c>
      <x:c r="C154" s="22" t="s">
        <x:v>46</x:v>
      </x:c>
      <x:c r="D154" s="23" t="s">
        <x:v>443</x:v>
      </x:c>
      <x:c r="E154" s="23" t="s">
        <x:v>196</x:v>
      </x:c>
      <x:c r="F154" s="23" t="s">
        <x:v>444</x:v>
      </x:c>
      <x:c r="G154" s="23" t="s">
        <x:v>167</x:v>
      </x:c>
      <x:c r="H154" s="23" t="s">
        <x:v>690</x:v>
      </x:c>
      <x:c r="I154" s="23" t="s">
        <x:v>429</x:v>
      </x:c>
      <x:c r="J154" s="23" t="s">
        <x:v>933</x:v>
      </x:c>
      <x:c r="K154" s="23" t="s">
        <x:v>446</x:v>
      </x:c>
      <x:c r="L154" s="23" t="s">
        <x:v>447</x:v>
      </x:c>
      <x:c r="M154" s="23" t="s">
        <x:v>448</x:v>
      </x:c>
      <x:c r="N154" s="23" t="s">
        <x:v>449</x:v>
      </x:c>
      <x:c r="O154" s="23" t="s">
        <x:v>184</x:v>
      </x:c>
      <x:c r="P154" s="24"/>
      <x:c r="Q154" s="24"/>
      <x:c r="R154" s="24"/>
      <x:c r="S154" s="24"/>
      <x:c r="T154" s="24"/>
      <x:c r="U154" s="24"/>
      <x:c r="V154" s="24"/>
      <x:c r="W154" s="24"/>
      <x:c r="X154" s="81" t="str">
        <x:f>IF(OR(R154="",R154=0),"",U154/R154)</x:f>
      </x:c>
      <x:c r="Y154" s="81" t="str">
        <x:f>IF(OR(Q154="",Q154=0),"",R154/Q154)</x:f>
      </x:c>
      <x:c r="Z154" s="26" t="s">
        <x:v>825</x:v>
      </x:c>
      <x:c r="AA154" s="24"/>
    </x:row>
    <x:row r="155" ht="188.10000610351562" customHeight="1">
      <x:c r="A155" s="22" t="s">
        <x:v>989</x:v>
      </x:c>
      <x:c r="B155" s="22" t="s">
        <x:v>442</x:v>
      </x:c>
      <x:c r="C155" s="22" t="s">
        <x:v>46</x:v>
      </x:c>
      <x:c r="D155" s="23" t="s">
        <x:v>443</x:v>
      </x:c>
      <x:c r="E155" s="23" t="s">
        <x:v>196</x:v>
      </x:c>
      <x:c r="F155" s="23" t="s">
        <x:v>444</x:v>
      </x:c>
      <x:c r="G155" s="23" t="s">
        <x:v>693</x:v>
      </x:c>
      <x:c r="H155" s="23" t="s">
        <x:v>695</x:v>
      </x:c>
      <x:c r="I155" s="23" t="s">
        <x:v>429</x:v>
      </x:c>
      <x:c r="J155" s="23" t="s">
        <x:v>933</x:v>
      </x:c>
      <x:c r="K155" s="23" t="s">
        <x:v>446</x:v>
      </x:c>
      <x:c r="L155" s="23" t="s">
        <x:v>447</x:v>
      </x:c>
      <x:c r="M155" s="23" t="s">
        <x:v>448</x:v>
      </x:c>
      <x:c r="N155" s="23" t="s">
        <x:v>449</x:v>
      </x:c>
      <x:c r="O155" s="23" t="s">
        <x:v>184</x:v>
      </x:c>
      <x:c r="P155" s="24"/>
      <x:c r="Q155" s="24"/>
      <x:c r="R155" s="24"/>
      <x:c r="S155" s="24"/>
      <x:c r="T155" s="24"/>
      <x:c r="U155" s="24"/>
      <x:c r="V155" s="24"/>
      <x:c r="W155" s="24"/>
      <x:c r="X155" s="81" t="str">
        <x:f>IF(OR(R155="",R155=0),"",U155/R155)</x:f>
      </x:c>
      <x:c r="Y155" s="81" t="str">
        <x:f>IF(OR(Q155="",Q155=0),"",R155/Q155)</x:f>
      </x:c>
      <x:c r="Z155" s="26" t="s">
        <x:v>825</x:v>
      </x:c>
      <x:c r="AA155" s="24"/>
    </x:row>
    <x:row r="156" ht="188.10000610351562" customHeight="1">
      <x:c r="A156" s="22" t="s">
        <x:v>990</x:v>
      </x:c>
      <x:c r="B156" s="22" t="s">
        <x:v>450</x:v>
      </x:c>
      <x:c r="C156" s="22" t="s">
        <x:v>46</x:v>
      </x:c>
      <x:c r="D156" s="23" t="s">
        <x:v>451</x:v>
      </x:c>
      <x:c r="E156" s="23" t="s">
        <x:v>176</x:v>
      </x:c>
      <x:c r="F156" s="23" t="s">
        <x:v>452</x:v>
      </x:c>
      <x:c r="G156" s="23" t="s">
        <x:v>666</x:v>
      </x:c>
      <x:c r="H156" s="23" t="s">
        <x:v>668</x:v>
      </x:c>
      <x:c r="I156" s="23" t="s">
        <x:v>429</x:v>
      </x:c>
      <x:c r="J156" s="23" t="s">
        <x:v>933</x:v>
      </x:c>
      <x:c r="K156" s="23" t="s">
        <x:v>454</x:v>
      </x:c>
      <x:c r="L156" s="23" t="s">
        <x:v>455</x:v>
      </x:c>
      <x:c r="M156" s="23" t="s">
        <x:v>456</x:v>
      </x:c>
      <x:c r="N156" s="23" t="s">
        <x:v>457</x:v>
      </x:c>
      <x:c r="O156" s="23" t="s">
        <x:v>458</x:v>
      </x:c>
      <x:c r="P156" s="24"/>
      <x:c r="Q156" s="24"/>
      <x:c r="R156" s="24"/>
      <x:c r="S156" s="24"/>
      <x:c r="T156" s="24"/>
      <x:c r="U156" s="24"/>
      <x:c r="V156" s="24"/>
      <x:c r="W156" s="24"/>
      <x:c r="X156" s="81" t="str">
        <x:f>IF(OR(R156="",R156=0),"",U156/R156)</x:f>
      </x:c>
      <x:c r="Y156" s="81" t="str">
        <x:f>IF(OR(Q156="",Q156=0),"",R156/Q156)</x:f>
      </x:c>
      <x:c r="Z156" s="26" t="s">
        <x:v>825</x:v>
      </x:c>
      <x:c r="AA156" s="24"/>
    </x:row>
    <x:row r="157" ht="188.10000610351562" customHeight="1">
      <x:c r="A157" s="22" t="s">
        <x:v>991</x:v>
      </x:c>
      <x:c r="B157" s="22" t="s">
        <x:v>450</x:v>
      </x:c>
      <x:c r="C157" s="22" t="s">
        <x:v>46</x:v>
      </x:c>
      <x:c r="D157" s="23" t="s">
        <x:v>451</x:v>
      </x:c>
      <x:c r="E157" s="23" t="s">
        <x:v>176</x:v>
      </x:c>
      <x:c r="F157" s="23" t="s">
        <x:v>452</x:v>
      </x:c>
      <x:c r="G157" s="23" t="s">
        <x:v>666</x:v>
      </x:c>
      <x:c r="H157" s="23" t="s">
        <x:v>668</x:v>
      </x:c>
      <x:c r="I157" s="23" t="s">
        <x:v>501</x:v>
      </x:c>
      <x:c r="J157" s="23" t="s">
        <x:v>992</x:v>
      </x:c>
      <x:c r="K157" s="23" t="s">
        <x:v>454</x:v>
      </x:c>
      <x:c r="L157" s="23" t="s">
        <x:v>455</x:v>
      </x:c>
      <x:c r="M157" s="23" t="s">
        <x:v>456</x:v>
      </x:c>
      <x:c r="N157" s="23" t="s">
        <x:v>457</x:v>
      </x:c>
      <x:c r="O157" s="23" t="s">
        <x:v>458</x:v>
      </x:c>
      <x:c r="P157" s="24"/>
      <x:c r="Q157" s="24"/>
      <x:c r="R157" s="24"/>
      <x:c r="S157" s="24"/>
      <x:c r="T157" s="24"/>
      <x:c r="U157" s="24"/>
      <x:c r="V157" s="24"/>
      <x:c r="W157" s="24"/>
      <x:c r="X157" s="81" t="str">
        <x:f>IF(OR(R157="",R157=0),"",U157/R157)</x:f>
      </x:c>
      <x:c r="Y157" s="81" t="str">
        <x:f>IF(OR(Q157="",Q157=0),"",R157/Q157)</x:f>
      </x:c>
      <x:c r="Z157" s="26" t="s">
        <x:v>825</x:v>
      </x:c>
      <x:c r="AA157" s="24"/>
    </x:row>
    <x:row r="158" ht="188.10000610351562" customHeight="1">
      <x:c r="A158" s="22" t="s">
        <x:v>993</x:v>
      </x:c>
      <x:c r="B158" s="22" t="s">
        <x:v>450</x:v>
      </x:c>
      <x:c r="C158" s="22" t="s">
        <x:v>46</x:v>
      </x:c>
      <x:c r="D158" s="23" t="s">
        <x:v>451</x:v>
      </x:c>
      <x:c r="E158" s="23" t="s">
        <x:v>176</x:v>
      </x:c>
      <x:c r="F158" s="23" t="s">
        <x:v>452</x:v>
      </x:c>
      <x:c r="G158" s="23" t="s">
        <x:v>676</x:v>
      </x:c>
      <x:c r="H158" s="23" t="s">
        <x:v>678</x:v>
      </x:c>
      <x:c r="I158" s="23" t="s">
        <x:v>429</x:v>
      </x:c>
      <x:c r="J158" s="23" t="s">
        <x:v>933</x:v>
      </x:c>
      <x:c r="K158" s="23" t="s">
        <x:v>454</x:v>
      </x:c>
      <x:c r="L158" s="23" t="s">
        <x:v>455</x:v>
      </x:c>
      <x:c r="M158" s="23" t="s">
        <x:v>456</x:v>
      </x:c>
      <x:c r="N158" s="23" t="s">
        <x:v>457</x:v>
      </x:c>
      <x:c r="O158" s="23" t="s">
        <x:v>458</x:v>
      </x:c>
      <x:c r="P158" s="24"/>
      <x:c r="Q158" s="24"/>
      <x:c r="R158" s="24"/>
      <x:c r="S158" s="24"/>
      <x:c r="T158" s="24"/>
      <x:c r="U158" s="24"/>
      <x:c r="V158" s="24"/>
      <x:c r="W158" s="24"/>
      <x:c r="X158" s="81" t="str">
        <x:f>IF(OR(R158="",R158=0),"",U158/R158)</x:f>
      </x:c>
      <x:c r="Y158" s="81" t="str">
        <x:f>IF(OR(Q158="",Q158=0),"",R158/Q158)</x:f>
      </x:c>
      <x:c r="Z158" s="26" t="s">
        <x:v>825</x:v>
      </x:c>
      <x:c r="AA158" s="24"/>
    </x:row>
    <x:row r="159" ht="188.10000610351562" customHeight="1">
      <x:c r="A159" s="22" t="s">
        <x:v>994</x:v>
      </x:c>
      <x:c r="B159" s="22" t="s">
        <x:v>450</x:v>
      </x:c>
      <x:c r="C159" s="22" t="s">
        <x:v>46</x:v>
      </x:c>
      <x:c r="D159" s="23" t="s">
        <x:v>451</x:v>
      </x:c>
      <x:c r="E159" s="23" t="s">
        <x:v>176</x:v>
      </x:c>
      <x:c r="F159" s="23" t="s">
        <x:v>452</x:v>
      </x:c>
      <x:c r="G159" s="23" t="s">
        <x:v>676</x:v>
      </x:c>
      <x:c r="H159" s="23" t="s">
        <x:v>678</x:v>
      </x:c>
      <x:c r="I159" s="23" t="s">
        <x:v>501</x:v>
      </x:c>
      <x:c r="J159" s="23" t="s">
        <x:v>992</x:v>
      </x:c>
      <x:c r="K159" s="23" t="s">
        <x:v>454</x:v>
      </x:c>
      <x:c r="L159" s="23" t="s">
        <x:v>455</x:v>
      </x:c>
      <x:c r="M159" s="23" t="s">
        <x:v>456</x:v>
      </x:c>
      <x:c r="N159" s="23" t="s">
        <x:v>457</x:v>
      </x:c>
      <x:c r="O159" s="23" t="s">
        <x:v>458</x:v>
      </x:c>
      <x:c r="P159" s="24"/>
      <x:c r="Q159" s="24"/>
      <x:c r="R159" s="24"/>
      <x:c r="S159" s="24"/>
      <x:c r="T159" s="24"/>
      <x:c r="U159" s="24"/>
      <x:c r="V159" s="24"/>
      <x:c r="W159" s="24"/>
      <x:c r="X159" s="81" t="str">
        <x:f>IF(OR(R159="",R159=0),"",U159/R159)</x:f>
      </x:c>
      <x:c r="Y159" s="81" t="str">
        <x:f>IF(OR(Q159="",Q159=0),"",R159/Q159)</x:f>
      </x:c>
      <x:c r="Z159" s="26" t="s">
        <x:v>825</x:v>
      </x:c>
      <x:c r="AA159" s="24"/>
    </x:row>
    <x:row r="160" ht="188.10000610351562" customHeight="1">
      <x:c r="A160" s="22" t="s">
        <x:v>995</x:v>
      </x:c>
      <x:c r="B160" s="22" t="s">
        <x:v>450</x:v>
      </x:c>
      <x:c r="C160" s="22" t="s">
        <x:v>46</x:v>
      </x:c>
      <x:c r="D160" s="23" t="s">
        <x:v>451</x:v>
      </x:c>
      <x:c r="E160" s="23" t="s">
        <x:v>176</x:v>
      </x:c>
      <x:c r="F160" s="23" t="s">
        <x:v>452</x:v>
      </x:c>
      <x:c r="G160" s="23" t="s">
        <x:v>167</x:v>
      </x:c>
      <x:c r="H160" s="23" t="s">
        <x:v>690</x:v>
      </x:c>
      <x:c r="I160" s="23" t="s">
        <x:v>429</x:v>
      </x:c>
      <x:c r="J160" s="23" t="s">
        <x:v>933</x:v>
      </x:c>
      <x:c r="K160" s="23" t="s">
        <x:v>454</x:v>
      </x:c>
      <x:c r="L160" s="23" t="s">
        <x:v>455</x:v>
      </x:c>
      <x:c r="M160" s="23" t="s">
        <x:v>456</x:v>
      </x:c>
      <x:c r="N160" s="23" t="s">
        <x:v>457</x:v>
      </x:c>
      <x:c r="O160" s="23" t="s">
        <x:v>458</x:v>
      </x:c>
      <x:c r="P160" s="24"/>
      <x:c r="Q160" s="24"/>
      <x:c r="R160" s="24"/>
      <x:c r="S160" s="24"/>
      <x:c r="T160" s="24"/>
      <x:c r="U160" s="24"/>
      <x:c r="V160" s="24"/>
      <x:c r="W160" s="24"/>
      <x:c r="X160" s="81" t="str">
        <x:f>IF(OR(R160="",R160=0),"",U160/R160)</x:f>
      </x:c>
      <x:c r="Y160" s="81" t="str">
        <x:f>IF(OR(Q160="",Q160=0),"",R160/Q160)</x:f>
      </x:c>
      <x:c r="Z160" s="26" t="s">
        <x:v>825</x:v>
      </x:c>
      <x:c r="AA160" s="24"/>
    </x:row>
    <x:row r="161" ht="188.10000610351562" customHeight="1">
      <x:c r="A161" s="22" t="s">
        <x:v>996</x:v>
      </x:c>
      <x:c r="B161" s="22" t="s">
        <x:v>450</x:v>
      </x:c>
      <x:c r="C161" s="22" t="s">
        <x:v>46</x:v>
      </x:c>
      <x:c r="D161" s="23" t="s">
        <x:v>451</x:v>
      </x:c>
      <x:c r="E161" s="23" t="s">
        <x:v>176</x:v>
      </x:c>
      <x:c r="F161" s="23" t="s">
        <x:v>452</x:v>
      </x:c>
      <x:c r="G161" s="23" t="s">
        <x:v>167</x:v>
      </x:c>
      <x:c r="H161" s="23" t="s">
        <x:v>690</x:v>
      </x:c>
      <x:c r="I161" s="23" t="s">
        <x:v>501</x:v>
      </x:c>
      <x:c r="J161" s="23" t="s">
        <x:v>992</x:v>
      </x:c>
      <x:c r="K161" s="23" t="s">
        <x:v>454</x:v>
      </x:c>
      <x:c r="L161" s="23" t="s">
        <x:v>455</x:v>
      </x:c>
      <x:c r="M161" s="23" t="s">
        <x:v>456</x:v>
      </x:c>
      <x:c r="N161" s="23" t="s">
        <x:v>457</x:v>
      </x:c>
      <x:c r="O161" s="23" t="s">
        <x:v>458</x:v>
      </x:c>
      <x:c r="P161" s="24"/>
      <x:c r="Q161" s="24"/>
      <x:c r="R161" s="24"/>
      <x:c r="S161" s="24"/>
      <x:c r="T161" s="24"/>
      <x:c r="U161" s="24"/>
      <x:c r="V161" s="24"/>
      <x:c r="W161" s="24"/>
      <x:c r="X161" s="81" t="str">
        <x:f>IF(OR(R161="",R161=0),"",U161/R161)</x:f>
      </x:c>
      <x:c r="Y161" s="81" t="str">
        <x:f>IF(OR(Q161="",Q161=0),"",R161/Q161)</x:f>
      </x:c>
      <x:c r="Z161" s="26" t="s">
        <x:v>825</x:v>
      </x:c>
      <x:c r="AA161" s="24"/>
    </x:row>
    <x:row r="162" ht="188.10000610351562" customHeight="1">
      <x:c r="A162" s="22" t="s">
        <x:v>997</x:v>
      </x:c>
      <x:c r="B162" s="22" t="s">
        <x:v>450</x:v>
      </x:c>
      <x:c r="C162" s="22" t="s">
        <x:v>46</x:v>
      </x:c>
      <x:c r="D162" s="23" t="s">
        <x:v>451</x:v>
      </x:c>
      <x:c r="E162" s="23" t="s">
        <x:v>176</x:v>
      </x:c>
      <x:c r="F162" s="23" t="s">
        <x:v>452</x:v>
      </x:c>
      <x:c r="G162" s="23" t="s">
        <x:v>693</x:v>
      </x:c>
      <x:c r="H162" s="23" t="s">
        <x:v>695</x:v>
      </x:c>
      <x:c r="I162" s="23" t="s">
        <x:v>429</x:v>
      </x:c>
      <x:c r="J162" s="23" t="s">
        <x:v>933</x:v>
      </x:c>
      <x:c r="K162" s="23" t="s">
        <x:v>454</x:v>
      </x:c>
      <x:c r="L162" s="23" t="s">
        <x:v>455</x:v>
      </x:c>
      <x:c r="M162" s="23" t="s">
        <x:v>456</x:v>
      </x:c>
      <x:c r="N162" s="23" t="s">
        <x:v>457</x:v>
      </x:c>
      <x:c r="O162" s="23" t="s">
        <x:v>458</x:v>
      </x:c>
      <x:c r="P162" s="24"/>
      <x:c r="Q162" s="24"/>
      <x:c r="R162" s="24"/>
      <x:c r="S162" s="24"/>
      <x:c r="T162" s="24"/>
      <x:c r="U162" s="24"/>
      <x:c r="V162" s="24"/>
      <x:c r="W162" s="24"/>
      <x:c r="X162" s="81" t="str">
        <x:f>IF(OR(R162="",R162=0),"",U162/R162)</x:f>
      </x:c>
      <x:c r="Y162" s="81" t="str">
        <x:f>IF(OR(Q162="",Q162=0),"",R162/Q162)</x:f>
      </x:c>
      <x:c r="Z162" s="26" t="s">
        <x:v>825</x:v>
      </x:c>
      <x:c r="AA162" s="24"/>
    </x:row>
    <x:row r="163" ht="188.10000610351562" customHeight="1">
      <x:c r="A163" s="22" t="s">
        <x:v>998</x:v>
      </x:c>
      <x:c r="B163" s="22" t="s">
        <x:v>450</x:v>
      </x:c>
      <x:c r="C163" s="22" t="s">
        <x:v>46</x:v>
      </x:c>
      <x:c r="D163" s="23" t="s">
        <x:v>451</x:v>
      </x:c>
      <x:c r="E163" s="23" t="s">
        <x:v>176</x:v>
      </x:c>
      <x:c r="F163" s="23" t="s">
        <x:v>452</x:v>
      </x:c>
      <x:c r="G163" s="23" t="s">
        <x:v>693</x:v>
      </x:c>
      <x:c r="H163" s="23" t="s">
        <x:v>695</x:v>
      </x:c>
      <x:c r="I163" s="23" t="s">
        <x:v>501</x:v>
      </x:c>
      <x:c r="J163" s="23" t="s">
        <x:v>992</x:v>
      </x:c>
      <x:c r="K163" s="23" t="s">
        <x:v>454</x:v>
      </x:c>
      <x:c r="L163" s="23" t="s">
        <x:v>455</x:v>
      </x:c>
      <x:c r="M163" s="23" t="s">
        <x:v>456</x:v>
      </x:c>
      <x:c r="N163" s="23" t="s">
        <x:v>457</x:v>
      </x:c>
      <x:c r="O163" s="23" t="s">
        <x:v>458</x:v>
      </x:c>
      <x:c r="P163" s="24"/>
      <x:c r="Q163" s="24"/>
      <x:c r="R163" s="24"/>
      <x:c r="S163" s="24"/>
      <x:c r="T163" s="24"/>
      <x:c r="U163" s="24"/>
      <x:c r="V163" s="24"/>
      <x:c r="W163" s="24"/>
      <x:c r="X163" s="81" t="str">
        <x:f>IF(OR(R163="",R163=0),"",U163/R163)</x:f>
      </x:c>
      <x:c r="Y163" s="81" t="str">
        <x:f>IF(OR(Q163="",Q163=0),"",R163/Q163)</x:f>
      </x:c>
      <x:c r="Z163" s="26" t="s">
        <x:v>825</x:v>
      </x:c>
      <x:c r="AA163" s="24"/>
    </x:row>
    <x:row r="164" ht="188.10000610351562" customHeight="1">
      <x:c r="A164" s="22" t="s">
        <x:v>999</x:v>
      </x:c>
      <x:c r="B164" s="22" t="s">
        <x:v>459</x:v>
      </x:c>
      <x:c r="C164" s="22" t="s">
        <x:v>46</x:v>
      </x:c>
      <x:c r="D164" s="23" t="s">
        <x:v>460</x:v>
      </x:c>
      <x:c r="E164" s="23" t="s">
        <x:v>187</x:v>
      </x:c>
      <x:c r="F164" s="23" t="s">
        <x:v>461</x:v>
      </x:c>
      <x:c r="G164" s="23" t="s">
        <x:v>666</x:v>
      </x:c>
      <x:c r="H164" s="23" t="s">
        <x:v>668</x:v>
      </x:c>
      <x:c r="I164" s="23" t="s">
        <x:v>429</x:v>
      </x:c>
      <x:c r="J164" s="23" t="s">
        <x:v>933</x:v>
      </x:c>
      <x:c r="K164" s="23" t="s">
        <x:v>462</x:v>
      </x:c>
      <x:c r="L164" s="23" t="s">
        <x:v>463</x:v>
      </x:c>
      <x:c r="M164" s="23" t="s">
        <x:v>464</x:v>
      </x:c>
      <x:c r="N164" s="23" t="s">
        <x:v>465</x:v>
      </x:c>
      <x:c r="O164" s="23" t="s">
        <x:v>184</x:v>
      </x:c>
      <x:c r="P164" s="24"/>
      <x:c r="Q164" s="24"/>
      <x:c r="R164" s="24"/>
      <x:c r="S164" s="24"/>
      <x:c r="T164" s="24"/>
      <x:c r="U164" s="24"/>
      <x:c r="V164" s="24"/>
      <x:c r="W164" s="24"/>
      <x:c r="X164" s="81" t="str">
        <x:f>IF(OR(R164="",R164=0),"",U164/R164)</x:f>
      </x:c>
      <x:c r="Y164" s="81" t="str">
        <x:f>IF(OR(Q164="",Q164=0),"",R164/Q164)</x:f>
      </x:c>
      <x:c r="Z164" s="26" t="s">
        <x:v>825</x:v>
      </x:c>
      <x:c r="AA164" s="24"/>
    </x:row>
    <x:row r="165" ht="188.10000610351562" customHeight="1">
      <x:c r="A165" s="22" t="s">
        <x:v>1000</x:v>
      </x:c>
      <x:c r="B165" s="22" t="s">
        <x:v>459</x:v>
      </x:c>
      <x:c r="C165" s="22" t="s">
        <x:v>46</x:v>
      </x:c>
      <x:c r="D165" s="23" t="s">
        <x:v>460</x:v>
      </x:c>
      <x:c r="E165" s="23" t="s">
        <x:v>187</x:v>
      </x:c>
      <x:c r="F165" s="23" t="s">
        <x:v>461</x:v>
      </x:c>
      <x:c r="G165" s="23" t="s">
        <x:v>666</x:v>
      </x:c>
      <x:c r="H165" s="23" t="s">
        <x:v>668</x:v>
      </x:c>
      <x:c r="I165" s="23" t="s">
        <x:v>839</x:v>
      </x:c>
      <x:c r="J165" s="23" t="s">
        <x:v>840</x:v>
      </x:c>
      <x:c r="K165" s="23" t="s">
        <x:v>462</x:v>
      </x:c>
      <x:c r="L165" s="23" t="s">
        <x:v>463</x:v>
      </x:c>
      <x:c r="M165" s="23" t="s">
        <x:v>464</x:v>
      </x:c>
      <x:c r="N165" s="23" t="s">
        <x:v>465</x:v>
      </x:c>
      <x:c r="O165" s="23" t="s">
        <x:v>184</x:v>
      </x:c>
      <x:c r="P165" s="24"/>
      <x:c r="Q165" s="24"/>
      <x:c r="R165" s="24"/>
      <x:c r="S165" s="24"/>
      <x:c r="T165" s="24"/>
      <x:c r="U165" s="24"/>
      <x:c r="V165" s="24"/>
      <x:c r="W165" s="24"/>
      <x:c r="X165" s="81" t="str">
        <x:f>IF(OR(R165="",R165=0),"",U165/R165)</x:f>
      </x:c>
      <x:c r="Y165" s="81" t="str">
        <x:f>IF(OR(Q165="",Q165=0),"",R165/Q165)</x:f>
      </x:c>
      <x:c r="Z165" s="26" t="s">
        <x:v>825</x:v>
      </x:c>
      <x:c r="AA165" s="24"/>
    </x:row>
    <x:row r="166" ht="188.10000610351562" customHeight="1">
      <x:c r="A166" s="22" t="s">
        <x:v>1001</x:v>
      </x:c>
      <x:c r="B166" s="22" t="s">
        <x:v>459</x:v>
      </x:c>
      <x:c r="C166" s="22" t="s">
        <x:v>46</x:v>
      </x:c>
      <x:c r="D166" s="23" t="s">
        <x:v>460</x:v>
      </x:c>
      <x:c r="E166" s="23" t="s">
        <x:v>187</x:v>
      </x:c>
      <x:c r="F166" s="23" t="s">
        <x:v>461</x:v>
      </x:c>
      <x:c r="G166" s="23" t="s">
        <x:v>676</x:v>
      </x:c>
      <x:c r="H166" s="23" t="s">
        <x:v>678</x:v>
      </x:c>
      <x:c r="I166" s="23" t="s">
        <x:v>429</x:v>
      </x:c>
      <x:c r="J166" s="23" t="s">
        <x:v>933</x:v>
      </x:c>
      <x:c r="K166" s="23" t="s">
        <x:v>462</x:v>
      </x:c>
      <x:c r="L166" s="23" t="s">
        <x:v>463</x:v>
      </x:c>
      <x:c r="M166" s="23" t="s">
        <x:v>464</x:v>
      </x:c>
      <x:c r="N166" s="23" t="s">
        <x:v>465</x:v>
      </x:c>
      <x:c r="O166" s="23" t="s">
        <x:v>184</x:v>
      </x:c>
      <x:c r="P166" s="24"/>
      <x:c r="Q166" s="24"/>
      <x:c r="R166" s="24"/>
      <x:c r="S166" s="24"/>
      <x:c r="T166" s="24"/>
      <x:c r="U166" s="24"/>
      <x:c r="V166" s="24"/>
      <x:c r="W166" s="24"/>
      <x:c r="X166" s="81" t="str">
        <x:f>IF(OR(R166="",R166=0),"",U166/R166)</x:f>
      </x:c>
      <x:c r="Y166" s="81" t="str">
        <x:f>IF(OR(Q166="",Q166=0),"",R166/Q166)</x:f>
      </x:c>
      <x:c r="Z166" s="26" t="s">
        <x:v>825</x:v>
      </x:c>
      <x:c r="AA166" s="24"/>
    </x:row>
    <x:row r="167" ht="188.10000610351562" customHeight="1">
      <x:c r="A167" s="22" t="s">
        <x:v>1002</x:v>
      </x:c>
      <x:c r="B167" s="22" t="s">
        <x:v>459</x:v>
      </x:c>
      <x:c r="C167" s="22" t="s">
        <x:v>46</x:v>
      </x:c>
      <x:c r="D167" s="23" t="s">
        <x:v>460</x:v>
      </x:c>
      <x:c r="E167" s="23" t="s">
        <x:v>187</x:v>
      </x:c>
      <x:c r="F167" s="23" t="s">
        <x:v>461</x:v>
      </x:c>
      <x:c r="G167" s="23" t="s">
        <x:v>676</x:v>
      </x:c>
      <x:c r="H167" s="23" t="s">
        <x:v>678</x:v>
      </x:c>
      <x:c r="I167" s="23" t="s">
        <x:v>839</x:v>
      </x:c>
      <x:c r="J167" s="23" t="s">
        <x:v>840</x:v>
      </x:c>
      <x:c r="K167" s="23" t="s">
        <x:v>462</x:v>
      </x:c>
      <x:c r="L167" s="23" t="s">
        <x:v>463</x:v>
      </x:c>
      <x:c r="M167" s="23" t="s">
        <x:v>464</x:v>
      </x:c>
      <x:c r="N167" s="23" t="s">
        <x:v>465</x:v>
      </x:c>
      <x:c r="O167" s="23" t="s">
        <x:v>184</x:v>
      </x:c>
      <x:c r="P167" s="24"/>
      <x:c r="Q167" s="24"/>
      <x:c r="R167" s="24"/>
      <x:c r="S167" s="24"/>
      <x:c r="T167" s="24"/>
      <x:c r="U167" s="24"/>
      <x:c r="V167" s="24"/>
      <x:c r="W167" s="24"/>
      <x:c r="X167" s="81" t="str">
        <x:f>IF(OR(R167="",R167=0),"",U167/R167)</x:f>
      </x:c>
      <x:c r="Y167" s="81" t="str">
        <x:f>IF(OR(Q167="",Q167=0),"",R167/Q167)</x:f>
      </x:c>
      <x:c r="Z167" s="26" t="s">
        <x:v>825</x:v>
      </x:c>
      <x:c r="AA167" s="24"/>
    </x:row>
    <x:row r="168" ht="188.10000610351562" customHeight="1">
      <x:c r="A168" s="22" t="s">
        <x:v>1003</x:v>
      </x:c>
      <x:c r="B168" s="22" t="s">
        <x:v>459</x:v>
      </x:c>
      <x:c r="C168" s="22" t="s">
        <x:v>46</x:v>
      </x:c>
      <x:c r="D168" s="23" t="s">
        <x:v>460</x:v>
      </x:c>
      <x:c r="E168" s="23" t="s">
        <x:v>187</x:v>
      </x:c>
      <x:c r="F168" s="23" t="s">
        <x:v>461</x:v>
      </x:c>
      <x:c r="G168" s="23" t="s">
        <x:v>693</x:v>
      </x:c>
      <x:c r="H168" s="23" t="s">
        <x:v>695</x:v>
      </x:c>
      <x:c r="I168" s="23" t="s">
        <x:v>429</x:v>
      </x:c>
      <x:c r="J168" s="23" t="s">
        <x:v>933</x:v>
      </x:c>
      <x:c r="K168" s="23" t="s">
        <x:v>462</x:v>
      </x:c>
      <x:c r="L168" s="23" t="s">
        <x:v>463</x:v>
      </x:c>
      <x:c r="M168" s="23" t="s">
        <x:v>464</x:v>
      </x:c>
      <x:c r="N168" s="23" t="s">
        <x:v>465</x:v>
      </x:c>
      <x:c r="O168" s="23" t="s">
        <x:v>184</x:v>
      </x:c>
      <x:c r="P168" s="24"/>
      <x:c r="Q168" s="24"/>
      <x:c r="R168" s="24"/>
      <x:c r="S168" s="24"/>
      <x:c r="T168" s="24"/>
      <x:c r="U168" s="24"/>
      <x:c r="V168" s="24"/>
      <x:c r="W168" s="24"/>
      <x:c r="X168" s="81" t="str">
        <x:f>IF(OR(R168="",R168=0),"",U168/R168)</x:f>
      </x:c>
      <x:c r="Y168" s="81" t="str">
        <x:f>IF(OR(Q168="",Q168=0),"",R168/Q168)</x:f>
      </x:c>
      <x:c r="Z168" s="26" t="s">
        <x:v>825</x:v>
      </x:c>
      <x:c r="AA168" s="24"/>
    </x:row>
    <x:row r="169" ht="188.10000610351562" customHeight="1">
      <x:c r="A169" s="22" t="s">
        <x:v>1004</x:v>
      </x:c>
      <x:c r="B169" s="22" t="s">
        <x:v>459</x:v>
      </x:c>
      <x:c r="C169" s="22" t="s">
        <x:v>46</x:v>
      </x:c>
      <x:c r="D169" s="23" t="s">
        <x:v>460</x:v>
      </x:c>
      <x:c r="E169" s="23" t="s">
        <x:v>187</x:v>
      </x:c>
      <x:c r="F169" s="23" t="s">
        <x:v>461</x:v>
      </x:c>
      <x:c r="G169" s="23" t="s">
        <x:v>693</x:v>
      </x:c>
      <x:c r="H169" s="23" t="s">
        <x:v>695</x:v>
      </x:c>
      <x:c r="I169" s="23" t="s">
        <x:v>839</x:v>
      </x:c>
      <x:c r="J169" s="23" t="s">
        <x:v>840</x:v>
      </x:c>
      <x:c r="K169" s="23" t="s">
        <x:v>462</x:v>
      </x:c>
      <x:c r="L169" s="23" t="s">
        <x:v>463</x:v>
      </x:c>
      <x:c r="M169" s="23" t="s">
        <x:v>464</x:v>
      </x:c>
      <x:c r="N169" s="23" t="s">
        <x:v>465</x:v>
      </x:c>
      <x:c r="O169" s="23" t="s">
        <x:v>184</x:v>
      </x:c>
      <x:c r="P169" s="24"/>
      <x:c r="Q169" s="24"/>
      <x:c r="R169" s="24"/>
      <x:c r="S169" s="24"/>
      <x:c r="T169" s="24"/>
      <x:c r="U169" s="24"/>
      <x:c r="V169" s="24"/>
      <x:c r="W169" s="24"/>
      <x:c r="X169" s="81" t="str">
        <x:f>IF(OR(R169="",R169=0),"",U169/R169)</x:f>
      </x:c>
      <x:c r="Y169" s="81" t="str">
        <x:f>IF(OR(Q169="",Q169=0),"",R169/Q169)</x:f>
      </x:c>
      <x:c r="Z169" s="26" t="s">
        <x:v>825</x:v>
      </x:c>
      <x:c r="AA169" s="24"/>
    </x:row>
    <x:row r="170" ht="188.10000610351562" customHeight="1">
      <x:c r="A170" s="22" t="s">
        <x:v>1005</x:v>
      </x:c>
      <x:c r="B170" s="22" t="s">
        <x:v>466</x:v>
      </x:c>
      <x:c r="C170" s="22" t="s">
        <x:v>46</x:v>
      </x:c>
      <x:c r="D170" s="23" t="s">
        <x:v>467</x:v>
      </x:c>
      <x:c r="E170" s="23" t="s">
        <x:v>196</x:v>
      </x:c>
      <x:c r="F170" s="23" t="s">
        <x:v>468</x:v>
      </x:c>
      <x:c r="G170" s="23" t="s">
        <x:v>666</x:v>
      </x:c>
      <x:c r="H170" s="23" t="s">
        <x:v>668</x:v>
      </x:c>
      <x:c r="I170" s="23" t="s">
        <x:v>429</x:v>
      </x:c>
      <x:c r="J170" s="23" t="s">
        <x:v>933</x:v>
      </x:c>
      <x:c r="K170" s="23" t="s">
        <x:v>470</x:v>
      </x:c>
      <x:c r="L170" s="23" t="s">
        <x:v>471</x:v>
      </x:c>
      <x:c r="M170" s="23" t="s">
        <x:v>472</x:v>
      </x:c>
      <x:c r="N170" s="23" t="s">
        <x:v>473</x:v>
      </x:c>
      <x:c r="O170" s="23" t="s">
        <x:v>474</x:v>
      </x:c>
      <x:c r="P170" s="24"/>
      <x:c r="Q170" s="24"/>
      <x:c r="R170" s="24"/>
      <x:c r="S170" s="24"/>
      <x:c r="T170" s="24"/>
      <x:c r="U170" s="24"/>
      <x:c r="V170" s="24"/>
      <x:c r="W170" s="24"/>
      <x:c r="X170" s="81" t="str">
        <x:f>IF(OR(R170="",R170=0),"",U170/R170)</x:f>
      </x:c>
      <x:c r="Y170" s="81" t="str">
        <x:f>IF(OR(Q170="",Q170=0),"",R170/Q170)</x:f>
      </x:c>
      <x:c r="Z170" s="26" t="s">
        <x:v>825</x:v>
      </x:c>
      <x:c r="AA170" s="24"/>
    </x:row>
    <x:row r="171" ht="188.10000610351562" customHeight="1">
      <x:c r="A171" s="22" t="s">
        <x:v>1006</x:v>
      </x:c>
      <x:c r="B171" s="22" t="s">
        <x:v>466</x:v>
      </x:c>
      <x:c r="C171" s="22" t="s">
        <x:v>46</x:v>
      </x:c>
      <x:c r="D171" s="23" t="s">
        <x:v>467</x:v>
      </x:c>
      <x:c r="E171" s="23" t="s">
        <x:v>196</x:v>
      </x:c>
      <x:c r="F171" s="23" t="s">
        <x:v>468</x:v>
      </x:c>
      <x:c r="G171" s="23" t="s">
        <x:v>666</x:v>
      </x:c>
      <x:c r="H171" s="23" t="s">
        <x:v>668</x:v>
      </x:c>
      <x:c r="I171" s="23" t="s">
        <x:v>839</x:v>
      </x:c>
      <x:c r="J171" s="23" t="s">
        <x:v>840</x:v>
      </x:c>
      <x:c r="K171" s="23" t="s">
        <x:v>470</x:v>
      </x:c>
      <x:c r="L171" s="23" t="s">
        <x:v>471</x:v>
      </x:c>
      <x:c r="M171" s="23" t="s">
        <x:v>472</x:v>
      </x:c>
      <x:c r="N171" s="23" t="s">
        <x:v>473</x:v>
      </x:c>
      <x:c r="O171" s="23" t="s">
        <x:v>474</x:v>
      </x:c>
      <x:c r="P171" s="24"/>
      <x:c r="Q171" s="24"/>
      <x:c r="R171" s="24"/>
      <x:c r="S171" s="24"/>
      <x:c r="T171" s="24"/>
      <x:c r="U171" s="24"/>
      <x:c r="V171" s="24"/>
      <x:c r="W171" s="24"/>
      <x:c r="X171" s="81" t="str">
        <x:f>IF(OR(R171="",R171=0),"",U171/R171)</x:f>
      </x:c>
      <x:c r="Y171" s="81" t="str">
        <x:f>IF(OR(Q171="",Q171=0),"",R171/Q171)</x:f>
      </x:c>
      <x:c r="Z171" s="26" t="s">
        <x:v>825</x:v>
      </x:c>
      <x:c r="AA171" s="24"/>
    </x:row>
    <x:row r="172" ht="188.10000610351562" customHeight="1">
      <x:c r="A172" s="22" t="s">
        <x:v>1007</x:v>
      </x:c>
      <x:c r="B172" s="22" t="s">
        <x:v>466</x:v>
      </x:c>
      <x:c r="C172" s="22" t="s">
        <x:v>46</x:v>
      </x:c>
      <x:c r="D172" s="23" t="s">
        <x:v>467</x:v>
      </x:c>
      <x:c r="E172" s="23" t="s">
        <x:v>196</x:v>
      </x:c>
      <x:c r="F172" s="23" t="s">
        <x:v>468</x:v>
      </x:c>
      <x:c r="G172" s="23" t="s">
        <x:v>680</x:v>
      </x:c>
      <x:c r="H172" s="23" t="s">
        <x:v>682</x:v>
      </x:c>
      <x:c r="I172" s="23" t="s">
        <x:v>429</x:v>
      </x:c>
      <x:c r="J172" s="23" t="s">
        <x:v>933</x:v>
      </x:c>
      <x:c r="K172" s="23" t="s">
        <x:v>470</x:v>
      </x:c>
      <x:c r="L172" s="23" t="s">
        <x:v>471</x:v>
      </x:c>
      <x:c r="M172" s="23" t="s">
        <x:v>472</x:v>
      </x:c>
      <x:c r="N172" s="23" t="s">
        <x:v>473</x:v>
      </x:c>
      <x:c r="O172" s="23" t="s">
        <x:v>474</x:v>
      </x:c>
      <x:c r="P172" s="24"/>
      <x:c r="Q172" s="24"/>
      <x:c r="R172" s="24"/>
      <x:c r="S172" s="24"/>
      <x:c r="T172" s="24"/>
      <x:c r="U172" s="24"/>
      <x:c r="V172" s="24"/>
      <x:c r="W172" s="24"/>
      <x:c r="X172" s="81" t="str">
        <x:f>IF(OR(R172="",R172=0),"",U172/R172)</x:f>
      </x:c>
      <x:c r="Y172" s="81" t="str">
        <x:f>IF(OR(Q172="",Q172=0),"",R172/Q172)</x:f>
      </x:c>
      <x:c r="Z172" s="26" t="s">
        <x:v>825</x:v>
      </x:c>
      <x:c r="AA172" s="24"/>
    </x:row>
    <x:row r="173" ht="188.10000610351562" customHeight="1">
      <x:c r="A173" s="22" t="s">
        <x:v>1008</x:v>
      </x:c>
      <x:c r="B173" s="22" t="s">
        <x:v>466</x:v>
      </x:c>
      <x:c r="C173" s="22" t="s">
        <x:v>46</x:v>
      </x:c>
      <x:c r="D173" s="23" t="s">
        <x:v>467</x:v>
      </x:c>
      <x:c r="E173" s="23" t="s">
        <x:v>196</x:v>
      </x:c>
      <x:c r="F173" s="23" t="s">
        <x:v>468</x:v>
      </x:c>
      <x:c r="G173" s="23" t="s">
        <x:v>680</x:v>
      </x:c>
      <x:c r="H173" s="23" t="s">
        <x:v>682</x:v>
      </x:c>
      <x:c r="I173" s="23" t="s">
        <x:v>839</x:v>
      </x:c>
      <x:c r="J173" s="23" t="s">
        <x:v>840</x:v>
      </x:c>
      <x:c r="K173" s="23" t="s">
        <x:v>470</x:v>
      </x:c>
      <x:c r="L173" s="23" t="s">
        <x:v>471</x:v>
      </x:c>
      <x:c r="M173" s="23" t="s">
        <x:v>472</x:v>
      </x:c>
      <x:c r="N173" s="23" t="s">
        <x:v>473</x:v>
      </x:c>
      <x:c r="O173" s="23" t="s">
        <x:v>474</x:v>
      </x:c>
      <x:c r="P173" s="24"/>
      <x:c r="Q173" s="24"/>
      <x:c r="R173" s="24"/>
      <x:c r="S173" s="24"/>
      <x:c r="T173" s="24"/>
      <x:c r="U173" s="24"/>
      <x:c r="V173" s="24"/>
      <x:c r="W173" s="24"/>
      <x:c r="X173" s="81" t="str">
        <x:f>IF(OR(R173="",R173=0),"",U173/R173)</x:f>
      </x:c>
      <x:c r="Y173" s="81" t="str">
        <x:f>IF(OR(Q173="",Q173=0),"",R173/Q173)</x:f>
      </x:c>
      <x:c r="Z173" s="26" t="s">
        <x:v>825</x:v>
      </x:c>
      <x:c r="AA173" s="24"/>
    </x:row>
    <x:row r="174" ht="188.10000610351562" customHeight="1">
      <x:c r="A174" s="22" t="s">
        <x:v>1009</x:v>
      </x:c>
      <x:c r="B174" s="22" t="s">
        <x:v>466</x:v>
      </x:c>
      <x:c r="C174" s="22" t="s">
        <x:v>46</x:v>
      </x:c>
      <x:c r="D174" s="23" t="s">
        <x:v>467</x:v>
      </x:c>
      <x:c r="E174" s="23" t="s">
        <x:v>196</x:v>
      </x:c>
      <x:c r="F174" s="23" t="s">
        <x:v>468</x:v>
      </x:c>
      <x:c r="G174" s="23" t="s">
        <x:v>167</x:v>
      </x:c>
      <x:c r="H174" s="23" t="s">
        <x:v>690</x:v>
      </x:c>
      <x:c r="I174" s="23" t="s">
        <x:v>429</x:v>
      </x:c>
      <x:c r="J174" s="23" t="s">
        <x:v>933</x:v>
      </x:c>
      <x:c r="K174" s="23" t="s">
        <x:v>470</x:v>
      </x:c>
      <x:c r="L174" s="23" t="s">
        <x:v>471</x:v>
      </x:c>
      <x:c r="M174" s="23" t="s">
        <x:v>472</x:v>
      </x:c>
      <x:c r="N174" s="23" t="s">
        <x:v>473</x:v>
      </x:c>
      <x:c r="O174" s="23" t="s">
        <x:v>474</x:v>
      </x:c>
      <x:c r="P174" s="24"/>
      <x:c r="Q174" s="24"/>
      <x:c r="R174" s="24"/>
      <x:c r="S174" s="24"/>
      <x:c r="T174" s="24"/>
      <x:c r="U174" s="24"/>
      <x:c r="V174" s="24"/>
      <x:c r="W174" s="24"/>
      <x:c r="X174" s="81" t="str">
        <x:f>IF(OR(R174="",R174=0),"",U174/R174)</x:f>
      </x:c>
      <x:c r="Y174" s="81" t="str">
        <x:f>IF(OR(Q174="",Q174=0),"",R174/Q174)</x:f>
      </x:c>
      <x:c r="Z174" s="26" t="s">
        <x:v>825</x:v>
      </x:c>
      <x:c r="AA174" s="24"/>
    </x:row>
    <x:row r="175" ht="188.10000610351562" customHeight="1">
      <x:c r="A175" s="22" t="s">
        <x:v>1010</x:v>
      </x:c>
      <x:c r="B175" s="22" t="s">
        <x:v>466</x:v>
      </x:c>
      <x:c r="C175" s="22" t="s">
        <x:v>46</x:v>
      </x:c>
      <x:c r="D175" s="23" t="s">
        <x:v>467</x:v>
      </x:c>
      <x:c r="E175" s="23" t="s">
        <x:v>196</x:v>
      </x:c>
      <x:c r="F175" s="23" t="s">
        <x:v>468</x:v>
      </x:c>
      <x:c r="G175" s="23" t="s">
        <x:v>167</x:v>
      </x:c>
      <x:c r="H175" s="23" t="s">
        <x:v>690</x:v>
      </x:c>
      <x:c r="I175" s="23" t="s">
        <x:v>839</x:v>
      </x:c>
      <x:c r="J175" s="23" t="s">
        <x:v>840</x:v>
      </x:c>
      <x:c r="K175" s="23" t="s">
        <x:v>470</x:v>
      </x:c>
      <x:c r="L175" s="23" t="s">
        <x:v>471</x:v>
      </x:c>
      <x:c r="M175" s="23" t="s">
        <x:v>472</x:v>
      </x:c>
      <x:c r="N175" s="23" t="s">
        <x:v>473</x:v>
      </x:c>
      <x:c r="O175" s="23" t="s">
        <x:v>474</x:v>
      </x:c>
      <x:c r="P175" s="24"/>
      <x:c r="Q175" s="24"/>
      <x:c r="R175" s="24"/>
      <x:c r="S175" s="24"/>
      <x:c r="T175" s="24"/>
      <x:c r="U175" s="24"/>
      <x:c r="V175" s="24"/>
      <x:c r="W175" s="24"/>
      <x:c r="X175" s="81" t="str">
        <x:f>IF(OR(R175="",R175=0),"",U175/R175)</x:f>
      </x:c>
      <x:c r="Y175" s="81" t="str">
        <x:f>IF(OR(Q175="",Q175=0),"",R175/Q175)</x:f>
      </x:c>
      <x:c r="Z175" s="26" t="s">
        <x:v>825</x:v>
      </x:c>
      <x:c r="AA175" s="24"/>
    </x:row>
    <x:row r="176" ht="188.10000610351562" customHeight="1">
      <x:c r="A176" s="22" t="s">
        <x:v>1011</x:v>
      </x:c>
      <x:c r="B176" s="22" t="s">
        <x:v>475</x:v>
      </x:c>
      <x:c r="C176" s="22" t="s">
        <x:v>46</x:v>
      </x:c>
      <x:c r="D176" s="23" t="s">
        <x:v>476</x:v>
      </x:c>
      <x:c r="E176" s="23" t="s">
        <x:v>176</x:v>
      </x:c>
      <x:c r="F176" s="23" t="s">
        <x:v>477</x:v>
      </x:c>
      <x:c r="G176" s="23" t="s">
        <x:v>666</x:v>
      </x:c>
      <x:c r="H176" s="23" t="s">
        <x:v>668</x:v>
      </x:c>
      <x:c r="I176" s="23" t="s">
        <x:v>429</x:v>
      </x:c>
      <x:c r="J176" s="23" t="s">
        <x:v>933</x:v>
      </x:c>
      <x:c r="K176" s="23" t="s">
        <x:v>479</x:v>
      </x:c>
      <x:c r="L176" s="23" t="s">
        <x:v>480</x:v>
      </x:c>
      <x:c r="M176" s="23" t="s">
        <x:v>481</x:v>
      </x:c>
      <x:c r="N176" s="23" t="s">
        <x:v>482</x:v>
      </x:c>
      <x:c r="O176" s="23" t="s">
        <x:v>483</x:v>
      </x:c>
      <x:c r="P176" s="24"/>
      <x:c r="Q176" s="24"/>
      <x:c r="R176" s="24"/>
      <x:c r="S176" s="24"/>
      <x:c r="T176" s="24"/>
      <x:c r="U176" s="24"/>
      <x:c r="V176" s="24"/>
      <x:c r="W176" s="24"/>
      <x:c r="X176" s="81" t="str">
        <x:f>IF(OR(R176="",R176=0),"",U176/R176)</x:f>
      </x:c>
      <x:c r="Y176" s="81" t="str">
        <x:f>IF(OR(Q176="",Q176=0),"",R176/Q176)</x:f>
      </x:c>
      <x:c r="Z176" s="26" t="s">
        <x:v>825</x:v>
      </x:c>
      <x:c r="AA176" s="24"/>
    </x:row>
    <x:row r="177" ht="188.10000610351562" customHeight="1">
      <x:c r="A177" s="22" t="s">
        <x:v>1012</x:v>
      </x:c>
      <x:c r="B177" s="22" t="s">
        <x:v>475</x:v>
      </x:c>
      <x:c r="C177" s="22" t="s">
        <x:v>46</x:v>
      </x:c>
      <x:c r="D177" s="23" t="s">
        <x:v>476</x:v>
      </x:c>
      <x:c r="E177" s="23" t="s">
        <x:v>176</x:v>
      </x:c>
      <x:c r="F177" s="23" t="s">
        <x:v>477</x:v>
      </x:c>
      <x:c r="G177" s="23" t="s">
        <x:v>666</x:v>
      </x:c>
      <x:c r="H177" s="23" t="s">
        <x:v>668</x:v>
      </x:c>
      <x:c r="I177" s="23" t="s">
        <x:v>839</x:v>
      </x:c>
      <x:c r="J177" s="23" t="s">
        <x:v>840</x:v>
      </x:c>
      <x:c r="K177" s="23" t="s">
        <x:v>479</x:v>
      </x:c>
      <x:c r="L177" s="23" t="s">
        <x:v>480</x:v>
      </x:c>
      <x:c r="M177" s="23" t="s">
        <x:v>481</x:v>
      </x:c>
      <x:c r="N177" s="23" t="s">
        <x:v>482</x:v>
      </x:c>
      <x:c r="O177" s="23" t="s">
        <x:v>483</x:v>
      </x:c>
      <x:c r="P177" s="24"/>
      <x:c r="Q177" s="24"/>
      <x:c r="R177" s="24"/>
      <x:c r="S177" s="24"/>
      <x:c r="T177" s="24"/>
      <x:c r="U177" s="24"/>
      <x:c r="V177" s="24"/>
      <x:c r="W177" s="24"/>
      <x:c r="X177" s="81" t="str">
        <x:f>IF(OR(R177="",R177=0),"",U177/R177)</x:f>
      </x:c>
      <x:c r="Y177" s="81" t="str">
        <x:f>IF(OR(Q177="",Q177=0),"",R177/Q177)</x:f>
      </x:c>
      <x:c r="Z177" s="26" t="s">
        <x:v>825</x:v>
      </x:c>
      <x:c r="AA177" s="24"/>
    </x:row>
    <x:row r="178" ht="188.10000610351562" customHeight="1">
      <x:c r="A178" s="22" t="s">
        <x:v>1013</x:v>
      </x:c>
      <x:c r="B178" s="22" t="s">
        <x:v>475</x:v>
      </x:c>
      <x:c r="C178" s="22" t="s">
        <x:v>46</x:v>
      </x:c>
      <x:c r="D178" s="23" t="s">
        <x:v>476</x:v>
      </x:c>
      <x:c r="E178" s="23" t="s">
        <x:v>176</x:v>
      </x:c>
      <x:c r="F178" s="23" t="s">
        <x:v>477</x:v>
      </x:c>
      <x:c r="G178" s="23" t="s">
        <x:v>676</x:v>
      </x:c>
      <x:c r="H178" s="23" t="s">
        <x:v>678</x:v>
      </x:c>
      <x:c r="I178" s="23" t="s">
        <x:v>429</x:v>
      </x:c>
      <x:c r="J178" s="23" t="s">
        <x:v>933</x:v>
      </x:c>
      <x:c r="K178" s="23" t="s">
        <x:v>479</x:v>
      </x:c>
      <x:c r="L178" s="23" t="s">
        <x:v>480</x:v>
      </x:c>
      <x:c r="M178" s="23" t="s">
        <x:v>481</x:v>
      </x:c>
      <x:c r="N178" s="23" t="s">
        <x:v>482</x:v>
      </x:c>
      <x:c r="O178" s="23" t="s">
        <x:v>483</x:v>
      </x:c>
      <x:c r="P178" s="24"/>
      <x:c r="Q178" s="24"/>
      <x:c r="R178" s="24"/>
      <x:c r="S178" s="24"/>
      <x:c r="T178" s="24"/>
      <x:c r="U178" s="24"/>
      <x:c r="V178" s="24"/>
      <x:c r="W178" s="24"/>
      <x:c r="X178" s="81" t="str">
        <x:f>IF(OR(R178="",R178=0),"",U178/R178)</x:f>
      </x:c>
      <x:c r="Y178" s="81" t="str">
        <x:f>IF(OR(Q178="",Q178=0),"",R178/Q178)</x:f>
      </x:c>
      <x:c r="Z178" s="26" t="s">
        <x:v>825</x:v>
      </x:c>
      <x:c r="AA178" s="24"/>
    </x:row>
    <x:row r="179" ht="188.10000610351562" customHeight="1">
      <x:c r="A179" s="22" t="s">
        <x:v>1014</x:v>
      </x:c>
      <x:c r="B179" s="22" t="s">
        <x:v>475</x:v>
      </x:c>
      <x:c r="C179" s="22" t="s">
        <x:v>46</x:v>
      </x:c>
      <x:c r="D179" s="23" t="s">
        <x:v>476</x:v>
      </x:c>
      <x:c r="E179" s="23" t="s">
        <x:v>176</x:v>
      </x:c>
      <x:c r="F179" s="23" t="s">
        <x:v>477</x:v>
      </x:c>
      <x:c r="G179" s="23" t="s">
        <x:v>676</x:v>
      </x:c>
      <x:c r="H179" s="23" t="s">
        <x:v>678</x:v>
      </x:c>
      <x:c r="I179" s="23" t="s">
        <x:v>839</x:v>
      </x:c>
      <x:c r="J179" s="23" t="s">
        <x:v>840</x:v>
      </x:c>
      <x:c r="K179" s="23" t="s">
        <x:v>479</x:v>
      </x:c>
      <x:c r="L179" s="23" t="s">
        <x:v>480</x:v>
      </x:c>
      <x:c r="M179" s="23" t="s">
        <x:v>481</x:v>
      </x:c>
      <x:c r="N179" s="23" t="s">
        <x:v>482</x:v>
      </x:c>
      <x:c r="O179" s="23" t="s">
        <x:v>483</x:v>
      </x:c>
      <x:c r="P179" s="24"/>
      <x:c r="Q179" s="24"/>
      <x:c r="R179" s="24"/>
      <x:c r="S179" s="24"/>
      <x:c r="T179" s="24"/>
      <x:c r="U179" s="24"/>
      <x:c r="V179" s="24"/>
      <x:c r="W179" s="24"/>
      <x:c r="X179" s="81" t="str">
        <x:f>IF(OR(R179="",R179=0),"",U179/R179)</x:f>
      </x:c>
      <x:c r="Y179" s="81" t="str">
        <x:f>IF(OR(Q179="",Q179=0),"",R179/Q179)</x:f>
      </x:c>
      <x:c r="Z179" s="26" t="s">
        <x:v>825</x:v>
      </x:c>
      <x:c r="AA179" s="24"/>
    </x:row>
    <x:row r="180" ht="188.10000610351562" customHeight="1">
      <x:c r="A180" s="22" t="s">
        <x:v>1015</x:v>
      </x:c>
      <x:c r="B180" s="22" t="s">
        <x:v>475</x:v>
      </x:c>
      <x:c r="C180" s="22" t="s">
        <x:v>46</x:v>
      </x:c>
      <x:c r="D180" s="23" t="s">
        <x:v>476</x:v>
      </x:c>
      <x:c r="E180" s="23" t="s">
        <x:v>176</x:v>
      </x:c>
      <x:c r="F180" s="23" t="s">
        <x:v>477</x:v>
      </x:c>
      <x:c r="G180" s="23" t="s">
        <x:v>684</x:v>
      </x:c>
      <x:c r="H180" s="23" t="s">
        <x:v>686</x:v>
      </x:c>
      <x:c r="I180" s="23" t="s">
        <x:v>429</x:v>
      </x:c>
      <x:c r="J180" s="23" t="s">
        <x:v>933</x:v>
      </x:c>
      <x:c r="K180" s="23" t="s">
        <x:v>479</x:v>
      </x:c>
      <x:c r="L180" s="23" t="s">
        <x:v>480</x:v>
      </x:c>
      <x:c r="M180" s="23" t="s">
        <x:v>481</x:v>
      </x:c>
      <x:c r="N180" s="23" t="s">
        <x:v>482</x:v>
      </x:c>
      <x:c r="O180" s="23" t="s">
        <x:v>483</x:v>
      </x:c>
      <x:c r="P180" s="24"/>
      <x:c r="Q180" s="24"/>
      <x:c r="R180" s="24"/>
      <x:c r="S180" s="24"/>
      <x:c r="T180" s="24"/>
      <x:c r="U180" s="24"/>
      <x:c r="V180" s="24"/>
      <x:c r="W180" s="24"/>
      <x:c r="X180" s="81" t="str">
        <x:f>IF(OR(R180="",R180=0),"",U180/R180)</x:f>
      </x:c>
      <x:c r="Y180" s="81" t="str">
        <x:f>IF(OR(Q180="",Q180=0),"",R180/Q180)</x:f>
      </x:c>
      <x:c r="Z180" s="26" t="s">
        <x:v>825</x:v>
      </x:c>
      <x:c r="AA180" s="24"/>
    </x:row>
    <x:row r="181" ht="188.10000610351562" customHeight="1">
      <x:c r="A181" s="22" t="s">
        <x:v>1016</x:v>
      </x:c>
      <x:c r="B181" s="22" t="s">
        <x:v>475</x:v>
      </x:c>
      <x:c r="C181" s="22" t="s">
        <x:v>46</x:v>
      </x:c>
      <x:c r="D181" s="23" t="s">
        <x:v>476</x:v>
      </x:c>
      <x:c r="E181" s="23" t="s">
        <x:v>176</x:v>
      </x:c>
      <x:c r="F181" s="23" t="s">
        <x:v>477</x:v>
      </x:c>
      <x:c r="G181" s="23" t="s">
        <x:v>684</x:v>
      </x:c>
      <x:c r="H181" s="23" t="s">
        <x:v>686</x:v>
      </x:c>
      <x:c r="I181" s="23" t="s">
        <x:v>839</x:v>
      </x:c>
      <x:c r="J181" s="23" t="s">
        <x:v>840</x:v>
      </x:c>
      <x:c r="K181" s="23" t="s">
        <x:v>479</x:v>
      </x:c>
      <x:c r="L181" s="23" t="s">
        <x:v>480</x:v>
      </x:c>
      <x:c r="M181" s="23" t="s">
        <x:v>481</x:v>
      </x:c>
      <x:c r="N181" s="23" t="s">
        <x:v>482</x:v>
      </x:c>
      <x:c r="O181" s="23" t="s">
        <x:v>483</x:v>
      </x:c>
      <x:c r="P181" s="24"/>
      <x:c r="Q181" s="24"/>
      <x:c r="R181" s="24"/>
      <x:c r="S181" s="24"/>
      <x:c r="T181" s="24"/>
      <x:c r="U181" s="24"/>
      <x:c r="V181" s="24"/>
      <x:c r="W181" s="24"/>
      <x:c r="X181" s="81" t="str">
        <x:f>IF(OR(R181="",R181=0),"",U181/R181)</x:f>
      </x:c>
      <x:c r="Y181" s="81" t="str">
        <x:f>IF(OR(Q181="",Q181=0),"",R181/Q181)</x:f>
      </x:c>
      <x:c r="Z181" s="26" t="s">
        <x:v>825</x:v>
      </x:c>
      <x:c r="AA181" s="24"/>
    </x:row>
    <x:row r="182" ht="188.10000610351562" customHeight="1">
      <x:c r="A182" s="22" t="s">
        <x:v>1017</x:v>
      </x:c>
      <x:c r="B182" s="22" t="s">
        <x:v>475</x:v>
      </x:c>
      <x:c r="C182" s="22" t="s">
        <x:v>46</x:v>
      </x:c>
      <x:c r="D182" s="23" t="s">
        <x:v>476</x:v>
      </x:c>
      <x:c r="E182" s="23" t="s">
        <x:v>176</x:v>
      </x:c>
      <x:c r="F182" s="23" t="s">
        <x:v>477</x:v>
      </x:c>
      <x:c r="G182" s="23" t="s">
        <x:v>693</x:v>
      </x:c>
      <x:c r="H182" s="23" t="s">
        <x:v>695</x:v>
      </x:c>
      <x:c r="I182" s="23" t="s">
        <x:v>429</x:v>
      </x:c>
      <x:c r="J182" s="23" t="s">
        <x:v>933</x:v>
      </x:c>
      <x:c r="K182" s="23" t="s">
        <x:v>479</x:v>
      </x:c>
      <x:c r="L182" s="23" t="s">
        <x:v>480</x:v>
      </x:c>
      <x:c r="M182" s="23" t="s">
        <x:v>481</x:v>
      </x:c>
      <x:c r="N182" s="23" t="s">
        <x:v>482</x:v>
      </x:c>
      <x:c r="O182" s="23" t="s">
        <x:v>483</x:v>
      </x:c>
      <x:c r="P182" s="24"/>
      <x:c r="Q182" s="24"/>
      <x:c r="R182" s="24"/>
      <x:c r="S182" s="24"/>
      <x:c r="T182" s="24"/>
      <x:c r="U182" s="24"/>
      <x:c r="V182" s="24"/>
      <x:c r="W182" s="24"/>
      <x:c r="X182" s="81" t="str">
        <x:f>IF(OR(R182="",R182=0),"",U182/R182)</x:f>
      </x:c>
      <x:c r="Y182" s="81" t="str">
        <x:f>IF(OR(Q182="",Q182=0),"",R182/Q182)</x:f>
      </x:c>
      <x:c r="Z182" s="26" t="s">
        <x:v>825</x:v>
      </x:c>
      <x:c r="AA182" s="24"/>
    </x:row>
    <x:row r="183" ht="188.10000610351562" customHeight="1">
      <x:c r="A183" s="22" t="s">
        <x:v>1018</x:v>
      </x:c>
      <x:c r="B183" s="22" t="s">
        <x:v>475</x:v>
      </x:c>
      <x:c r="C183" s="22" t="s">
        <x:v>46</x:v>
      </x:c>
      <x:c r="D183" s="23" t="s">
        <x:v>476</x:v>
      </x:c>
      <x:c r="E183" s="23" t="s">
        <x:v>176</x:v>
      </x:c>
      <x:c r="F183" s="23" t="s">
        <x:v>477</x:v>
      </x:c>
      <x:c r="G183" s="23" t="s">
        <x:v>693</x:v>
      </x:c>
      <x:c r="H183" s="23" t="s">
        <x:v>695</x:v>
      </x:c>
      <x:c r="I183" s="23" t="s">
        <x:v>839</x:v>
      </x:c>
      <x:c r="J183" s="23" t="s">
        <x:v>840</x:v>
      </x:c>
      <x:c r="K183" s="23" t="s">
        <x:v>479</x:v>
      </x:c>
      <x:c r="L183" s="23" t="s">
        <x:v>480</x:v>
      </x:c>
      <x:c r="M183" s="23" t="s">
        <x:v>481</x:v>
      </x:c>
      <x:c r="N183" s="23" t="s">
        <x:v>482</x:v>
      </x:c>
      <x:c r="O183" s="23" t="s">
        <x:v>483</x:v>
      </x:c>
      <x:c r="P183" s="24"/>
      <x:c r="Q183" s="24"/>
      <x:c r="R183" s="24"/>
      <x:c r="S183" s="24"/>
      <x:c r="T183" s="24"/>
      <x:c r="U183" s="24"/>
      <x:c r="V183" s="24"/>
      <x:c r="W183" s="24"/>
      <x:c r="X183" s="81" t="str">
        <x:f>IF(OR(R183="",R183=0),"",U183/R183)</x:f>
      </x:c>
      <x:c r="Y183" s="81" t="str">
        <x:f>IF(OR(Q183="",Q183=0),"",R183/Q183)</x:f>
      </x:c>
      <x:c r="Z183" s="26" t="s">
        <x:v>825</x:v>
      </x:c>
      <x:c r="AA183" s="24"/>
    </x:row>
    <x:row r="184" ht="188.10000610351562" customHeight="1">
      <x:c r="A184" s="22" t="s">
        <x:v>1019</x:v>
      </x:c>
      <x:c r="B184" s="22" t="s">
        <x:v>484</x:v>
      </x:c>
      <x:c r="C184" s="22" t="s">
        <x:v>46</x:v>
      </x:c>
      <x:c r="D184" s="23" t="s">
        <x:v>485</x:v>
      </x:c>
      <x:c r="E184" s="23" t="s">
        <x:v>205</x:v>
      </x:c>
      <x:c r="F184" s="23" t="s">
        <x:v>486</x:v>
      </x:c>
      <x:c r="G184" s="23" t="s">
        <x:v>666</x:v>
      </x:c>
      <x:c r="H184" s="23" t="s">
        <x:v>668</x:v>
      </x:c>
      <x:c r="I184" s="23" t="s">
        <x:v>429</x:v>
      </x:c>
      <x:c r="J184" s="23" t="s">
        <x:v>933</x:v>
      </x:c>
      <x:c r="K184" s="23" t="s">
        <x:v>487</x:v>
      </x:c>
      <x:c r="L184" s="23" t="s">
        <x:v>488</x:v>
      </x:c>
      <x:c r="M184" s="23" t="s">
        <x:v>489</x:v>
      </x:c>
      <x:c r="N184" s="23" t="s">
        <x:v>490</x:v>
      </x:c>
      <x:c r="O184" s="23" t="s">
        <x:v>184</x:v>
      </x:c>
      <x:c r="P184" s="24"/>
      <x:c r="Q184" s="24"/>
      <x:c r="R184" s="24"/>
      <x:c r="S184" s="24"/>
      <x:c r="T184" s="24"/>
      <x:c r="U184" s="24"/>
      <x:c r="V184" s="24"/>
      <x:c r="W184" s="24"/>
      <x:c r="X184" s="81" t="str">
        <x:f>IF(OR(R184="",R184=0),"",U184/R184)</x:f>
      </x:c>
      <x:c r="Y184" s="81" t="str">
        <x:f>IF(OR(Q184="",Q184=0),"",R184/Q184)</x:f>
      </x:c>
      <x:c r="Z184" s="26" t="s">
        <x:v>825</x:v>
      </x:c>
      <x:c r="AA184" s="24"/>
    </x:row>
    <x:row r="185" ht="188.10000610351562" customHeight="1">
      <x:c r="A185" s="22" t="s">
        <x:v>1020</x:v>
      </x:c>
      <x:c r="B185" s="22" t="s">
        <x:v>484</x:v>
      </x:c>
      <x:c r="C185" s="22" t="s">
        <x:v>46</x:v>
      </x:c>
      <x:c r="D185" s="23" t="s">
        <x:v>485</x:v>
      </x:c>
      <x:c r="E185" s="23" t="s">
        <x:v>205</x:v>
      </x:c>
      <x:c r="F185" s="23" t="s">
        <x:v>486</x:v>
      </x:c>
      <x:c r="G185" s="23" t="s">
        <x:v>666</x:v>
      </x:c>
      <x:c r="H185" s="23" t="s">
        <x:v>668</x:v>
      </x:c>
      <x:c r="I185" s="23" t="s">
        <x:v>839</x:v>
      </x:c>
      <x:c r="J185" s="23" t="s">
        <x:v>840</x:v>
      </x:c>
      <x:c r="K185" s="23" t="s">
        <x:v>487</x:v>
      </x:c>
      <x:c r="L185" s="23" t="s">
        <x:v>488</x:v>
      </x:c>
      <x:c r="M185" s="23" t="s">
        <x:v>489</x:v>
      </x:c>
      <x:c r="N185" s="23" t="s">
        <x:v>490</x:v>
      </x:c>
      <x:c r="O185" s="23" t="s">
        <x:v>184</x:v>
      </x:c>
      <x:c r="P185" s="24"/>
      <x:c r="Q185" s="24"/>
      <x:c r="R185" s="24"/>
      <x:c r="S185" s="24"/>
      <x:c r="T185" s="24"/>
      <x:c r="U185" s="24"/>
      <x:c r="V185" s="24"/>
      <x:c r="W185" s="24"/>
      <x:c r="X185" s="81" t="str">
        <x:f>IF(OR(R185="",R185=0),"",U185/R185)</x:f>
      </x:c>
      <x:c r="Y185" s="81" t="str">
        <x:f>IF(OR(Q185="",Q185=0),"",R185/Q185)</x:f>
      </x:c>
      <x:c r="Z185" s="26" t="s">
        <x:v>825</x:v>
      </x:c>
      <x:c r="AA185" s="24"/>
    </x:row>
    <x:row r="186" ht="188.10000610351562" customHeight="1">
      <x:c r="A186" s="22" t="s">
        <x:v>1021</x:v>
      </x:c>
      <x:c r="B186" s="22" t="s">
        <x:v>484</x:v>
      </x:c>
      <x:c r="C186" s="22" t="s">
        <x:v>46</x:v>
      </x:c>
      <x:c r="D186" s="23" t="s">
        <x:v>485</x:v>
      </x:c>
      <x:c r="E186" s="23" t="s">
        <x:v>205</x:v>
      </x:c>
      <x:c r="F186" s="23" t="s">
        <x:v>486</x:v>
      </x:c>
      <x:c r="G186" s="23" t="s">
        <x:v>684</x:v>
      </x:c>
      <x:c r="H186" s="23" t="s">
        <x:v>686</x:v>
      </x:c>
      <x:c r="I186" s="23" t="s">
        <x:v>429</x:v>
      </x:c>
      <x:c r="J186" s="23" t="s">
        <x:v>933</x:v>
      </x:c>
      <x:c r="K186" s="23" t="s">
        <x:v>487</x:v>
      </x:c>
      <x:c r="L186" s="23" t="s">
        <x:v>488</x:v>
      </x:c>
      <x:c r="M186" s="23" t="s">
        <x:v>489</x:v>
      </x:c>
      <x:c r="N186" s="23" t="s">
        <x:v>490</x:v>
      </x:c>
      <x:c r="O186" s="23" t="s">
        <x:v>184</x:v>
      </x:c>
      <x:c r="P186" s="24"/>
      <x:c r="Q186" s="24"/>
      <x:c r="R186" s="24"/>
      <x:c r="S186" s="24"/>
      <x:c r="T186" s="24"/>
      <x:c r="U186" s="24"/>
      <x:c r="V186" s="24"/>
      <x:c r="W186" s="24"/>
      <x:c r="X186" s="81" t="str">
        <x:f>IF(OR(R186="",R186=0),"",U186/R186)</x:f>
      </x:c>
      <x:c r="Y186" s="81" t="str">
        <x:f>IF(OR(Q186="",Q186=0),"",R186/Q186)</x:f>
      </x:c>
      <x:c r="Z186" s="26" t="s">
        <x:v>825</x:v>
      </x:c>
      <x:c r="AA186" s="24"/>
    </x:row>
    <x:row r="187" ht="188.10000610351562" customHeight="1">
      <x:c r="A187" s="22" t="s">
        <x:v>1022</x:v>
      </x:c>
      <x:c r="B187" s="22" t="s">
        <x:v>484</x:v>
      </x:c>
      <x:c r="C187" s="22" t="s">
        <x:v>46</x:v>
      </x:c>
      <x:c r="D187" s="23" t="s">
        <x:v>485</x:v>
      </x:c>
      <x:c r="E187" s="23" t="s">
        <x:v>205</x:v>
      </x:c>
      <x:c r="F187" s="23" t="s">
        <x:v>486</x:v>
      </x:c>
      <x:c r="G187" s="23" t="s">
        <x:v>684</x:v>
      </x:c>
      <x:c r="H187" s="23" t="s">
        <x:v>686</x:v>
      </x:c>
      <x:c r="I187" s="23" t="s">
        <x:v>839</x:v>
      </x:c>
      <x:c r="J187" s="23" t="s">
        <x:v>840</x:v>
      </x:c>
      <x:c r="K187" s="23" t="s">
        <x:v>487</x:v>
      </x:c>
      <x:c r="L187" s="23" t="s">
        <x:v>488</x:v>
      </x:c>
      <x:c r="M187" s="23" t="s">
        <x:v>489</x:v>
      </x:c>
      <x:c r="N187" s="23" t="s">
        <x:v>490</x:v>
      </x:c>
      <x:c r="O187" s="23" t="s">
        <x:v>184</x:v>
      </x:c>
      <x:c r="P187" s="24"/>
      <x:c r="Q187" s="24"/>
      <x:c r="R187" s="24"/>
      <x:c r="S187" s="24"/>
      <x:c r="T187" s="24"/>
      <x:c r="U187" s="24"/>
      <x:c r="V187" s="24"/>
      <x:c r="W187" s="24"/>
      <x:c r="X187" s="81" t="str">
        <x:f>IF(OR(R187="",R187=0),"",U187/R187)</x:f>
      </x:c>
      <x:c r="Y187" s="81" t="str">
        <x:f>IF(OR(Q187="",Q187=0),"",R187/Q187)</x:f>
      </x:c>
      <x:c r="Z187" s="26" t="s">
        <x:v>825</x:v>
      </x:c>
      <x:c r="AA187" s="24"/>
    </x:row>
    <x:row r="188" ht="188.10000610351562" customHeight="1">
      <x:c r="A188" s="22" t="s">
        <x:v>1023</x:v>
      </x:c>
      <x:c r="B188" s="22" t="s">
        <x:v>484</x:v>
      </x:c>
      <x:c r="C188" s="22" t="s">
        <x:v>46</x:v>
      </x:c>
      <x:c r="D188" s="23" t="s">
        <x:v>485</x:v>
      </x:c>
      <x:c r="E188" s="23" t="s">
        <x:v>205</x:v>
      </x:c>
      <x:c r="F188" s="23" t="s">
        <x:v>486</x:v>
      </x:c>
      <x:c r="G188" s="23" t="s">
        <x:v>693</x:v>
      </x:c>
      <x:c r="H188" s="23" t="s">
        <x:v>695</x:v>
      </x:c>
      <x:c r="I188" s="23" t="s">
        <x:v>429</x:v>
      </x:c>
      <x:c r="J188" s="23" t="s">
        <x:v>933</x:v>
      </x:c>
      <x:c r="K188" s="23" t="s">
        <x:v>487</x:v>
      </x:c>
      <x:c r="L188" s="23" t="s">
        <x:v>488</x:v>
      </x:c>
      <x:c r="M188" s="23" t="s">
        <x:v>489</x:v>
      </x:c>
      <x:c r="N188" s="23" t="s">
        <x:v>490</x:v>
      </x:c>
      <x:c r="O188" s="23" t="s">
        <x:v>184</x:v>
      </x:c>
      <x:c r="P188" s="24"/>
      <x:c r="Q188" s="24"/>
      <x:c r="R188" s="24"/>
      <x:c r="S188" s="24"/>
      <x:c r="T188" s="24"/>
      <x:c r="U188" s="24"/>
      <x:c r="V188" s="24"/>
      <x:c r="W188" s="24"/>
      <x:c r="X188" s="81" t="str">
        <x:f>IF(OR(R188="",R188=0),"",U188/R188)</x:f>
      </x:c>
      <x:c r="Y188" s="81" t="str">
        <x:f>IF(OR(Q188="",Q188=0),"",R188/Q188)</x:f>
      </x:c>
      <x:c r="Z188" s="26" t="s">
        <x:v>825</x:v>
      </x:c>
      <x:c r="AA188" s="24"/>
    </x:row>
    <x:row r="189" ht="188.10000610351562" customHeight="1">
      <x:c r="A189" s="22" t="s">
        <x:v>1024</x:v>
      </x:c>
      <x:c r="B189" s="22" t="s">
        <x:v>484</x:v>
      </x:c>
      <x:c r="C189" s="22" t="s">
        <x:v>46</x:v>
      </x:c>
      <x:c r="D189" s="23" t="s">
        <x:v>485</x:v>
      </x:c>
      <x:c r="E189" s="23" t="s">
        <x:v>205</x:v>
      </x:c>
      <x:c r="F189" s="23" t="s">
        <x:v>486</x:v>
      </x:c>
      <x:c r="G189" s="23" t="s">
        <x:v>693</x:v>
      </x:c>
      <x:c r="H189" s="23" t="s">
        <x:v>695</x:v>
      </x:c>
      <x:c r="I189" s="23" t="s">
        <x:v>839</x:v>
      </x:c>
      <x:c r="J189" s="23" t="s">
        <x:v>840</x:v>
      </x:c>
      <x:c r="K189" s="23" t="s">
        <x:v>487</x:v>
      </x:c>
      <x:c r="L189" s="23" t="s">
        <x:v>488</x:v>
      </x:c>
      <x:c r="M189" s="23" t="s">
        <x:v>489</x:v>
      </x:c>
      <x:c r="N189" s="23" t="s">
        <x:v>490</x:v>
      </x:c>
      <x:c r="O189" s="23" t="s">
        <x:v>184</x:v>
      </x:c>
      <x:c r="P189" s="24"/>
      <x:c r="Q189" s="24"/>
      <x:c r="R189" s="24"/>
      <x:c r="S189" s="24"/>
      <x:c r="T189" s="24"/>
      <x:c r="U189" s="24"/>
      <x:c r="V189" s="24"/>
      <x:c r="W189" s="24"/>
      <x:c r="X189" s="81" t="str">
        <x:f>IF(OR(R189="",R189=0),"",U189/R189)</x:f>
      </x:c>
      <x:c r="Y189" s="81" t="str">
        <x:f>IF(OR(Q189="",Q189=0),"",R189/Q189)</x:f>
      </x:c>
      <x:c r="Z189" s="26" t="s">
        <x:v>825</x:v>
      </x:c>
      <x:c r="AA189" s="24"/>
    </x:row>
    <x:row r="190" ht="188.10000610351562" customHeight="1">
      <x:c r="A190" s="22" t="s">
        <x:v>1025</x:v>
      </x:c>
      <x:c r="B190" s="22" t="s">
        <x:v>491</x:v>
      </x:c>
      <x:c r="C190" s="22" t="s">
        <x:v>46</x:v>
      </x:c>
      <x:c r="D190" s="23" t="s">
        <x:v>492</x:v>
      </x:c>
      <x:c r="E190" s="23" t="s">
        <x:v>285</x:v>
      </x:c>
      <x:c r="F190" s="23" t="s">
        <x:v>493</x:v>
      </x:c>
      <x:c r="G190" s="23" t="s">
        <x:v>666</x:v>
      </x:c>
      <x:c r="H190" s="23" t="s">
        <x:v>668</x:v>
      </x:c>
      <x:c r="I190" s="23" t="s">
        <x:v>429</x:v>
      </x:c>
      <x:c r="J190" s="23" t="s">
        <x:v>933</x:v>
      </x:c>
      <x:c r="K190" s="23" t="s">
        <x:v>288</x:v>
      </x:c>
      <x:c r="L190" s="23" t="s">
        <x:v>494</x:v>
      </x:c>
      <x:c r="M190" s="23" t="s">
        <x:v>495</x:v>
      </x:c>
      <x:c r="N190" s="23" t="s">
        <x:v>496</x:v>
      </x:c>
      <x:c r="O190" s="23" t="s">
        <x:v>497</x:v>
      </x:c>
      <x:c r="P190" s="24"/>
      <x:c r="Q190" s="24"/>
      <x:c r="R190" s="24"/>
      <x:c r="S190" s="24"/>
      <x:c r="T190" s="24"/>
      <x:c r="U190" s="24"/>
      <x:c r="V190" s="24"/>
      <x:c r="W190" s="24"/>
      <x:c r="X190" s="81" t="str">
        <x:f>IF(OR(R190="",R190=0),"",U190/R190)</x:f>
      </x:c>
      <x:c r="Y190" s="81" t="str">
        <x:f>IF(OR(Q190="",Q190=0),"",R190/Q190)</x:f>
      </x:c>
      <x:c r="Z190" s="26" t="s">
        <x:v>825</x:v>
      </x:c>
      <x:c r="AA190" s="24"/>
    </x:row>
    <x:row r="191" ht="188.10000610351562" customHeight="1">
      <x:c r="A191" s="22" t="s">
        <x:v>1026</x:v>
      </x:c>
      <x:c r="B191" s="22" t="s">
        <x:v>491</x:v>
      </x:c>
      <x:c r="C191" s="22" t="s">
        <x:v>46</x:v>
      </x:c>
      <x:c r="D191" s="23" t="s">
        <x:v>492</x:v>
      </x:c>
      <x:c r="E191" s="23" t="s">
        <x:v>285</x:v>
      </x:c>
      <x:c r="F191" s="23" t="s">
        <x:v>493</x:v>
      </x:c>
      <x:c r="G191" s="23" t="s">
        <x:v>167</x:v>
      </x:c>
      <x:c r="H191" s="23" t="s">
        <x:v>690</x:v>
      </x:c>
      <x:c r="I191" s="23" t="s">
        <x:v>429</x:v>
      </x:c>
      <x:c r="J191" s="23" t="s">
        <x:v>933</x:v>
      </x:c>
      <x:c r="K191" s="23" t="s">
        <x:v>288</x:v>
      </x:c>
      <x:c r="L191" s="23" t="s">
        <x:v>494</x:v>
      </x:c>
      <x:c r="M191" s="23" t="s">
        <x:v>495</x:v>
      </x:c>
      <x:c r="N191" s="23" t="s">
        <x:v>496</x:v>
      </x:c>
      <x:c r="O191" s="23" t="s">
        <x:v>497</x:v>
      </x:c>
      <x:c r="P191" s="24"/>
      <x:c r="Q191" s="24"/>
      <x:c r="R191" s="24"/>
      <x:c r="S191" s="24"/>
      <x:c r="T191" s="24"/>
      <x:c r="U191" s="24"/>
      <x:c r="V191" s="24"/>
      <x:c r="W191" s="24"/>
      <x:c r="X191" s="81" t="str">
        <x:f>IF(OR(R191="",R191=0),"",U191/R191)</x:f>
      </x:c>
      <x:c r="Y191" s="81" t="str">
        <x:f>IF(OR(Q191="",Q191=0),"",R191/Q191)</x:f>
      </x:c>
      <x:c r="Z191" s="26" t="s">
        <x:v>825</x:v>
      </x:c>
      <x:c r="AA191" s="24"/>
    </x:row>
    <x:row r="192" ht="188.10000610351562" customHeight="1">
      <x:c r="A192" s="22" t="s">
        <x:v>1027</x:v>
      </x:c>
      <x:c r="B192" s="22" t="s">
        <x:v>491</x:v>
      </x:c>
      <x:c r="C192" s="22" t="s">
        <x:v>46</x:v>
      </x:c>
      <x:c r="D192" s="23" t="s">
        <x:v>492</x:v>
      </x:c>
      <x:c r="E192" s="23" t="s">
        <x:v>285</x:v>
      </x:c>
      <x:c r="F192" s="23" t="s">
        <x:v>493</x:v>
      </x:c>
      <x:c r="G192" s="23" t="s">
        <x:v>693</x:v>
      </x:c>
      <x:c r="H192" s="23" t="s">
        <x:v>695</x:v>
      </x:c>
      <x:c r="I192" s="23" t="s">
        <x:v>429</x:v>
      </x:c>
      <x:c r="J192" s="23" t="s">
        <x:v>933</x:v>
      </x:c>
      <x:c r="K192" s="23" t="s">
        <x:v>288</x:v>
      </x:c>
      <x:c r="L192" s="23" t="s">
        <x:v>494</x:v>
      </x:c>
      <x:c r="M192" s="23" t="s">
        <x:v>495</x:v>
      </x:c>
      <x:c r="N192" s="23" t="s">
        <x:v>496</x:v>
      </x:c>
      <x:c r="O192" s="23" t="s">
        <x:v>497</x:v>
      </x:c>
      <x:c r="P192" s="24"/>
      <x:c r="Q192" s="24"/>
      <x:c r="R192" s="24"/>
      <x:c r="S192" s="24"/>
      <x:c r="T192" s="24"/>
      <x:c r="U192" s="24"/>
      <x:c r="V192" s="24"/>
      <x:c r="W192" s="24"/>
      <x:c r="X192" s="81" t="str">
        <x:f>IF(OR(R192="",R192=0),"",U192/R192)</x:f>
      </x:c>
      <x:c r="Y192" s="81" t="str">
        <x:f>IF(OR(Q192="",Q192=0),"",R192/Q192)</x:f>
      </x:c>
      <x:c r="Z192" s="26" t="s">
        <x:v>825</x:v>
      </x:c>
      <x:c r="AA192" s="24"/>
    </x:row>
    <x:row r="193" ht="188.10000610351562" customHeight="1">
      <x:c r="A193" s="22" t="s">
        <x:v>1028</x:v>
      </x:c>
      <x:c r="B193" s="22" t="s">
        <x:v>498</x:v>
      </x:c>
      <x:c r="C193" s="22" t="s">
        <x:v>52</x:v>
      </x:c>
      <x:c r="D193" s="23" t="s">
        <x:v>499</x:v>
      </x:c>
      <x:c r="E193" s="23" t="s">
        <x:v>145</x:v>
      </x:c>
      <x:c r="F193" s="23" t="s">
        <x:v>500</x:v>
      </x:c>
      <x:c r="G193" s="23" t="s">
        <x:v>666</x:v>
      </x:c>
      <x:c r="H193" s="23" t="s">
        <x:v>668</x:v>
      </x:c>
      <x:c r="I193" s="23" t="s">
        <x:v>501</x:v>
      </x:c>
      <x:c r="J193" s="23" t="s">
        <x:v>992</x:v>
      </x:c>
      <x:c r="K193" s="23" t="s">
        <x:v>502</x:v>
      </x:c>
      <x:c r="L193" s="23" t="s">
        <x:v>503</x:v>
      </x:c>
      <x:c r="M193" s="23" t="s">
        <x:v>504</x:v>
      </x:c>
      <x:c r="N193" s="23" t="s">
        <x:v>505</x:v>
      </x:c>
      <x:c r="O193" s="23" t="s">
        <x:v>173</x:v>
      </x:c>
      <x:c r="P193" s="24"/>
      <x:c r="Q193" s="24"/>
      <x:c r="R193" s="24"/>
      <x:c r="S193" s="24"/>
      <x:c r="T193" s="24"/>
      <x:c r="U193" s="24"/>
      <x:c r="V193" s="24"/>
      <x:c r="W193" s="24"/>
      <x:c r="X193" s="81" t="str">
        <x:f>IF(OR(R193="",R193=0),"",U193/R193)</x:f>
      </x:c>
      <x:c r="Y193" s="81" t="str">
        <x:f>IF(OR(Q193="",Q193=0),"",R193/Q193)</x:f>
      </x:c>
      <x:c r="Z193" s="26" t="s">
        <x:v>825</x:v>
      </x:c>
      <x:c r="AA193" s="24"/>
    </x:row>
    <x:row r="194" ht="188.10000610351562" customHeight="1">
      <x:c r="A194" s="22" t="s">
        <x:v>1029</x:v>
      </x:c>
      <x:c r="B194" s="22" t="s">
        <x:v>498</x:v>
      </x:c>
      <x:c r="C194" s="22" t="s">
        <x:v>52</x:v>
      </x:c>
      <x:c r="D194" s="23" t="s">
        <x:v>499</x:v>
      </x:c>
      <x:c r="E194" s="23" t="s">
        <x:v>145</x:v>
      </x:c>
      <x:c r="F194" s="23" t="s">
        <x:v>500</x:v>
      </x:c>
      <x:c r="G194" s="23" t="s">
        <x:v>676</x:v>
      </x:c>
      <x:c r="H194" s="23" t="s">
        <x:v>678</x:v>
      </x:c>
      <x:c r="I194" s="23" t="s">
        <x:v>501</x:v>
      </x:c>
      <x:c r="J194" s="23" t="s">
        <x:v>992</x:v>
      </x:c>
      <x:c r="K194" s="23" t="s">
        <x:v>502</x:v>
      </x:c>
      <x:c r="L194" s="23" t="s">
        <x:v>503</x:v>
      </x:c>
      <x:c r="M194" s="23" t="s">
        <x:v>504</x:v>
      </x:c>
      <x:c r="N194" s="23" t="s">
        <x:v>505</x:v>
      </x:c>
      <x:c r="O194" s="23" t="s">
        <x:v>173</x:v>
      </x:c>
      <x:c r="P194" s="24"/>
      <x:c r="Q194" s="24"/>
      <x:c r="R194" s="24"/>
      <x:c r="S194" s="24"/>
      <x:c r="T194" s="24"/>
      <x:c r="U194" s="24"/>
      <x:c r="V194" s="24"/>
      <x:c r="W194" s="24"/>
      <x:c r="X194" s="81" t="str">
        <x:f>IF(OR(R194="",R194=0),"",U194/R194)</x:f>
      </x:c>
      <x:c r="Y194" s="81" t="str">
        <x:f>IF(OR(Q194="",Q194=0),"",R194/Q194)</x:f>
      </x:c>
      <x:c r="Z194" s="26" t="s">
        <x:v>825</x:v>
      </x:c>
      <x:c r="AA194" s="24"/>
    </x:row>
    <x:row r="195" ht="188.10000610351562" customHeight="1">
      <x:c r="A195" s="22" t="s">
        <x:v>1030</x:v>
      </x:c>
      <x:c r="B195" s="22" t="s">
        <x:v>498</x:v>
      </x:c>
      <x:c r="C195" s="22" t="s">
        <x:v>52</x:v>
      </x:c>
      <x:c r="D195" s="23" t="s">
        <x:v>499</x:v>
      </x:c>
      <x:c r="E195" s="23" t="s">
        <x:v>145</x:v>
      </x:c>
      <x:c r="F195" s="23" t="s">
        <x:v>500</x:v>
      </x:c>
      <x:c r="G195" s="23" t="s">
        <x:v>693</x:v>
      </x:c>
      <x:c r="H195" s="23" t="s">
        <x:v>695</x:v>
      </x:c>
      <x:c r="I195" s="23" t="s">
        <x:v>501</x:v>
      </x:c>
      <x:c r="J195" s="23" t="s">
        <x:v>992</x:v>
      </x:c>
      <x:c r="K195" s="23" t="s">
        <x:v>502</x:v>
      </x:c>
      <x:c r="L195" s="23" t="s">
        <x:v>503</x:v>
      </x:c>
      <x:c r="M195" s="23" t="s">
        <x:v>504</x:v>
      </x:c>
      <x:c r="N195" s="23" t="s">
        <x:v>505</x:v>
      </x:c>
      <x:c r="O195" s="23" t="s">
        <x:v>173</x:v>
      </x:c>
      <x:c r="P195" s="24"/>
      <x:c r="Q195" s="24"/>
      <x:c r="R195" s="24"/>
      <x:c r="S195" s="24"/>
      <x:c r="T195" s="24"/>
      <x:c r="U195" s="24"/>
      <x:c r="V195" s="24"/>
      <x:c r="W195" s="24"/>
      <x:c r="X195" s="81" t="str">
        <x:f>IF(OR(R195="",R195=0),"",U195/R195)</x:f>
      </x:c>
      <x:c r="Y195" s="81" t="str">
        <x:f>IF(OR(Q195="",Q195=0),"",R195/Q195)</x:f>
      </x:c>
      <x:c r="Z195" s="26" t="s">
        <x:v>825</x:v>
      </x:c>
      <x:c r="AA195" s="24"/>
    </x:row>
    <x:row r="196" ht="188.10000610351562" customHeight="1">
      <x:c r="A196" s="22" t="s">
        <x:v>1031</x:v>
      </x:c>
      <x:c r="B196" s="22" t="s">
        <x:v>506</x:v>
      </x:c>
      <x:c r="C196" s="22" t="s">
        <x:v>52</x:v>
      </x:c>
      <x:c r="D196" s="23" t="s">
        <x:v>507</x:v>
      </x:c>
      <x:c r="E196" s="23" t="s">
        <x:v>196</x:v>
      </x:c>
      <x:c r="F196" s="23" t="s">
        <x:v>508</x:v>
      </x:c>
      <x:c r="G196" s="23" t="s">
        <x:v>666</x:v>
      </x:c>
      <x:c r="H196" s="23" t="s">
        <x:v>668</x:v>
      </x:c>
      <x:c r="I196" s="23" t="s">
        <x:v>501</x:v>
      </x:c>
      <x:c r="J196" s="23" t="s">
        <x:v>992</x:v>
      </x:c>
      <x:c r="K196" s="23" t="s">
        <x:v>509</x:v>
      </x:c>
      <x:c r="L196" s="23" t="s">
        <x:v>510</x:v>
      </x:c>
      <x:c r="M196" s="23" t="s">
        <x:v>511</x:v>
      </x:c>
      <x:c r="N196" s="23" t="s">
        <x:v>512</x:v>
      </x:c>
      <x:c r="O196" s="23" t="s">
        <x:v>173</x:v>
      </x:c>
      <x:c r="P196" s="24"/>
      <x:c r="Q196" s="24"/>
      <x:c r="R196" s="24"/>
      <x:c r="S196" s="24"/>
      <x:c r="T196" s="24"/>
      <x:c r="U196" s="24"/>
      <x:c r="V196" s="24"/>
      <x:c r="W196" s="24"/>
      <x:c r="X196" s="81" t="str">
        <x:f>IF(OR(R196="",R196=0),"",U196/R196)</x:f>
      </x:c>
      <x:c r="Y196" s="81" t="str">
        <x:f>IF(OR(Q196="",Q196=0),"",R196/Q196)</x:f>
      </x:c>
      <x:c r="Z196" s="26" t="s">
        <x:v>825</x:v>
      </x:c>
      <x:c r="AA196" s="24"/>
    </x:row>
    <x:row r="197" ht="188.10000610351562" customHeight="1">
      <x:c r="A197" s="22" t="s">
        <x:v>1032</x:v>
      </x:c>
      <x:c r="B197" s="22" t="s">
        <x:v>506</x:v>
      </x:c>
      <x:c r="C197" s="22" t="s">
        <x:v>52</x:v>
      </x:c>
      <x:c r="D197" s="23" t="s">
        <x:v>507</x:v>
      </x:c>
      <x:c r="E197" s="23" t="s">
        <x:v>196</x:v>
      </x:c>
      <x:c r="F197" s="23" t="s">
        <x:v>508</x:v>
      </x:c>
      <x:c r="G197" s="23" t="s">
        <x:v>676</x:v>
      </x:c>
      <x:c r="H197" s="23" t="s">
        <x:v>678</x:v>
      </x:c>
      <x:c r="I197" s="23" t="s">
        <x:v>501</x:v>
      </x:c>
      <x:c r="J197" s="23" t="s">
        <x:v>992</x:v>
      </x:c>
      <x:c r="K197" s="23" t="s">
        <x:v>509</x:v>
      </x:c>
      <x:c r="L197" s="23" t="s">
        <x:v>510</x:v>
      </x:c>
      <x:c r="M197" s="23" t="s">
        <x:v>511</x:v>
      </x:c>
      <x:c r="N197" s="23" t="s">
        <x:v>512</x:v>
      </x:c>
      <x:c r="O197" s="23" t="s">
        <x:v>173</x:v>
      </x:c>
      <x:c r="P197" s="24"/>
      <x:c r="Q197" s="24"/>
      <x:c r="R197" s="24"/>
      <x:c r="S197" s="24"/>
      <x:c r="T197" s="24"/>
      <x:c r="U197" s="24"/>
      <x:c r="V197" s="24"/>
      <x:c r="W197" s="24"/>
      <x:c r="X197" s="81" t="str">
        <x:f>IF(OR(R197="",R197=0),"",U197/R197)</x:f>
      </x:c>
      <x:c r="Y197" s="81" t="str">
        <x:f>IF(OR(Q197="",Q197=0),"",R197/Q197)</x:f>
      </x:c>
      <x:c r="Z197" s="26" t="s">
        <x:v>825</x:v>
      </x:c>
      <x:c r="AA197" s="24"/>
    </x:row>
    <x:row r="198" ht="188.10000610351562" customHeight="1">
      <x:c r="A198" s="22" t="s">
        <x:v>1033</x:v>
      </x:c>
      <x:c r="B198" s="22" t="s">
        <x:v>506</x:v>
      </x:c>
      <x:c r="C198" s="22" t="s">
        <x:v>52</x:v>
      </x:c>
      <x:c r="D198" s="23" t="s">
        <x:v>507</x:v>
      </x:c>
      <x:c r="E198" s="23" t="s">
        <x:v>196</x:v>
      </x:c>
      <x:c r="F198" s="23" t="s">
        <x:v>508</x:v>
      </x:c>
      <x:c r="G198" s="23" t="s">
        <x:v>167</x:v>
      </x:c>
      <x:c r="H198" s="23" t="s">
        <x:v>690</x:v>
      </x:c>
      <x:c r="I198" s="23" t="s">
        <x:v>501</x:v>
      </x:c>
      <x:c r="J198" s="23" t="s">
        <x:v>992</x:v>
      </x:c>
      <x:c r="K198" s="23" t="s">
        <x:v>509</x:v>
      </x:c>
      <x:c r="L198" s="23" t="s">
        <x:v>510</x:v>
      </x:c>
      <x:c r="M198" s="23" t="s">
        <x:v>511</x:v>
      </x:c>
      <x:c r="N198" s="23" t="s">
        <x:v>512</x:v>
      </x:c>
      <x:c r="O198" s="23" t="s">
        <x:v>173</x:v>
      </x:c>
      <x:c r="P198" s="24"/>
      <x:c r="Q198" s="24"/>
      <x:c r="R198" s="24"/>
      <x:c r="S198" s="24"/>
      <x:c r="T198" s="24"/>
      <x:c r="U198" s="24"/>
      <x:c r="V198" s="24"/>
      <x:c r="W198" s="24"/>
      <x:c r="X198" s="81" t="str">
        <x:f>IF(OR(R198="",R198=0),"",U198/R198)</x:f>
      </x:c>
      <x:c r="Y198" s="81" t="str">
        <x:f>IF(OR(Q198="",Q198=0),"",R198/Q198)</x:f>
      </x:c>
      <x:c r="Z198" s="26" t="s">
        <x:v>825</x:v>
      </x:c>
      <x:c r="AA198" s="24"/>
    </x:row>
    <x:row r="199" ht="188.10000610351562" customHeight="1">
      <x:c r="A199" s="22" t="s">
        <x:v>1034</x:v>
      </x:c>
      <x:c r="B199" s="22" t="s">
        <x:v>506</x:v>
      </x:c>
      <x:c r="C199" s="22" t="s">
        <x:v>52</x:v>
      </x:c>
      <x:c r="D199" s="23" t="s">
        <x:v>507</x:v>
      </x:c>
      <x:c r="E199" s="23" t="s">
        <x:v>196</x:v>
      </x:c>
      <x:c r="F199" s="23" t="s">
        <x:v>508</x:v>
      </x:c>
      <x:c r="G199" s="23" t="s">
        <x:v>693</x:v>
      </x:c>
      <x:c r="H199" s="23" t="s">
        <x:v>695</x:v>
      </x:c>
      <x:c r="I199" s="23" t="s">
        <x:v>501</x:v>
      </x:c>
      <x:c r="J199" s="23" t="s">
        <x:v>992</x:v>
      </x:c>
      <x:c r="K199" s="23" t="s">
        <x:v>509</x:v>
      </x:c>
      <x:c r="L199" s="23" t="s">
        <x:v>510</x:v>
      </x:c>
      <x:c r="M199" s="23" t="s">
        <x:v>511</x:v>
      </x:c>
      <x:c r="N199" s="23" t="s">
        <x:v>512</x:v>
      </x:c>
      <x:c r="O199" s="23" t="s">
        <x:v>173</x:v>
      </x:c>
      <x:c r="P199" s="24"/>
      <x:c r="Q199" s="24"/>
      <x:c r="R199" s="24"/>
      <x:c r="S199" s="24"/>
      <x:c r="T199" s="24"/>
      <x:c r="U199" s="24"/>
      <x:c r="V199" s="24"/>
      <x:c r="W199" s="24"/>
      <x:c r="X199" s="81" t="str">
        <x:f>IF(OR(R199="",R199=0),"",U199/R199)</x:f>
      </x:c>
      <x:c r="Y199" s="81" t="str">
        <x:f>IF(OR(Q199="",Q199=0),"",R199/Q199)</x:f>
      </x:c>
      <x:c r="Z199" s="26" t="s">
        <x:v>825</x:v>
      </x:c>
      <x:c r="AA199" s="24"/>
    </x:row>
    <x:row r="200" ht="188.10000610351562" customHeight="1">
      <x:c r="A200" s="22" t="s">
        <x:v>1035</x:v>
      </x:c>
      <x:c r="B200" s="22" t="s">
        <x:v>513</x:v>
      </x:c>
      <x:c r="C200" s="22" t="s">
        <x:v>52</x:v>
      </x:c>
      <x:c r="D200" s="23" t="s">
        <x:v>514</x:v>
      </x:c>
      <x:c r="E200" s="23" t="s">
        <x:v>515</x:v>
      </x:c>
      <x:c r="F200" s="23" t="s">
        <x:v>516</x:v>
      </x:c>
      <x:c r="G200" s="23" t="s">
        <x:v>666</x:v>
      </x:c>
      <x:c r="H200" s="23" t="s">
        <x:v>668</x:v>
      </x:c>
      <x:c r="I200" s="23" t="s">
        <x:v>501</x:v>
      </x:c>
      <x:c r="J200" s="23" t="s">
        <x:v>992</x:v>
      </x:c>
      <x:c r="K200" s="23" t="s">
        <x:v>517</x:v>
      </x:c>
      <x:c r="L200" s="23" t="s">
        <x:v>518</x:v>
      </x:c>
      <x:c r="M200" s="23" t="s">
        <x:v>519</x:v>
      </x:c>
      <x:c r="N200" s="23" t="s">
        <x:v>520</x:v>
      </x:c>
      <x:c r="O200" s="23" t="s">
        <x:v>173</x:v>
      </x:c>
      <x:c r="P200" s="24"/>
      <x:c r="Q200" s="24"/>
      <x:c r="R200" s="24"/>
      <x:c r="S200" s="24"/>
      <x:c r="T200" s="24"/>
      <x:c r="U200" s="24"/>
      <x:c r="V200" s="24"/>
      <x:c r="W200" s="24"/>
      <x:c r="X200" s="81" t="str">
        <x:f>IF(OR(R200="",R200=0),"",U200/R200)</x:f>
      </x:c>
      <x:c r="Y200" s="81" t="str">
        <x:f>IF(OR(Q200="",Q200=0),"",R200/Q200)</x:f>
      </x:c>
      <x:c r="Z200" s="26" t="s">
        <x:v>825</x:v>
      </x:c>
      <x:c r="AA200" s="24"/>
    </x:row>
    <x:row r="201" ht="188.10000610351562" customHeight="1">
      <x:c r="A201" s="22" t="s">
        <x:v>1036</x:v>
      </x:c>
      <x:c r="B201" s="22" t="s">
        <x:v>513</x:v>
      </x:c>
      <x:c r="C201" s="22" t="s">
        <x:v>52</x:v>
      </x:c>
      <x:c r="D201" s="23" t="s">
        <x:v>514</x:v>
      </x:c>
      <x:c r="E201" s="23" t="s">
        <x:v>515</x:v>
      </x:c>
      <x:c r="F201" s="23" t="s">
        <x:v>516</x:v>
      </x:c>
      <x:c r="G201" s="23" t="s">
        <x:v>676</x:v>
      </x:c>
      <x:c r="H201" s="23" t="s">
        <x:v>678</x:v>
      </x:c>
      <x:c r="I201" s="23" t="s">
        <x:v>501</x:v>
      </x:c>
      <x:c r="J201" s="23" t="s">
        <x:v>992</x:v>
      </x:c>
      <x:c r="K201" s="23" t="s">
        <x:v>517</x:v>
      </x:c>
      <x:c r="L201" s="23" t="s">
        <x:v>518</x:v>
      </x:c>
      <x:c r="M201" s="23" t="s">
        <x:v>519</x:v>
      </x:c>
      <x:c r="N201" s="23" t="s">
        <x:v>520</x:v>
      </x:c>
      <x:c r="O201" s="23" t="s">
        <x:v>173</x:v>
      </x:c>
      <x:c r="P201" s="24"/>
      <x:c r="Q201" s="24"/>
      <x:c r="R201" s="24"/>
      <x:c r="S201" s="24"/>
      <x:c r="T201" s="24"/>
      <x:c r="U201" s="24"/>
      <x:c r="V201" s="24"/>
      <x:c r="W201" s="24"/>
      <x:c r="X201" s="81" t="str">
        <x:f>IF(OR(R201="",R201=0),"",U201/R201)</x:f>
      </x:c>
      <x:c r="Y201" s="81" t="str">
        <x:f>IF(OR(Q201="",Q201=0),"",R201/Q201)</x:f>
      </x:c>
      <x:c r="Z201" s="26" t="s">
        <x:v>825</x:v>
      </x:c>
      <x:c r="AA201" s="24"/>
    </x:row>
    <x:row r="202" ht="188.10000610351562" customHeight="1">
      <x:c r="A202" s="22" t="s">
        <x:v>1037</x:v>
      </x:c>
      <x:c r="B202" s="22" t="s">
        <x:v>513</x:v>
      </x:c>
      <x:c r="C202" s="22" t="s">
        <x:v>52</x:v>
      </x:c>
      <x:c r="D202" s="23" t="s">
        <x:v>514</x:v>
      </x:c>
      <x:c r="E202" s="23" t="s">
        <x:v>515</x:v>
      </x:c>
      <x:c r="F202" s="23" t="s">
        <x:v>516</x:v>
      </x:c>
      <x:c r="G202" s="23" t="s">
        <x:v>693</x:v>
      </x:c>
      <x:c r="H202" s="23" t="s">
        <x:v>695</x:v>
      </x:c>
      <x:c r="I202" s="23" t="s">
        <x:v>501</x:v>
      </x:c>
      <x:c r="J202" s="23" t="s">
        <x:v>992</x:v>
      </x:c>
      <x:c r="K202" s="23" t="s">
        <x:v>517</x:v>
      </x:c>
      <x:c r="L202" s="23" t="s">
        <x:v>518</x:v>
      </x:c>
      <x:c r="M202" s="23" t="s">
        <x:v>519</x:v>
      </x:c>
      <x:c r="N202" s="23" t="s">
        <x:v>520</x:v>
      </x:c>
      <x:c r="O202" s="23" t="s">
        <x:v>173</x:v>
      </x:c>
      <x:c r="P202" s="24"/>
      <x:c r="Q202" s="24"/>
      <x:c r="R202" s="24"/>
      <x:c r="S202" s="24"/>
      <x:c r="T202" s="24"/>
      <x:c r="U202" s="24"/>
      <x:c r="V202" s="24"/>
      <x:c r="W202" s="24"/>
      <x:c r="X202" s="81" t="str">
        <x:f>IF(OR(R202="",R202=0),"",U202/R202)</x:f>
      </x:c>
      <x:c r="Y202" s="81" t="str">
        <x:f>IF(OR(Q202="",Q202=0),"",R202/Q202)</x:f>
      </x:c>
      <x:c r="Z202" s="26" t="s">
        <x:v>825</x:v>
      </x:c>
      <x:c r="AA202" s="24"/>
    </x:row>
    <x:row r="203" ht="188.10000610351562" customHeight="1">
      <x:c r="A203" s="22" t="s">
        <x:v>1038</x:v>
      </x:c>
      <x:c r="B203" s="22" t="s">
        <x:v>521</x:v>
      </x:c>
      <x:c r="C203" s="22" t="s">
        <x:v>52</x:v>
      </x:c>
      <x:c r="D203" s="23" t="s">
        <x:v>522</x:v>
      </x:c>
      <x:c r="E203" s="23" t="s">
        <x:v>187</x:v>
      </x:c>
      <x:c r="F203" s="23" t="s">
        <x:v>523</x:v>
      </x:c>
      <x:c r="G203" s="23" t="s">
        <x:v>666</x:v>
      </x:c>
      <x:c r="H203" s="23" t="s">
        <x:v>668</x:v>
      </x:c>
      <x:c r="I203" s="23" t="s">
        <x:v>501</x:v>
      </x:c>
      <x:c r="J203" s="23" t="s">
        <x:v>992</x:v>
      </x:c>
      <x:c r="K203" s="23" t="s">
        <x:v>524</x:v>
      </x:c>
      <x:c r="L203" s="23" t="s">
        <x:v>525</x:v>
      </x:c>
      <x:c r="M203" s="23" t="s">
        <x:v>526</x:v>
      </x:c>
      <x:c r="N203" s="23" t="s">
        <x:v>527</x:v>
      </x:c>
      <x:c r="O203" s="23" t="s">
        <x:v>173</x:v>
      </x:c>
      <x:c r="P203" s="24"/>
      <x:c r="Q203" s="24"/>
      <x:c r="R203" s="24"/>
      <x:c r="S203" s="24"/>
      <x:c r="T203" s="24"/>
      <x:c r="U203" s="24"/>
      <x:c r="V203" s="24"/>
      <x:c r="W203" s="24"/>
      <x:c r="X203" s="81" t="str">
        <x:f>IF(OR(R203="",R203=0),"",U203/R203)</x:f>
      </x:c>
      <x:c r="Y203" s="81" t="str">
        <x:f>IF(OR(Q203="",Q203=0),"",R203/Q203)</x:f>
      </x:c>
      <x:c r="Z203" s="26" t="s">
        <x:v>825</x:v>
      </x:c>
      <x:c r="AA203" s="24"/>
    </x:row>
    <x:row r="204" ht="188.10000610351562" customHeight="1">
      <x:c r="A204" s="22" t="s">
        <x:v>1039</x:v>
      </x:c>
      <x:c r="B204" s="22" t="s">
        <x:v>521</x:v>
      </x:c>
      <x:c r="C204" s="22" t="s">
        <x:v>52</x:v>
      </x:c>
      <x:c r="D204" s="23" t="s">
        <x:v>522</x:v>
      </x:c>
      <x:c r="E204" s="23" t="s">
        <x:v>187</x:v>
      </x:c>
      <x:c r="F204" s="23" t="s">
        <x:v>523</x:v>
      </x:c>
      <x:c r="G204" s="23" t="s">
        <x:v>676</x:v>
      </x:c>
      <x:c r="H204" s="23" t="s">
        <x:v>678</x:v>
      </x:c>
      <x:c r="I204" s="23" t="s">
        <x:v>501</x:v>
      </x:c>
      <x:c r="J204" s="23" t="s">
        <x:v>992</x:v>
      </x:c>
      <x:c r="K204" s="23" t="s">
        <x:v>524</x:v>
      </x:c>
      <x:c r="L204" s="23" t="s">
        <x:v>525</x:v>
      </x:c>
      <x:c r="M204" s="23" t="s">
        <x:v>526</x:v>
      </x:c>
      <x:c r="N204" s="23" t="s">
        <x:v>527</x:v>
      </x:c>
      <x:c r="O204" s="23" t="s">
        <x:v>173</x:v>
      </x:c>
      <x:c r="P204" s="24"/>
      <x:c r="Q204" s="24"/>
      <x:c r="R204" s="24"/>
      <x:c r="S204" s="24"/>
      <x:c r="T204" s="24"/>
      <x:c r="U204" s="24"/>
      <x:c r="V204" s="24"/>
      <x:c r="W204" s="24"/>
      <x:c r="X204" s="81" t="str">
        <x:f>IF(OR(R204="",R204=0),"",U204/R204)</x:f>
      </x:c>
      <x:c r="Y204" s="81" t="str">
        <x:f>IF(OR(Q204="",Q204=0),"",R204/Q204)</x:f>
      </x:c>
      <x:c r="Z204" s="26" t="s">
        <x:v>825</x:v>
      </x:c>
      <x:c r="AA204" s="24"/>
    </x:row>
    <x:row r="205" ht="188.10000610351562" customHeight="1">
      <x:c r="A205" s="22" t="s">
        <x:v>1040</x:v>
      </x:c>
      <x:c r="B205" s="22" t="s">
        <x:v>521</x:v>
      </x:c>
      <x:c r="C205" s="22" t="s">
        <x:v>52</x:v>
      </x:c>
      <x:c r="D205" s="23" t="s">
        <x:v>522</x:v>
      </x:c>
      <x:c r="E205" s="23" t="s">
        <x:v>187</x:v>
      </x:c>
      <x:c r="F205" s="23" t="s">
        <x:v>523</x:v>
      </x:c>
      <x:c r="G205" s="23" t="s">
        <x:v>693</x:v>
      </x:c>
      <x:c r="H205" s="23" t="s">
        <x:v>695</x:v>
      </x:c>
      <x:c r="I205" s="23" t="s">
        <x:v>501</x:v>
      </x:c>
      <x:c r="J205" s="23" t="s">
        <x:v>992</x:v>
      </x:c>
      <x:c r="K205" s="23" t="s">
        <x:v>524</x:v>
      </x:c>
      <x:c r="L205" s="23" t="s">
        <x:v>525</x:v>
      </x:c>
      <x:c r="M205" s="23" t="s">
        <x:v>526</x:v>
      </x:c>
      <x:c r="N205" s="23" t="s">
        <x:v>527</x:v>
      </x:c>
      <x:c r="O205" s="23" t="s">
        <x:v>173</x:v>
      </x:c>
      <x:c r="P205" s="24"/>
      <x:c r="Q205" s="24"/>
      <x:c r="R205" s="24"/>
      <x:c r="S205" s="24"/>
      <x:c r="T205" s="24"/>
      <x:c r="U205" s="24"/>
      <x:c r="V205" s="24"/>
      <x:c r="W205" s="24"/>
      <x:c r="X205" s="81" t="str">
        <x:f>IF(OR(R205="",R205=0),"",U205/R205)</x:f>
      </x:c>
      <x:c r="Y205" s="81" t="str">
        <x:f>IF(OR(Q205="",Q205=0),"",R205/Q205)</x:f>
      </x:c>
      <x:c r="Z205" s="26" t="s">
        <x:v>825</x:v>
      </x:c>
      <x:c r="AA205" s="24"/>
    </x:row>
    <x:row r="206" ht="188.10000610351562" customHeight="1">
      <x:c r="A206" s="22" t="s">
        <x:v>1041</x:v>
      </x:c>
      <x:c r="B206" s="22" t="s">
        <x:v>528</x:v>
      </x:c>
      <x:c r="C206" s="22" t="s">
        <x:v>52</x:v>
      </x:c>
      <x:c r="D206" s="23" t="s">
        <x:v>529</x:v>
      </x:c>
      <x:c r="E206" s="23" t="s">
        <x:v>205</x:v>
      </x:c>
      <x:c r="F206" s="23" t="s">
        <x:v>530</x:v>
      </x:c>
      <x:c r="G206" s="23" t="s">
        <x:v>666</x:v>
      </x:c>
      <x:c r="H206" s="23" t="s">
        <x:v>668</x:v>
      </x:c>
      <x:c r="I206" s="23" t="s">
        <x:v>501</x:v>
      </x:c>
      <x:c r="J206" s="23" t="s">
        <x:v>992</x:v>
      </x:c>
      <x:c r="K206" s="23" t="s">
        <x:v>531</x:v>
      </x:c>
      <x:c r="L206" s="23" t="s">
        <x:v>532</x:v>
      </x:c>
      <x:c r="M206" s="23" t="s">
        <x:v>533</x:v>
      </x:c>
      <x:c r="N206" s="23" t="s">
        <x:v>534</x:v>
      </x:c>
      <x:c r="O206" s="23" t="s">
        <x:v>535</x:v>
      </x:c>
      <x:c r="P206" s="24"/>
      <x:c r="Q206" s="24"/>
      <x:c r="R206" s="24"/>
      <x:c r="S206" s="24"/>
      <x:c r="T206" s="24"/>
      <x:c r="U206" s="24"/>
      <x:c r="V206" s="24"/>
      <x:c r="W206" s="24"/>
      <x:c r="X206" s="81" t="str">
        <x:f>IF(OR(R206="",R206=0),"",U206/R206)</x:f>
      </x:c>
      <x:c r="Y206" s="81" t="str">
        <x:f>IF(OR(Q206="",Q206=0),"",R206/Q206)</x:f>
      </x:c>
      <x:c r="Z206" s="26" t="s">
        <x:v>825</x:v>
      </x:c>
      <x:c r="AA206" s="24"/>
    </x:row>
    <x:row r="207" ht="188.10000610351562" customHeight="1">
      <x:c r="A207" s="22" t="s">
        <x:v>1042</x:v>
      </x:c>
      <x:c r="B207" s="22" t="s">
        <x:v>528</x:v>
      </x:c>
      <x:c r="C207" s="22" t="s">
        <x:v>52</x:v>
      </x:c>
      <x:c r="D207" s="23" t="s">
        <x:v>529</x:v>
      </x:c>
      <x:c r="E207" s="23" t="s">
        <x:v>205</x:v>
      </x:c>
      <x:c r="F207" s="23" t="s">
        <x:v>530</x:v>
      </x:c>
      <x:c r="G207" s="23" t="s">
        <x:v>684</x:v>
      </x:c>
      <x:c r="H207" s="23" t="s">
        <x:v>686</x:v>
      </x:c>
      <x:c r="I207" s="23" t="s">
        <x:v>501</x:v>
      </x:c>
      <x:c r="J207" s="23" t="s">
        <x:v>992</x:v>
      </x:c>
      <x:c r="K207" s="23" t="s">
        <x:v>531</x:v>
      </x:c>
      <x:c r="L207" s="23" t="s">
        <x:v>532</x:v>
      </x:c>
      <x:c r="M207" s="23" t="s">
        <x:v>533</x:v>
      </x:c>
      <x:c r="N207" s="23" t="s">
        <x:v>534</x:v>
      </x:c>
      <x:c r="O207" s="23" t="s">
        <x:v>535</x:v>
      </x:c>
      <x:c r="P207" s="24"/>
      <x:c r="Q207" s="24"/>
      <x:c r="R207" s="24"/>
      <x:c r="S207" s="24"/>
      <x:c r="T207" s="24"/>
      <x:c r="U207" s="24"/>
      <x:c r="V207" s="24"/>
      <x:c r="W207" s="24"/>
      <x:c r="X207" s="81" t="str">
        <x:f>IF(OR(R207="",R207=0),"",U207/R207)</x:f>
      </x:c>
      <x:c r="Y207" s="81" t="str">
        <x:f>IF(OR(Q207="",Q207=0),"",R207/Q207)</x:f>
      </x:c>
      <x:c r="Z207" s="26" t="s">
        <x:v>825</x:v>
      </x:c>
      <x:c r="AA207" s="24"/>
    </x:row>
    <x:row r="208" ht="188.10000610351562" customHeight="1">
      <x:c r="A208" s="22" t="s">
        <x:v>1043</x:v>
      </x:c>
      <x:c r="B208" s="22" t="s">
        <x:v>528</x:v>
      </x:c>
      <x:c r="C208" s="22" t="s">
        <x:v>52</x:v>
      </x:c>
      <x:c r="D208" s="23" t="s">
        <x:v>529</x:v>
      </x:c>
      <x:c r="E208" s="23" t="s">
        <x:v>205</x:v>
      </x:c>
      <x:c r="F208" s="23" t="s">
        <x:v>530</x:v>
      </x:c>
      <x:c r="G208" s="23" t="s">
        <x:v>693</x:v>
      </x:c>
      <x:c r="H208" s="23" t="s">
        <x:v>695</x:v>
      </x:c>
      <x:c r="I208" s="23" t="s">
        <x:v>501</x:v>
      </x:c>
      <x:c r="J208" s="23" t="s">
        <x:v>992</x:v>
      </x:c>
      <x:c r="K208" s="23" t="s">
        <x:v>531</x:v>
      </x:c>
      <x:c r="L208" s="23" t="s">
        <x:v>532</x:v>
      </x:c>
      <x:c r="M208" s="23" t="s">
        <x:v>533</x:v>
      </x:c>
      <x:c r="N208" s="23" t="s">
        <x:v>534</x:v>
      </x:c>
      <x:c r="O208" s="23" t="s">
        <x:v>535</x:v>
      </x:c>
      <x:c r="P208" s="24"/>
      <x:c r="Q208" s="24"/>
      <x:c r="R208" s="24"/>
      <x:c r="S208" s="24"/>
      <x:c r="T208" s="24"/>
      <x:c r="U208" s="24"/>
      <x:c r="V208" s="24"/>
      <x:c r="W208" s="24"/>
      <x:c r="X208" s="81" t="str">
        <x:f>IF(OR(R208="",R208=0),"",U208/R208)</x:f>
      </x:c>
      <x:c r="Y208" s="81" t="str">
        <x:f>IF(OR(Q208="",Q208=0),"",R208/Q208)</x:f>
      </x:c>
      <x:c r="Z208" s="26" t="s">
        <x:v>825</x:v>
      </x:c>
      <x:c r="AA208" s="24"/>
    </x:row>
    <x:row r="209" ht="188.10000610351562" customHeight="1">
      <x:c r="A209" s="22" t="s">
        <x:v>1044</x:v>
      </x:c>
      <x:c r="B209" s="22" t="s">
        <x:v>536</x:v>
      </x:c>
      <x:c r="C209" s="22" t="s">
        <x:v>52</x:v>
      </x:c>
      <x:c r="D209" s="23" t="s">
        <x:v>537</x:v>
      </x:c>
      <x:c r="E209" s="23" t="s">
        <x:v>205</x:v>
      </x:c>
      <x:c r="F209" s="23" t="s">
        <x:v>538</x:v>
      </x:c>
      <x:c r="G209" s="23" t="s">
        <x:v>666</x:v>
      </x:c>
      <x:c r="H209" s="23" t="s">
        <x:v>668</x:v>
      </x:c>
      <x:c r="I209" s="23" t="s">
        <x:v>501</x:v>
      </x:c>
      <x:c r="J209" s="23" t="s">
        <x:v>992</x:v>
      </x:c>
      <x:c r="K209" s="23" t="s">
        <x:v>539</x:v>
      </x:c>
      <x:c r="L209" s="23" t="s">
        <x:v>540</x:v>
      </x:c>
      <x:c r="M209" s="23" t="s">
        <x:v>541</x:v>
      </x:c>
      <x:c r="N209" s="23" t="s">
        <x:v>542</x:v>
      </x:c>
      <x:c r="O209" s="23" t="s">
        <x:v>173</x:v>
      </x:c>
      <x:c r="P209" s="24"/>
      <x:c r="Q209" s="24"/>
      <x:c r="R209" s="24"/>
      <x:c r="S209" s="24"/>
      <x:c r="T209" s="24"/>
      <x:c r="U209" s="24"/>
      <x:c r="V209" s="24"/>
      <x:c r="W209" s="24"/>
      <x:c r="X209" s="81" t="str">
        <x:f>IF(OR(R209="",R209=0),"",U209/R209)</x:f>
      </x:c>
      <x:c r="Y209" s="81" t="str">
        <x:f>IF(OR(Q209="",Q209=0),"",R209/Q209)</x:f>
      </x:c>
      <x:c r="Z209" s="26" t="s">
        <x:v>825</x:v>
      </x:c>
      <x:c r="AA209" s="24"/>
    </x:row>
    <x:row r="210" ht="188.10000610351562" customHeight="1">
      <x:c r="A210" s="22" t="s">
        <x:v>1045</x:v>
      </x:c>
      <x:c r="B210" s="22" t="s">
        <x:v>536</x:v>
      </x:c>
      <x:c r="C210" s="22" t="s">
        <x:v>52</x:v>
      </x:c>
      <x:c r="D210" s="23" t="s">
        <x:v>537</x:v>
      </x:c>
      <x:c r="E210" s="23" t="s">
        <x:v>205</x:v>
      </x:c>
      <x:c r="F210" s="23" t="s">
        <x:v>538</x:v>
      </x:c>
      <x:c r="G210" s="23" t="s">
        <x:v>684</x:v>
      </x:c>
      <x:c r="H210" s="23" t="s">
        <x:v>686</x:v>
      </x:c>
      <x:c r="I210" s="23" t="s">
        <x:v>501</x:v>
      </x:c>
      <x:c r="J210" s="23" t="s">
        <x:v>992</x:v>
      </x:c>
      <x:c r="K210" s="23" t="s">
        <x:v>539</x:v>
      </x:c>
      <x:c r="L210" s="23" t="s">
        <x:v>540</x:v>
      </x:c>
      <x:c r="M210" s="23" t="s">
        <x:v>541</x:v>
      </x:c>
      <x:c r="N210" s="23" t="s">
        <x:v>542</x:v>
      </x:c>
      <x:c r="O210" s="23" t="s">
        <x:v>173</x:v>
      </x:c>
      <x:c r="P210" s="24"/>
      <x:c r="Q210" s="24"/>
      <x:c r="R210" s="24"/>
      <x:c r="S210" s="24"/>
      <x:c r="T210" s="24"/>
      <x:c r="U210" s="24"/>
      <x:c r="V210" s="24"/>
      <x:c r="W210" s="24"/>
      <x:c r="X210" s="81" t="str">
        <x:f>IF(OR(R210="",R210=0),"",U210/R210)</x:f>
      </x:c>
      <x:c r="Y210" s="81" t="str">
        <x:f>IF(OR(Q210="",Q210=0),"",R210/Q210)</x:f>
      </x:c>
      <x:c r="Z210" s="26" t="s">
        <x:v>825</x:v>
      </x:c>
      <x:c r="AA210" s="24"/>
    </x:row>
    <x:row r="211" ht="188.10000610351562" customHeight="1">
      <x:c r="A211" s="22" t="s">
        <x:v>1046</x:v>
      </x:c>
      <x:c r="B211" s="22" t="s">
        <x:v>536</x:v>
      </x:c>
      <x:c r="C211" s="22" t="s">
        <x:v>52</x:v>
      </x:c>
      <x:c r="D211" s="23" t="s">
        <x:v>537</x:v>
      </x:c>
      <x:c r="E211" s="23" t="s">
        <x:v>205</x:v>
      </x:c>
      <x:c r="F211" s="23" t="s">
        <x:v>538</x:v>
      </x:c>
      <x:c r="G211" s="23" t="s">
        <x:v>693</x:v>
      </x:c>
      <x:c r="H211" s="23" t="s">
        <x:v>695</x:v>
      </x:c>
      <x:c r="I211" s="23" t="s">
        <x:v>501</x:v>
      </x:c>
      <x:c r="J211" s="23" t="s">
        <x:v>992</x:v>
      </x:c>
      <x:c r="K211" s="23" t="s">
        <x:v>539</x:v>
      </x:c>
      <x:c r="L211" s="23" t="s">
        <x:v>540</x:v>
      </x:c>
      <x:c r="M211" s="23" t="s">
        <x:v>541</x:v>
      </x:c>
      <x:c r="N211" s="23" t="s">
        <x:v>542</x:v>
      </x:c>
      <x:c r="O211" s="23" t="s">
        <x:v>173</x:v>
      </x:c>
      <x:c r="P211" s="24"/>
      <x:c r="Q211" s="24"/>
      <x:c r="R211" s="24"/>
      <x:c r="S211" s="24"/>
      <x:c r="T211" s="24"/>
      <x:c r="U211" s="24"/>
      <x:c r="V211" s="24"/>
      <x:c r="W211" s="24"/>
      <x:c r="X211" s="81" t="str">
        <x:f>IF(OR(R211="",R211=0),"",U211/R211)</x:f>
      </x:c>
      <x:c r="Y211" s="81" t="str">
        <x:f>IF(OR(Q211="",Q211=0),"",R211/Q211)</x:f>
      </x:c>
      <x:c r="Z211" s="26" t="s">
        <x:v>825</x:v>
      </x:c>
      <x:c r="AA211" s="24"/>
    </x:row>
    <x:row r="212" ht="188.10000610351562" customHeight="1">
      <x:c r="A212" s="22" t="s">
        <x:v>1047</x:v>
      </x:c>
      <x:c r="B212" s="22" t="s">
        <x:v>543</x:v>
      </x:c>
      <x:c r="C212" s="22" t="s">
        <x:v>52</x:v>
      </x:c>
      <x:c r="D212" s="23" t="s">
        <x:v>544</x:v>
      </x:c>
      <x:c r="E212" s="23" t="s">
        <x:v>176</x:v>
      </x:c>
      <x:c r="F212" s="23" t="s">
        <x:v>545</x:v>
      </x:c>
      <x:c r="G212" s="23" t="s">
        <x:v>666</x:v>
      </x:c>
      <x:c r="H212" s="23" t="s">
        <x:v>668</x:v>
      </x:c>
      <x:c r="I212" s="23" t="s">
        <x:v>501</x:v>
      </x:c>
      <x:c r="J212" s="23" t="s">
        <x:v>992</x:v>
      </x:c>
      <x:c r="K212" s="23" t="s">
        <x:v>546</x:v>
      </x:c>
      <x:c r="L212" s="23" t="s">
        <x:v>547</x:v>
      </x:c>
      <x:c r="M212" s="23" t="s">
        <x:v>548</x:v>
      </x:c>
      <x:c r="N212" s="23" t="s">
        <x:v>549</x:v>
      </x:c>
      <x:c r="O212" s="23" t="s">
        <x:v>173</x:v>
      </x:c>
      <x:c r="P212" s="24"/>
      <x:c r="Q212" s="24"/>
      <x:c r="R212" s="24"/>
      <x:c r="S212" s="24"/>
      <x:c r="T212" s="24"/>
      <x:c r="U212" s="24"/>
      <x:c r="V212" s="24"/>
      <x:c r="W212" s="24"/>
      <x:c r="X212" s="81" t="str">
        <x:f>IF(OR(R212="",R212=0),"",U212/R212)</x:f>
      </x:c>
      <x:c r="Y212" s="81" t="str">
        <x:f>IF(OR(Q212="",Q212=0),"",R212/Q212)</x:f>
      </x:c>
      <x:c r="Z212" s="26" t="s">
        <x:v>825</x:v>
      </x:c>
      <x:c r="AA212" s="24"/>
    </x:row>
    <x:row r="213" ht="188.10000610351562" customHeight="1">
      <x:c r="A213" s="22" t="s">
        <x:v>1048</x:v>
      </x:c>
      <x:c r="B213" s="22" t="s">
        <x:v>543</x:v>
      </x:c>
      <x:c r="C213" s="22" t="s">
        <x:v>52</x:v>
      </x:c>
      <x:c r="D213" s="23" t="s">
        <x:v>544</x:v>
      </x:c>
      <x:c r="E213" s="23" t="s">
        <x:v>176</x:v>
      </x:c>
      <x:c r="F213" s="23" t="s">
        <x:v>545</x:v>
      </x:c>
      <x:c r="G213" s="23" t="s">
        <x:v>676</x:v>
      </x:c>
      <x:c r="H213" s="23" t="s">
        <x:v>678</x:v>
      </x:c>
      <x:c r="I213" s="23" t="s">
        <x:v>501</x:v>
      </x:c>
      <x:c r="J213" s="23" t="s">
        <x:v>992</x:v>
      </x:c>
      <x:c r="K213" s="23" t="s">
        <x:v>546</x:v>
      </x:c>
      <x:c r="L213" s="23" t="s">
        <x:v>547</x:v>
      </x:c>
      <x:c r="M213" s="23" t="s">
        <x:v>548</x:v>
      </x:c>
      <x:c r="N213" s="23" t="s">
        <x:v>549</x:v>
      </x:c>
      <x:c r="O213" s="23" t="s">
        <x:v>173</x:v>
      </x:c>
      <x:c r="P213" s="24"/>
      <x:c r="Q213" s="24"/>
      <x:c r="R213" s="24"/>
      <x:c r="S213" s="24"/>
      <x:c r="T213" s="24"/>
      <x:c r="U213" s="24"/>
      <x:c r="V213" s="24"/>
      <x:c r="W213" s="24"/>
      <x:c r="X213" s="81" t="str">
        <x:f>IF(OR(R213="",R213=0),"",U213/R213)</x:f>
      </x:c>
      <x:c r="Y213" s="81" t="str">
        <x:f>IF(OR(Q213="",Q213=0),"",R213/Q213)</x:f>
      </x:c>
      <x:c r="Z213" s="26" t="s">
        <x:v>825</x:v>
      </x:c>
      <x:c r="AA213" s="24"/>
    </x:row>
    <x:row r="214" ht="188.10000610351562" customHeight="1">
      <x:c r="A214" s="22" t="s">
        <x:v>1049</x:v>
      </x:c>
      <x:c r="B214" s="22" t="s">
        <x:v>543</x:v>
      </x:c>
      <x:c r="C214" s="22" t="s">
        <x:v>52</x:v>
      </x:c>
      <x:c r="D214" s="23" t="s">
        <x:v>544</x:v>
      </x:c>
      <x:c r="E214" s="23" t="s">
        <x:v>176</x:v>
      </x:c>
      <x:c r="F214" s="23" t="s">
        <x:v>545</x:v>
      </x:c>
      <x:c r="G214" s="23" t="s">
        <x:v>693</x:v>
      </x:c>
      <x:c r="H214" s="23" t="s">
        <x:v>695</x:v>
      </x:c>
      <x:c r="I214" s="23" t="s">
        <x:v>501</x:v>
      </x:c>
      <x:c r="J214" s="23" t="s">
        <x:v>992</x:v>
      </x:c>
      <x:c r="K214" s="23" t="s">
        <x:v>546</x:v>
      </x:c>
      <x:c r="L214" s="23" t="s">
        <x:v>547</x:v>
      </x:c>
      <x:c r="M214" s="23" t="s">
        <x:v>548</x:v>
      </x:c>
      <x:c r="N214" s="23" t="s">
        <x:v>549</x:v>
      </x:c>
      <x:c r="O214" s="23" t="s">
        <x:v>173</x:v>
      </x:c>
      <x:c r="P214" s="24"/>
      <x:c r="Q214" s="24"/>
      <x:c r="R214" s="24"/>
      <x:c r="S214" s="24"/>
      <x:c r="T214" s="24"/>
      <x:c r="U214" s="24"/>
      <x:c r="V214" s="24"/>
      <x:c r="W214" s="24"/>
      <x:c r="X214" s="81" t="str">
        <x:f>IF(OR(R214="",R214=0),"",U214/R214)</x:f>
      </x:c>
      <x:c r="Y214" s="81" t="str">
        <x:f>IF(OR(Q214="",Q214=0),"",R214/Q214)</x:f>
      </x:c>
      <x:c r="Z214" s="26" t="s">
        <x:v>825</x:v>
      </x:c>
      <x:c r="AA214" s="24"/>
    </x:row>
    <x:row r="215" ht="188.10000610351562" customHeight="1">
      <x:c r="A215" s="22" t="s">
        <x:v>1050</x:v>
      </x:c>
      <x:c r="B215" s="22" t="s">
        <x:v>550</x:v>
      </x:c>
      <x:c r="C215" s="22" t="s">
        <x:v>52</x:v>
      </x:c>
      <x:c r="D215" s="23" t="s">
        <x:v>551</x:v>
      </x:c>
      <x:c r="E215" s="23" t="s">
        <x:v>285</x:v>
      </x:c>
      <x:c r="F215" s="23" t="s">
        <x:v>552</x:v>
      </x:c>
      <x:c r="G215" s="23" t="s">
        <x:v>666</x:v>
      </x:c>
      <x:c r="H215" s="23" t="s">
        <x:v>668</x:v>
      </x:c>
      <x:c r="I215" s="23" t="s">
        <x:v>501</x:v>
      </x:c>
      <x:c r="J215" s="23" t="s">
        <x:v>992</x:v>
      </x:c>
      <x:c r="K215" s="23" t="s">
        <x:v>553</x:v>
      </x:c>
      <x:c r="L215" s="23" t="s">
        <x:v>554</x:v>
      </x:c>
      <x:c r="M215" s="23" t="s">
        <x:v>555</x:v>
      </x:c>
      <x:c r="N215" s="23" t="s">
        <x:v>556</x:v>
      </x:c>
      <x:c r="O215" s="23" t="s">
        <x:v>557</x:v>
      </x:c>
      <x:c r="P215" s="24"/>
      <x:c r="Q215" s="24"/>
      <x:c r="R215" s="24"/>
      <x:c r="S215" s="24"/>
      <x:c r="T215" s="24"/>
      <x:c r="U215" s="24"/>
      <x:c r="V215" s="24"/>
      <x:c r="W215" s="24"/>
      <x:c r="X215" s="81" t="str">
        <x:f>IF(OR(R215="",R215=0),"",U215/R215)</x:f>
      </x:c>
      <x:c r="Y215" s="81" t="str">
        <x:f>IF(OR(Q215="",Q215=0),"",R215/Q215)</x:f>
      </x:c>
      <x:c r="Z215" s="26" t="s">
        <x:v>825</x:v>
      </x:c>
      <x:c r="AA215" s="24"/>
    </x:row>
    <x:row r="216" ht="188.10000610351562" customHeight="1">
      <x:c r="A216" s="22" t="s">
        <x:v>1051</x:v>
      </x:c>
      <x:c r="B216" s="22" t="s">
        <x:v>550</x:v>
      </x:c>
      <x:c r="C216" s="22" t="s">
        <x:v>52</x:v>
      </x:c>
      <x:c r="D216" s="23" t="s">
        <x:v>551</x:v>
      </x:c>
      <x:c r="E216" s="23" t="s">
        <x:v>285</x:v>
      </x:c>
      <x:c r="F216" s="23" t="s">
        <x:v>552</x:v>
      </x:c>
      <x:c r="G216" s="23" t="s">
        <x:v>167</x:v>
      </x:c>
      <x:c r="H216" s="23" t="s">
        <x:v>690</x:v>
      </x:c>
      <x:c r="I216" s="23" t="s">
        <x:v>501</x:v>
      </x:c>
      <x:c r="J216" s="23" t="s">
        <x:v>992</x:v>
      </x:c>
      <x:c r="K216" s="23" t="s">
        <x:v>553</x:v>
      </x:c>
      <x:c r="L216" s="23" t="s">
        <x:v>554</x:v>
      </x:c>
      <x:c r="M216" s="23" t="s">
        <x:v>555</x:v>
      </x:c>
      <x:c r="N216" s="23" t="s">
        <x:v>556</x:v>
      </x:c>
      <x:c r="O216" s="23" t="s">
        <x:v>557</x:v>
      </x:c>
      <x:c r="P216" s="24"/>
      <x:c r="Q216" s="24"/>
      <x:c r="R216" s="24"/>
      <x:c r="S216" s="24"/>
      <x:c r="T216" s="24"/>
      <x:c r="U216" s="24"/>
      <x:c r="V216" s="24"/>
      <x:c r="W216" s="24"/>
      <x:c r="X216" s="81" t="str">
        <x:f>IF(OR(R216="",R216=0),"",U216/R216)</x:f>
      </x:c>
      <x:c r="Y216" s="81" t="str">
        <x:f>IF(OR(Q216="",Q216=0),"",R216/Q216)</x:f>
      </x:c>
      <x:c r="Z216" s="26" t="s">
        <x:v>825</x:v>
      </x:c>
      <x:c r="AA216" s="24"/>
    </x:row>
    <x:row r="217" ht="188.10000610351562" customHeight="1">
      <x:c r="A217" s="22" t="s">
        <x:v>1052</x:v>
      </x:c>
      <x:c r="B217" s="22" t="s">
        <x:v>550</x:v>
      </x:c>
      <x:c r="C217" s="22" t="s">
        <x:v>52</x:v>
      </x:c>
      <x:c r="D217" s="23" t="s">
        <x:v>551</x:v>
      </x:c>
      <x:c r="E217" s="23" t="s">
        <x:v>285</x:v>
      </x:c>
      <x:c r="F217" s="23" t="s">
        <x:v>552</x:v>
      </x:c>
      <x:c r="G217" s="23" t="s">
        <x:v>693</x:v>
      </x:c>
      <x:c r="H217" s="23" t="s">
        <x:v>695</x:v>
      </x:c>
      <x:c r="I217" s="23" t="s">
        <x:v>501</x:v>
      </x:c>
      <x:c r="J217" s="23" t="s">
        <x:v>992</x:v>
      </x:c>
      <x:c r="K217" s="23" t="s">
        <x:v>553</x:v>
      </x:c>
      <x:c r="L217" s="23" t="s">
        <x:v>554</x:v>
      </x:c>
      <x:c r="M217" s="23" t="s">
        <x:v>555</x:v>
      </x:c>
      <x:c r="N217" s="23" t="s">
        <x:v>556</x:v>
      </x:c>
      <x:c r="O217" s="23" t="s">
        <x:v>557</x:v>
      </x:c>
      <x:c r="P217" s="24"/>
      <x:c r="Q217" s="24"/>
      <x:c r="R217" s="24"/>
      <x:c r="S217" s="24"/>
      <x:c r="T217" s="24"/>
      <x:c r="U217" s="24"/>
      <x:c r="V217" s="24"/>
      <x:c r="W217" s="24"/>
      <x:c r="X217" s="81" t="str">
        <x:f>IF(OR(R217="",R217=0),"",U217/R217)</x:f>
      </x:c>
      <x:c r="Y217" s="81" t="str">
        <x:f>IF(OR(Q217="",Q217=0),"",R217/Q217)</x:f>
      </x:c>
      <x:c r="Z217" s="26" t="s">
        <x:v>825</x:v>
      </x:c>
      <x:c r="AA217" s="24"/>
    </x:row>
    <x:row r="218" ht="188.10000610351562" customHeight="1">
      <x:c r="A218" s="22" t="s">
        <x:v>1053</x:v>
      </x:c>
      <x:c r="B218" s="22" t="s">
        <x:v>558</x:v>
      </x:c>
      <x:c r="C218" s="22" t="s">
        <x:v>57</x:v>
      </x:c>
      <x:c r="D218" s="23" t="s">
        <x:v>559</x:v>
      </x:c>
      <x:c r="E218" s="23" t="s">
        <x:v>145</x:v>
      </x:c>
      <x:c r="F218" s="23" t="s">
        <x:v>560</x:v>
      </x:c>
      <x:c r="G218" s="23" t="s">
        <x:v>666</x:v>
      </x:c>
      <x:c r="H218" s="23" t="s">
        <x:v>668</x:v>
      </x:c>
      <x:c r="I218" s="23" t="s">
        <x:v>1054</x:v>
      </x:c>
      <x:c r="J218" s="23" t="s">
        <x:v>1055</x:v>
      </x:c>
      <x:c r="K218" s="23" t="s">
        <x:v>562</x:v>
      </x:c>
      <x:c r="L218" s="23" t="s">
        <x:v>563</x:v>
      </x:c>
      <x:c r="M218" s="23" t="s">
        <x:v>564</x:v>
      </x:c>
      <x:c r="N218" s="23" t="s">
        <x:v>565</x:v>
      </x:c>
      <x:c r="O218" s="23" t="s">
        <x:v>566</x:v>
      </x:c>
      <x:c r="P218" s="24"/>
      <x:c r="Q218" s="24"/>
      <x:c r="R218" s="24"/>
      <x:c r="S218" s="24"/>
      <x:c r="T218" s="24"/>
      <x:c r="U218" s="24"/>
      <x:c r="V218" s="24"/>
      <x:c r="W218" s="24"/>
      <x:c r="X218" s="81" t="str">
        <x:f>IF(OR(R218="",R218=0),"",U218/R218)</x:f>
      </x:c>
      <x:c r="Y218" s="81" t="str">
        <x:f>IF(OR(Q218="",Q218=0),"",R218/Q218)</x:f>
      </x:c>
      <x:c r="Z218" s="26" t="s">
        <x:v>825</x:v>
      </x:c>
      <x:c r="AA218" s="24"/>
    </x:row>
    <x:row r="219" ht="188.10000610351562" customHeight="1">
      <x:c r="A219" s="22" t="s">
        <x:v>1056</x:v>
      </x:c>
      <x:c r="B219" s="22" t="s">
        <x:v>558</x:v>
      </x:c>
      <x:c r="C219" s="22" t="s">
        <x:v>57</x:v>
      </x:c>
      <x:c r="D219" s="23" t="s">
        <x:v>559</x:v>
      </x:c>
      <x:c r="E219" s="23" t="s">
        <x:v>145</x:v>
      </x:c>
      <x:c r="F219" s="23" t="s">
        <x:v>560</x:v>
      </x:c>
      <x:c r="G219" s="23" t="s">
        <x:v>666</x:v>
      </x:c>
      <x:c r="H219" s="23" t="s">
        <x:v>668</x:v>
      </x:c>
      <x:c r="I219" s="23" t="s">
        <x:v>1057</x:v>
      </x:c>
      <x:c r="J219" s="23" t="s">
        <x:v>1058</x:v>
      </x:c>
      <x:c r="K219" s="23" t="s">
        <x:v>562</x:v>
      </x:c>
      <x:c r="L219" s="23" t="s">
        <x:v>563</x:v>
      </x:c>
      <x:c r="M219" s="23" t="s">
        <x:v>564</x:v>
      </x:c>
      <x:c r="N219" s="23" t="s">
        <x:v>565</x:v>
      </x:c>
      <x:c r="O219" s="23" t="s">
        <x:v>566</x:v>
      </x:c>
      <x:c r="P219" s="24"/>
      <x:c r="Q219" s="24"/>
      <x:c r="R219" s="24"/>
      <x:c r="S219" s="24"/>
      <x:c r="T219" s="24"/>
      <x:c r="U219" s="24"/>
      <x:c r="V219" s="24"/>
      <x:c r="W219" s="24"/>
      <x:c r="X219" s="81" t="str">
        <x:f>IF(OR(R219="",R219=0),"",U219/R219)</x:f>
      </x:c>
      <x:c r="Y219" s="81" t="str">
        <x:f>IF(OR(Q219="",Q219=0),"",R219/Q219)</x:f>
      </x:c>
      <x:c r="Z219" s="26" t="s">
        <x:v>825</x:v>
      </x:c>
      <x:c r="AA219" s="24"/>
    </x:row>
    <x:row r="220" ht="188.10000610351562" customHeight="1">
      <x:c r="A220" s="22" t="s">
        <x:v>1059</x:v>
      </x:c>
      <x:c r="B220" s="22" t="s">
        <x:v>558</x:v>
      </x:c>
      <x:c r="C220" s="22" t="s">
        <x:v>57</x:v>
      </x:c>
      <x:c r="D220" s="23" t="s">
        <x:v>559</x:v>
      </x:c>
      <x:c r="E220" s="23" t="s">
        <x:v>145</x:v>
      </x:c>
      <x:c r="F220" s="23" t="s">
        <x:v>560</x:v>
      </x:c>
      <x:c r="G220" s="23" t="s">
        <x:v>671</x:v>
      </x:c>
      <x:c r="H220" s="23" t="s">
        <x:v>673</x:v>
      </x:c>
      <x:c r="I220" s="23" t="s">
        <x:v>1054</x:v>
      </x:c>
      <x:c r="J220" s="23" t="s">
        <x:v>1055</x:v>
      </x:c>
      <x:c r="K220" s="23" t="s">
        <x:v>562</x:v>
      </x:c>
      <x:c r="L220" s="23" t="s">
        <x:v>563</x:v>
      </x:c>
      <x:c r="M220" s="23" t="s">
        <x:v>564</x:v>
      </x:c>
      <x:c r="N220" s="23" t="s">
        <x:v>565</x:v>
      </x:c>
      <x:c r="O220" s="23" t="s">
        <x:v>566</x:v>
      </x:c>
      <x:c r="P220" s="24"/>
      <x:c r="Q220" s="24"/>
      <x:c r="R220" s="24"/>
      <x:c r="S220" s="24"/>
      <x:c r="T220" s="24"/>
      <x:c r="U220" s="24"/>
      <x:c r="V220" s="24"/>
      <x:c r="W220" s="24"/>
      <x:c r="X220" s="81" t="str">
        <x:f>IF(OR(R220="",R220=0),"",U220/R220)</x:f>
      </x:c>
      <x:c r="Y220" s="81" t="str">
        <x:f>IF(OR(Q220="",Q220=0),"",R220/Q220)</x:f>
      </x:c>
      <x:c r="Z220" s="26" t="s">
        <x:v>825</x:v>
      </x:c>
      <x:c r="AA220" s="24"/>
    </x:row>
    <x:row r="221" ht="188.10000610351562" customHeight="1">
      <x:c r="A221" s="22" t="s">
        <x:v>1060</x:v>
      </x:c>
      <x:c r="B221" s="22" t="s">
        <x:v>558</x:v>
      </x:c>
      <x:c r="C221" s="22" t="s">
        <x:v>57</x:v>
      </x:c>
      <x:c r="D221" s="23" t="s">
        <x:v>559</x:v>
      </x:c>
      <x:c r="E221" s="23" t="s">
        <x:v>145</x:v>
      </x:c>
      <x:c r="F221" s="23" t="s">
        <x:v>560</x:v>
      </x:c>
      <x:c r="G221" s="23" t="s">
        <x:v>671</x:v>
      </x:c>
      <x:c r="H221" s="23" t="s">
        <x:v>673</x:v>
      </x:c>
      <x:c r="I221" s="23" t="s">
        <x:v>1057</x:v>
      </x:c>
      <x:c r="J221" s="23" t="s">
        <x:v>1058</x:v>
      </x:c>
      <x:c r="K221" s="23" t="s">
        <x:v>562</x:v>
      </x:c>
      <x:c r="L221" s="23" t="s">
        <x:v>563</x:v>
      </x:c>
      <x:c r="M221" s="23" t="s">
        <x:v>564</x:v>
      </x:c>
      <x:c r="N221" s="23" t="s">
        <x:v>565</x:v>
      </x:c>
      <x:c r="O221" s="23" t="s">
        <x:v>566</x:v>
      </x:c>
      <x:c r="P221" s="24"/>
      <x:c r="Q221" s="24"/>
      <x:c r="R221" s="24"/>
      <x:c r="S221" s="24"/>
      <x:c r="T221" s="24"/>
      <x:c r="U221" s="24"/>
      <x:c r="V221" s="24"/>
      <x:c r="W221" s="24"/>
      <x:c r="X221" s="81" t="str">
        <x:f>IF(OR(R221="",R221=0),"",U221/R221)</x:f>
      </x:c>
      <x:c r="Y221" s="81" t="str">
        <x:f>IF(OR(Q221="",Q221=0),"",R221/Q221)</x:f>
      </x:c>
      <x:c r="Z221" s="26" t="s">
        <x:v>825</x:v>
      </x:c>
      <x:c r="AA221" s="24"/>
    </x:row>
    <x:row r="222" ht="188.10000610351562" customHeight="1">
      <x:c r="A222" s="22" t="s">
        <x:v>1061</x:v>
      </x:c>
      <x:c r="B222" s="22" t="s">
        <x:v>558</x:v>
      </x:c>
      <x:c r="C222" s="22" t="s">
        <x:v>57</x:v>
      </x:c>
      <x:c r="D222" s="23" t="s">
        <x:v>559</x:v>
      </x:c>
      <x:c r="E222" s="23" t="s">
        <x:v>145</x:v>
      </x:c>
      <x:c r="F222" s="23" t="s">
        <x:v>560</x:v>
      </x:c>
      <x:c r="G222" s="23" t="s">
        <x:v>676</x:v>
      </x:c>
      <x:c r="H222" s="23" t="s">
        <x:v>678</x:v>
      </x:c>
      <x:c r="I222" s="23" t="s">
        <x:v>1054</x:v>
      </x:c>
      <x:c r="J222" s="23" t="s">
        <x:v>1055</x:v>
      </x:c>
      <x:c r="K222" s="23" t="s">
        <x:v>562</x:v>
      </x:c>
      <x:c r="L222" s="23" t="s">
        <x:v>563</x:v>
      </x:c>
      <x:c r="M222" s="23" t="s">
        <x:v>564</x:v>
      </x:c>
      <x:c r="N222" s="23" t="s">
        <x:v>565</x:v>
      </x:c>
      <x:c r="O222" s="23" t="s">
        <x:v>566</x:v>
      </x:c>
      <x:c r="P222" s="24"/>
      <x:c r="Q222" s="24"/>
      <x:c r="R222" s="24"/>
      <x:c r="S222" s="24"/>
      <x:c r="T222" s="24"/>
      <x:c r="U222" s="24"/>
      <x:c r="V222" s="24"/>
      <x:c r="W222" s="24"/>
      <x:c r="X222" s="81" t="str">
        <x:f>IF(OR(R222="",R222=0),"",U222/R222)</x:f>
      </x:c>
      <x:c r="Y222" s="81" t="str">
        <x:f>IF(OR(Q222="",Q222=0),"",R222/Q222)</x:f>
      </x:c>
      <x:c r="Z222" s="26" t="s">
        <x:v>825</x:v>
      </x:c>
      <x:c r="AA222" s="24"/>
    </x:row>
    <x:row r="223" ht="188.10000610351562" customHeight="1">
      <x:c r="A223" s="22" t="s">
        <x:v>1062</x:v>
      </x:c>
      <x:c r="B223" s="22" t="s">
        <x:v>558</x:v>
      </x:c>
      <x:c r="C223" s="22" t="s">
        <x:v>57</x:v>
      </x:c>
      <x:c r="D223" s="23" t="s">
        <x:v>559</x:v>
      </x:c>
      <x:c r="E223" s="23" t="s">
        <x:v>145</x:v>
      </x:c>
      <x:c r="F223" s="23" t="s">
        <x:v>560</x:v>
      </x:c>
      <x:c r="G223" s="23" t="s">
        <x:v>676</x:v>
      </x:c>
      <x:c r="H223" s="23" t="s">
        <x:v>678</x:v>
      </x:c>
      <x:c r="I223" s="23" t="s">
        <x:v>1057</x:v>
      </x:c>
      <x:c r="J223" s="23" t="s">
        <x:v>1058</x:v>
      </x:c>
      <x:c r="K223" s="23" t="s">
        <x:v>562</x:v>
      </x:c>
      <x:c r="L223" s="23" t="s">
        <x:v>563</x:v>
      </x:c>
      <x:c r="M223" s="23" t="s">
        <x:v>564</x:v>
      </x:c>
      <x:c r="N223" s="23" t="s">
        <x:v>565</x:v>
      </x:c>
      <x:c r="O223" s="23" t="s">
        <x:v>566</x:v>
      </x:c>
      <x:c r="P223" s="24"/>
      <x:c r="Q223" s="24"/>
      <x:c r="R223" s="24"/>
      <x:c r="S223" s="24"/>
      <x:c r="T223" s="24"/>
      <x:c r="U223" s="24"/>
      <x:c r="V223" s="24"/>
      <x:c r="W223" s="24"/>
      <x:c r="X223" s="81" t="str">
        <x:f>IF(OR(R223="",R223=0),"",U223/R223)</x:f>
      </x:c>
      <x:c r="Y223" s="81" t="str">
        <x:f>IF(OR(Q223="",Q223=0),"",R223/Q223)</x:f>
      </x:c>
      <x:c r="Z223" s="26" t="s">
        <x:v>825</x:v>
      </x:c>
      <x:c r="AA223" s="24"/>
    </x:row>
    <x:row r="224" ht="188.10000610351562" customHeight="1">
      <x:c r="A224" s="22" t="s">
        <x:v>1063</x:v>
      </x:c>
      <x:c r="B224" s="22" t="s">
        <x:v>567</x:v>
      </x:c>
      <x:c r="C224" s="22" t="s">
        <x:v>57</x:v>
      </x:c>
      <x:c r="D224" s="23" t="s">
        <x:v>568</x:v>
      </x:c>
      <x:c r="E224" s="23" t="s">
        <x:v>196</x:v>
      </x:c>
      <x:c r="F224" s="23" t="s">
        <x:v>569</x:v>
      </x:c>
      <x:c r="G224" s="23" t="s">
        <x:v>666</x:v>
      </x:c>
      <x:c r="H224" s="23" t="s">
        <x:v>668</x:v>
      </x:c>
      <x:c r="I224" s="23" t="s">
        <x:v>1057</x:v>
      </x:c>
      <x:c r="J224" s="23" t="s">
        <x:v>1058</x:v>
      </x:c>
      <x:c r="K224" s="23" t="s">
        <x:v>571</x:v>
      </x:c>
      <x:c r="L224" s="23" t="s">
        <x:v>572</x:v>
      </x:c>
      <x:c r="M224" s="23" t="s">
        <x:v>573</x:v>
      </x:c>
      <x:c r="N224" s="23" t="s">
        <x:v>574</x:v>
      </x:c>
      <x:c r="O224" s="23" t="s">
        <x:v>575</x:v>
      </x:c>
      <x:c r="P224" s="24"/>
      <x:c r="Q224" s="24"/>
      <x:c r="R224" s="24"/>
      <x:c r="S224" s="24"/>
      <x:c r="T224" s="24"/>
      <x:c r="U224" s="24"/>
      <x:c r="V224" s="24"/>
      <x:c r="W224" s="24"/>
      <x:c r="X224" s="81" t="str">
        <x:f>IF(OR(R224="",R224=0),"",U224/R224)</x:f>
      </x:c>
      <x:c r="Y224" s="81" t="str">
        <x:f>IF(OR(Q224="",Q224=0),"",R224/Q224)</x:f>
      </x:c>
      <x:c r="Z224" s="26" t="s">
        <x:v>825</x:v>
      </x:c>
      <x:c r="AA224" s="24"/>
    </x:row>
    <x:row r="225" ht="188.10000610351562" customHeight="1">
      <x:c r="A225" s="22" t="s">
        <x:v>1064</x:v>
      </x:c>
      <x:c r="B225" s="22" t="s">
        <x:v>567</x:v>
      </x:c>
      <x:c r="C225" s="22" t="s">
        <x:v>57</x:v>
      </x:c>
      <x:c r="D225" s="23" t="s">
        <x:v>568</x:v>
      </x:c>
      <x:c r="E225" s="23" t="s">
        <x:v>196</x:v>
      </x:c>
      <x:c r="F225" s="23" t="s">
        <x:v>569</x:v>
      </x:c>
      <x:c r="G225" s="23" t="s">
        <x:v>666</x:v>
      </x:c>
      <x:c r="H225" s="23" t="s">
        <x:v>668</x:v>
      </x:c>
      <x:c r="I225" s="23" t="s">
        <x:v>839</x:v>
      </x:c>
      <x:c r="J225" s="23" t="s">
        <x:v>840</x:v>
      </x:c>
      <x:c r="K225" s="23" t="s">
        <x:v>571</x:v>
      </x:c>
      <x:c r="L225" s="23" t="s">
        <x:v>572</x:v>
      </x:c>
      <x:c r="M225" s="23" t="s">
        <x:v>573</x:v>
      </x:c>
      <x:c r="N225" s="23" t="s">
        <x:v>574</x:v>
      </x:c>
      <x:c r="O225" s="23" t="s">
        <x:v>575</x:v>
      </x:c>
      <x:c r="P225" s="24"/>
      <x:c r="Q225" s="24"/>
      <x:c r="R225" s="24"/>
      <x:c r="S225" s="24"/>
      <x:c r="T225" s="24"/>
      <x:c r="U225" s="24"/>
      <x:c r="V225" s="24"/>
      <x:c r="W225" s="24"/>
      <x:c r="X225" s="81" t="str">
        <x:f>IF(OR(R225="",R225=0),"",U225/R225)</x:f>
      </x:c>
      <x:c r="Y225" s="81" t="str">
        <x:f>IF(OR(Q225="",Q225=0),"",R225/Q225)</x:f>
      </x:c>
      <x:c r="Z225" s="26" t="s">
        <x:v>825</x:v>
      </x:c>
      <x:c r="AA225" s="24"/>
    </x:row>
    <x:row r="226" ht="188.10000610351562" customHeight="1">
      <x:c r="A226" s="22" t="s">
        <x:v>1065</x:v>
      </x:c>
      <x:c r="B226" s="22" t="s">
        <x:v>567</x:v>
      </x:c>
      <x:c r="C226" s="22" t="s">
        <x:v>57</x:v>
      </x:c>
      <x:c r="D226" s="23" t="s">
        <x:v>568</x:v>
      </x:c>
      <x:c r="E226" s="23" t="s">
        <x:v>196</x:v>
      </x:c>
      <x:c r="F226" s="23" t="s">
        <x:v>569</x:v>
      </x:c>
      <x:c r="G226" s="23" t="s">
        <x:v>680</x:v>
      </x:c>
      <x:c r="H226" s="23" t="s">
        <x:v>682</x:v>
      </x:c>
      <x:c r="I226" s="23" t="s">
        <x:v>1057</x:v>
      </x:c>
      <x:c r="J226" s="23" t="s">
        <x:v>1058</x:v>
      </x:c>
      <x:c r="K226" s="23" t="s">
        <x:v>571</x:v>
      </x:c>
      <x:c r="L226" s="23" t="s">
        <x:v>572</x:v>
      </x:c>
      <x:c r="M226" s="23" t="s">
        <x:v>573</x:v>
      </x:c>
      <x:c r="N226" s="23" t="s">
        <x:v>574</x:v>
      </x:c>
      <x:c r="O226" s="23" t="s">
        <x:v>575</x:v>
      </x:c>
      <x:c r="P226" s="24"/>
      <x:c r="Q226" s="24"/>
      <x:c r="R226" s="24"/>
      <x:c r="S226" s="24"/>
      <x:c r="T226" s="24"/>
      <x:c r="U226" s="24"/>
      <x:c r="V226" s="24"/>
      <x:c r="W226" s="24"/>
      <x:c r="X226" s="81" t="str">
        <x:f>IF(OR(R226="",R226=0),"",U226/R226)</x:f>
      </x:c>
      <x:c r="Y226" s="81" t="str">
        <x:f>IF(OR(Q226="",Q226=0),"",R226/Q226)</x:f>
      </x:c>
      <x:c r="Z226" s="26" t="s">
        <x:v>825</x:v>
      </x:c>
      <x:c r="AA226" s="24"/>
    </x:row>
    <x:row r="227" ht="188.10000610351562" customHeight="1">
      <x:c r="A227" s="22" t="s">
        <x:v>1066</x:v>
      </x:c>
      <x:c r="B227" s="22" t="s">
        <x:v>567</x:v>
      </x:c>
      <x:c r="C227" s="22" t="s">
        <x:v>57</x:v>
      </x:c>
      <x:c r="D227" s="23" t="s">
        <x:v>568</x:v>
      </x:c>
      <x:c r="E227" s="23" t="s">
        <x:v>196</x:v>
      </x:c>
      <x:c r="F227" s="23" t="s">
        <x:v>569</x:v>
      </x:c>
      <x:c r="G227" s="23" t="s">
        <x:v>680</x:v>
      </x:c>
      <x:c r="H227" s="23" t="s">
        <x:v>682</x:v>
      </x:c>
      <x:c r="I227" s="23" t="s">
        <x:v>839</x:v>
      </x:c>
      <x:c r="J227" s="23" t="s">
        <x:v>840</x:v>
      </x:c>
      <x:c r="K227" s="23" t="s">
        <x:v>571</x:v>
      </x:c>
      <x:c r="L227" s="23" t="s">
        <x:v>572</x:v>
      </x:c>
      <x:c r="M227" s="23" t="s">
        <x:v>573</x:v>
      </x:c>
      <x:c r="N227" s="23" t="s">
        <x:v>574</x:v>
      </x:c>
      <x:c r="O227" s="23" t="s">
        <x:v>575</x:v>
      </x:c>
      <x:c r="P227" s="24"/>
      <x:c r="Q227" s="24"/>
      <x:c r="R227" s="24"/>
      <x:c r="S227" s="24"/>
      <x:c r="T227" s="24"/>
      <x:c r="U227" s="24"/>
      <x:c r="V227" s="24"/>
      <x:c r="W227" s="24"/>
      <x:c r="X227" s="81" t="str">
        <x:f>IF(OR(R227="",R227=0),"",U227/R227)</x:f>
      </x:c>
      <x:c r="Y227" s="81" t="str">
        <x:f>IF(OR(Q227="",Q227=0),"",R227/Q227)</x:f>
      </x:c>
      <x:c r="Z227" s="26" t="s">
        <x:v>825</x:v>
      </x:c>
      <x:c r="AA227" s="24"/>
    </x:row>
    <x:row r="228" ht="188.10000610351562" customHeight="1">
      <x:c r="A228" s="22" t="s">
        <x:v>1067</x:v>
      </x:c>
      <x:c r="B228" s="22" t="s">
        <x:v>567</x:v>
      </x:c>
      <x:c r="C228" s="22" t="s">
        <x:v>57</x:v>
      </x:c>
      <x:c r="D228" s="23" t="s">
        <x:v>568</x:v>
      </x:c>
      <x:c r="E228" s="23" t="s">
        <x:v>196</x:v>
      </x:c>
      <x:c r="F228" s="23" t="s">
        <x:v>569</x:v>
      </x:c>
      <x:c r="G228" s="23" t="s">
        <x:v>167</x:v>
      </x:c>
      <x:c r="H228" s="23" t="s">
        <x:v>690</x:v>
      </x:c>
      <x:c r="I228" s="23" t="s">
        <x:v>1057</x:v>
      </x:c>
      <x:c r="J228" s="23" t="s">
        <x:v>1058</x:v>
      </x:c>
      <x:c r="K228" s="23" t="s">
        <x:v>571</x:v>
      </x:c>
      <x:c r="L228" s="23" t="s">
        <x:v>572</x:v>
      </x:c>
      <x:c r="M228" s="23" t="s">
        <x:v>573</x:v>
      </x:c>
      <x:c r="N228" s="23" t="s">
        <x:v>574</x:v>
      </x:c>
      <x:c r="O228" s="23" t="s">
        <x:v>575</x:v>
      </x:c>
      <x:c r="P228" s="24"/>
      <x:c r="Q228" s="24"/>
      <x:c r="R228" s="24"/>
      <x:c r="S228" s="24"/>
      <x:c r="T228" s="24"/>
      <x:c r="U228" s="24"/>
      <x:c r="V228" s="24"/>
      <x:c r="W228" s="24"/>
      <x:c r="X228" s="81" t="str">
        <x:f>IF(OR(R228="",R228=0),"",U228/R228)</x:f>
      </x:c>
      <x:c r="Y228" s="81" t="str">
        <x:f>IF(OR(Q228="",Q228=0),"",R228/Q228)</x:f>
      </x:c>
      <x:c r="Z228" s="26" t="s">
        <x:v>825</x:v>
      </x:c>
      <x:c r="AA228" s="24"/>
    </x:row>
    <x:row r="229" ht="188.10000610351562" customHeight="1">
      <x:c r="A229" s="22" t="s">
        <x:v>1068</x:v>
      </x:c>
      <x:c r="B229" s="22" t="s">
        <x:v>567</x:v>
      </x:c>
      <x:c r="C229" s="22" t="s">
        <x:v>57</x:v>
      </x:c>
      <x:c r="D229" s="23" t="s">
        <x:v>568</x:v>
      </x:c>
      <x:c r="E229" s="23" t="s">
        <x:v>196</x:v>
      </x:c>
      <x:c r="F229" s="23" t="s">
        <x:v>569</x:v>
      </x:c>
      <x:c r="G229" s="23" t="s">
        <x:v>167</x:v>
      </x:c>
      <x:c r="H229" s="23" t="s">
        <x:v>690</x:v>
      </x:c>
      <x:c r="I229" s="23" t="s">
        <x:v>839</x:v>
      </x:c>
      <x:c r="J229" s="23" t="s">
        <x:v>840</x:v>
      </x:c>
      <x:c r="K229" s="23" t="s">
        <x:v>571</x:v>
      </x:c>
      <x:c r="L229" s="23" t="s">
        <x:v>572</x:v>
      </x:c>
      <x:c r="M229" s="23" t="s">
        <x:v>573</x:v>
      </x:c>
      <x:c r="N229" s="23" t="s">
        <x:v>574</x:v>
      </x:c>
      <x:c r="O229" s="23" t="s">
        <x:v>575</x:v>
      </x:c>
      <x:c r="P229" s="24"/>
      <x:c r="Q229" s="24"/>
      <x:c r="R229" s="24"/>
      <x:c r="S229" s="24"/>
      <x:c r="T229" s="24"/>
      <x:c r="U229" s="24"/>
      <x:c r="V229" s="24"/>
      <x:c r="W229" s="24"/>
      <x:c r="X229" s="81" t="str">
        <x:f>IF(OR(R229="",R229=0),"",U229/R229)</x:f>
      </x:c>
      <x:c r="Y229" s="81" t="str">
        <x:f>IF(OR(Q229="",Q229=0),"",R229/Q229)</x:f>
      </x:c>
      <x:c r="Z229" s="26" t="s">
        <x:v>825</x:v>
      </x:c>
      <x:c r="AA229" s="24"/>
    </x:row>
    <x:row r="230" ht="188.10000610351562" customHeight="1">
      <x:c r="A230" s="22" t="s">
        <x:v>1069</x:v>
      </x:c>
      <x:c r="B230" s="22" t="s">
        <x:v>576</x:v>
      </x:c>
      <x:c r="C230" s="22" t="s">
        <x:v>57</x:v>
      </x:c>
      <x:c r="D230" s="23" t="s">
        <x:v>577</x:v>
      </x:c>
      <x:c r="E230" s="23" t="s">
        <x:v>176</x:v>
      </x:c>
      <x:c r="F230" s="23" t="s">
        <x:v>578</x:v>
      </x:c>
      <x:c r="G230" s="23" t="s">
        <x:v>666</x:v>
      </x:c>
      <x:c r="H230" s="23" t="s">
        <x:v>668</x:v>
      </x:c>
      <x:c r="I230" s="23" t="s">
        <x:v>1057</x:v>
      </x:c>
      <x:c r="J230" s="23" t="s">
        <x:v>1058</x:v>
      </x:c>
      <x:c r="K230" s="23" t="s">
        <x:v>580</x:v>
      </x:c>
      <x:c r="L230" s="23" t="s">
        <x:v>581</x:v>
      </x:c>
      <x:c r="M230" s="23" t="s">
        <x:v>582</x:v>
      </x:c>
      <x:c r="N230" s="23" t="s">
        <x:v>583</x:v>
      </x:c>
      <x:c r="O230" s="23" t="s">
        <x:v>584</x:v>
      </x:c>
      <x:c r="P230" s="24"/>
      <x:c r="Q230" s="24"/>
      <x:c r="R230" s="24"/>
      <x:c r="S230" s="24"/>
      <x:c r="T230" s="24"/>
      <x:c r="U230" s="24"/>
      <x:c r="V230" s="24"/>
      <x:c r="W230" s="24"/>
      <x:c r="X230" s="81" t="str">
        <x:f>IF(OR(R230="",R230=0),"",U230/R230)</x:f>
      </x:c>
      <x:c r="Y230" s="81" t="str">
        <x:f>IF(OR(Q230="",Q230=0),"",R230/Q230)</x:f>
      </x:c>
      <x:c r="Z230" s="26" t="s">
        <x:v>825</x:v>
      </x:c>
      <x:c r="AA230" s="24"/>
    </x:row>
    <x:row r="231" ht="188.10000610351562" customHeight="1">
      <x:c r="A231" s="22" t="s">
        <x:v>1070</x:v>
      </x:c>
      <x:c r="B231" s="22" t="s">
        <x:v>576</x:v>
      </x:c>
      <x:c r="C231" s="22" t="s">
        <x:v>57</x:v>
      </x:c>
      <x:c r="D231" s="23" t="s">
        <x:v>577</x:v>
      </x:c>
      <x:c r="E231" s="23" t="s">
        <x:v>176</x:v>
      </x:c>
      <x:c r="F231" s="23" t="s">
        <x:v>578</x:v>
      </x:c>
      <x:c r="G231" s="23" t="s">
        <x:v>666</x:v>
      </x:c>
      <x:c r="H231" s="23" t="s">
        <x:v>668</x:v>
      </x:c>
      <x:c r="I231" s="23" t="s">
        <x:v>827</x:v>
      </x:c>
      <x:c r="J231" s="23" t="s">
        <x:v>828</x:v>
      </x:c>
      <x:c r="K231" s="23" t="s">
        <x:v>580</x:v>
      </x:c>
      <x:c r="L231" s="23" t="s">
        <x:v>581</x:v>
      </x:c>
      <x:c r="M231" s="23" t="s">
        <x:v>582</x:v>
      </x:c>
      <x:c r="N231" s="23" t="s">
        <x:v>583</x:v>
      </x:c>
      <x:c r="O231" s="23" t="s">
        <x:v>584</x:v>
      </x:c>
      <x:c r="P231" s="24"/>
      <x:c r="Q231" s="24"/>
      <x:c r="R231" s="24"/>
      <x:c r="S231" s="24"/>
      <x:c r="T231" s="24"/>
      <x:c r="U231" s="24"/>
      <x:c r="V231" s="24"/>
      <x:c r="W231" s="24"/>
      <x:c r="X231" s="81" t="str">
        <x:f>IF(OR(R231="",R231=0),"",U231/R231)</x:f>
      </x:c>
      <x:c r="Y231" s="81" t="str">
        <x:f>IF(OR(Q231="",Q231=0),"",R231/Q231)</x:f>
      </x:c>
      <x:c r="Z231" s="26" t="s">
        <x:v>825</x:v>
      </x:c>
      <x:c r="AA231" s="24"/>
    </x:row>
    <x:row r="232" ht="188.10000610351562" customHeight="1">
      <x:c r="A232" s="22" t="s">
        <x:v>1071</x:v>
      </x:c>
      <x:c r="B232" s="22" t="s">
        <x:v>576</x:v>
      </x:c>
      <x:c r="C232" s="22" t="s">
        <x:v>57</x:v>
      </x:c>
      <x:c r="D232" s="23" t="s">
        <x:v>577</x:v>
      </x:c>
      <x:c r="E232" s="23" t="s">
        <x:v>176</x:v>
      </x:c>
      <x:c r="F232" s="23" t="s">
        <x:v>578</x:v>
      </x:c>
      <x:c r="G232" s="23" t="s">
        <x:v>676</x:v>
      </x:c>
      <x:c r="H232" s="23" t="s">
        <x:v>678</x:v>
      </x:c>
      <x:c r="I232" s="23" t="s">
        <x:v>1057</x:v>
      </x:c>
      <x:c r="J232" s="23" t="s">
        <x:v>1058</x:v>
      </x:c>
      <x:c r="K232" s="23" t="s">
        <x:v>580</x:v>
      </x:c>
      <x:c r="L232" s="23" t="s">
        <x:v>581</x:v>
      </x:c>
      <x:c r="M232" s="23" t="s">
        <x:v>582</x:v>
      </x:c>
      <x:c r="N232" s="23" t="s">
        <x:v>583</x:v>
      </x:c>
      <x:c r="O232" s="23" t="s">
        <x:v>584</x:v>
      </x:c>
      <x:c r="P232" s="24"/>
      <x:c r="Q232" s="24"/>
      <x:c r="R232" s="24"/>
      <x:c r="S232" s="24"/>
      <x:c r="T232" s="24"/>
      <x:c r="U232" s="24"/>
      <x:c r="V232" s="24"/>
      <x:c r="W232" s="24"/>
      <x:c r="X232" s="81" t="str">
        <x:f>IF(OR(R232="",R232=0),"",U232/R232)</x:f>
      </x:c>
      <x:c r="Y232" s="81" t="str">
        <x:f>IF(OR(Q232="",Q232=0),"",R232/Q232)</x:f>
      </x:c>
      <x:c r="Z232" s="26" t="s">
        <x:v>825</x:v>
      </x:c>
      <x:c r="AA232" s="24"/>
    </x:row>
    <x:row r="233" ht="188.10000610351562" customHeight="1">
      <x:c r="A233" s="22" t="s">
        <x:v>1072</x:v>
      </x:c>
      <x:c r="B233" s="22" t="s">
        <x:v>576</x:v>
      </x:c>
      <x:c r="C233" s="22" t="s">
        <x:v>57</x:v>
      </x:c>
      <x:c r="D233" s="23" t="s">
        <x:v>577</x:v>
      </x:c>
      <x:c r="E233" s="23" t="s">
        <x:v>176</x:v>
      </x:c>
      <x:c r="F233" s="23" t="s">
        <x:v>578</x:v>
      </x:c>
      <x:c r="G233" s="23" t="s">
        <x:v>676</x:v>
      </x:c>
      <x:c r="H233" s="23" t="s">
        <x:v>678</x:v>
      </x:c>
      <x:c r="I233" s="23" t="s">
        <x:v>827</x:v>
      </x:c>
      <x:c r="J233" s="23" t="s">
        <x:v>828</x:v>
      </x:c>
      <x:c r="K233" s="23" t="s">
        <x:v>580</x:v>
      </x:c>
      <x:c r="L233" s="23" t="s">
        <x:v>581</x:v>
      </x:c>
      <x:c r="M233" s="23" t="s">
        <x:v>582</x:v>
      </x:c>
      <x:c r="N233" s="23" t="s">
        <x:v>583</x:v>
      </x:c>
      <x:c r="O233" s="23" t="s">
        <x:v>584</x:v>
      </x:c>
      <x:c r="P233" s="24"/>
      <x:c r="Q233" s="24"/>
      <x:c r="R233" s="24"/>
      <x:c r="S233" s="24"/>
      <x:c r="T233" s="24"/>
      <x:c r="U233" s="24"/>
      <x:c r="V233" s="24"/>
      <x:c r="W233" s="24"/>
      <x:c r="X233" s="81" t="str">
        <x:f>IF(OR(R233="",R233=0),"",U233/R233)</x:f>
      </x:c>
      <x:c r="Y233" s="81" t="str">
        <x:f>IF(OR(Q233="",Q233=0),"",R233/Q233)</x:f>
      </x:c>
      <x:c r="Z233" s="26" t="s">
        <x:v>825</x:v>
      </x:c>
      <x:c r="AA233" s="24"/>
    </x:row>
    <x:row r="234" ht="188.10000610351562" customHeight="1">
      <x:c r="A234" s="22" t="s">
        <x:v>1073</x:v>
      </x:c>
      <x:c r="B234" s="22" t="s">
        <x:v>576</x:v>
      </x:c>
      <x:c r="C234" s="22" t="s">
        <x:v>57</x:v>
      </x:c>
      <x:c r="D234" s="23" t="s">
        <x:v>577</x:v>
      </x:c>
      <x:c r="E234" s="23" t="s">
        <x:v>176</x:v>
      </x:c>
      <x:c r="F234" s="23" t="s">
        <x:v>578</x:v>
      </x:c>
      <x:c r="G234" s="23" t="s">
        <x:v>693</x:v>
      </x:c>
      <x:c r="H234" s="23" t="s">
        <x:v>695</x:v>
      </x:c>
      <x:c r="I234" s="23" t="s">
        <x:v>1057</x:v>
      </x:c>
      <x:c r="J234" s="23" t="s">
        <x:v>1058</x:v>
      </x:c>
      <x:c r="K234" s="23" t="s">
        <x:v>580</x:v>
      </x:c>
      <x:c r="L234" s="23" t="s">
        <x:v>581</x:v>
      </x:c>
      <x:c r="M234" s="23" t="s">
        <x:v>582</x:v>
      </x:c>
      <x:c r="N234" s="23" t="s">
        <x:v>583</x:v>
      </x:c>
      <x:c r="O234" s="23" t="s">
        <x:v>584</x:v>
      </x:c>
      <x:c r="P234" s="24"/>
      <x:c r="Q234" s="24"/>
      <x:c r="R234" s="24"/>
      <x:c r="S234" s="24"/>
      <x:c r="T234" s="24"/>
      <x:c r="U234" s="24"/>
      <x:c r="V234" s="24"/>
      <x:c r="W234" s="24"/>
      <x:c r="X234" s="81" t="str">
        <x:f>IF(OR(R234="",R234=0),"",U234/R234)</x:f>
      </x:c>
      <x:c r="Y234" s="81" t="str">
        <x:f>IF(OR(Q234="",Q234=0),"",R234/Q234)</x:f>
      </x:c>
      <x:c r="Z234" s="26" t="s">
        <x:v>825</x:v>
      </x:c>
      <x:c r="AA234" s="24"/>
    </x:row>
    <x:row r="235" ht="188.10000610351562" customHeight="1">
      <x:c r="A235" s="22" t="s">
        <x:v>1074</x:v>
      </x:c>
      <x:c r="B235" s="22" t="s">
        <x:v>576</x:v>
      </x:c>
      <x:c r="C235" s="22" t="s">
        <x:v>57</x:v>
      </x:c>
      <x:c r="D235" s="23" t="s">
        <x:v>577</x:v>
      </x:c>
      <x:c r="E235" s="23" t="s">
        <x:v>176</x:v>
      </x:c>
      <x:c r="F235" s="23" t="s">
        <x:v>578</x:v>
      </x:c>
      <x:c r="G235" s="23" t="s">
        <x:v>693</x:v>
      </x:c>
      <x:c r="H235" s="23" t="s">
        <x:v>695</x:v>
      </x:c>
      <x:c r="I235" s="23" t="s">
        <x:v>827</x:v>
      </x:c>
      <x:c r="J235" s="23" t="s">
        <x:v>828</x:v>
      </x:c>
      <x:c r="K235" s="23" t="s">
        <x:v>580</x:v>
      </x:c>
      <x:c r="L235" s="23" t="s">
        <x:v>581</x:v>
      </x:c>
      <x:c r="M235" s="23" t="s">
        <x:v>582</x:v>
      </x:c>
      <x:c r="N235" s="23" t="s">
        <x:v>583</x:v>
      </x:c>
      <x:c r="O235" s="23" t="s">
        <x:v>584</x:v>
      </x:c>
      <x:c r="P235" s="24"/>
      <x:c r="Q235" s="24"/>
      <x:c r="R235" s="24"/>
      <x:c r="S235" s="24"/>
      <x:c r="T235" s="24"/>
      <x:c r="U235" s="24"/>
      <x:c r="V235" s="24"/>
      <x:c r="W235" s="24"/>
      <x:c r="X235" s="81" t="str">
        <x:f>IF(OR(R235="",R235=0),"",U235/R235)</x:f>
      </x:c>
      <x:c r="Y235" s="81" t="str">
        <x:f>IF(OR(Q235="",Q235=0),"",R235/Q235)</x:f>
      </x:c>
      <x:c r="Z235" s="26" t="s">
        <x:v>825</x:v>
      </x:c>
      <x:c r="AA235" s="24"/>
    </x:row>
    <x:row r="236" ht="188.10000610351562" customHeight="1">
      <x:c r="A236" s="22" t="s">
        <x:v>1075</x:v>
      </x:c>
      <x:c r="B236" s="22" t="s">
        <x:v>585</x:v>
      </x:c>
      <x:c r="C236" s="22" t="s">
        <x:v>57</x:v>
      </x:c>
      <x:c r="D236" s="23" t="s">
        <x:v>586</x:v>
      </x:c>
      <x:c r="E236" s="23" t="s">
        <x:v>196</x:v>
      </x:c>
      <x:c r="F236" s="23" t="s">
        <x:v>587</x:v>
      </x:c>
      <x:c r="G236" s="23" t="s">
        <x:v>666</x:v>
      </x:c>
      <x:c r="H236" s="23" t="s">
        <x:v>668</x:v>
      </x:c>
      <x:c r="I236" s="23" t="s">
        <x:v>1054</x:v>
      </x:c>
      <x:c r="J236" s="23" t="s">
        <x:v>1055</x:v>
      </x:c>
      <x:c r="K236" s="23" t="s">
        <x:v>589</x:v>
      </x:c>
      <x:c r="L236" s="23" t="s">
        <x:v>590</x:v>
      </x:c>
      <x:c r="M236" s="23" t="s">
        <x:v>591</x:v>
      </x:c>
      <x:c r="N236" s="23" t="s">
        <x:v>592</x:v>
      </x:c>
      <x:c r="O236" s="23" t="s">
        <x:v>593</x:v>
      </x:c>
      <x:c r="P236" s="24"/>
      <x:c r="Q236" s="24"/>
      <x:c r="R236" s="24"/>
      <x:c r="S236" s="24"/>
      <x:c r="T236" s="24"/>
      <x:c r="U236" s="24"/>
      <x:c r="V236" s="24"/>
      <x:c r="W236" s="24"/>
      <x:c r="X236" s="81" t="str">
        <x:f>IF(OR(R236="",R236=0),"",U236/R236)</x:f>
      </x:c>
      <x:c r="Y236" s="81" t="str">
        <x:f>IF(OR(Q236="",Q236=0),"",R236/Q236)</x:f>
      </x:c>
      <x:c r="Z236" s="26" t="s">
        <x:v>825</x:v>
      </x:c>
      <x:c r="AA236" s="24"/>
    </x:row>
    <x:row r="237" ht="188.10000610351562" customHeight="1">
      <x:c r="A237" s="22" t="s">
        <x:v>1076</x:v>
      </x:c>
      <x:c r="B237" s="22" t="s">
        <x:v>585</x:v>
      </x:c>
      <x:c r="C237" s="22" t="s">
        <x:v>57</x:v>
      </x:c>
      <x:c r="D237" s="23" t="s">
        <x:v>586</x:v>
      </x:c>
      <x:c r="E237" s="23" t="s">
        <x:v>196</x:v>
      </x:c>
      <x:c r="F237" s="23" t="s">
        <x:v>587</x:v>
      </x:c>
      <x:c r="G237" s="23" t="s">
        <x:v>666</x:v>
      </x:c>
      <x:c r="H237" s="23" t="s">
        <x:v>668</x:v>
      </x:c>
      <x:c r="I237" s="23" t="s">
        <x:v>1057</x:v>
      </x:c>
      <x:c r="J237" s="23" t="s">
        <x:v>1058</x:v>
      </x:c>
      <x:c r="K237" s="23" t="s">
        <x:v>589</x:v>
      </x:c>
      <x:c r="L237" s="23" t="s">
        <x:v>590</x:v>
      </x:c>
      <x:c r="M237" s="23" t="s">
        <x:v>591</x:v>
      </x:c>
      <x:c r="N237" s="23" t="s">
        <x:v>592</x:v>
      </x:c>
      <x:c r="O237" s="23" t="s">
        <x:v>593</x:v>
      </x:c>
      <x:c r="P237" s="24"/>
      <x:c r="Q237" s="24"/>
      <x:c r="R237" s="24"/>
      <x:c r="S237" s="24"/>
      <x:c r="T237" s="24"/>
      <x:c r="U237" s="24"/>
      <x:c r="V237" s="24"/>
      <x:c r="W237" s="24"/>
      <x:c r="X237" s="81" t="str">
        <x:f>IF(OR(R237="",R237=0),"",U237/R237)</x:f>
      </x:c>
      <x:c r="Y237" s="81" t="str">
        <x:f>IF(OR(Q237="",Q237=0),"",R237/Q237)</x:f>
      </x:c>
      <x:c r="Z237" s="26" t="s">
        <x:v>825</x:v>
      </x:c>
      <x:c r="AA237" s="24"/>
    </x:row>
    <x:row r="238" ht="188.10000610351562" customHeight="1">
      <x:c r="A238" s="22" t="s">
        <x:v>1077</x:v>
      </x:c>
      <x:c r="B238" s="22" t="s">
        <x:v>585</x:v>
      </x:c>
      <x:c r="C238" s="22" t="s">
        <x:v>57</x:v>
      </x:c>
      <x:c r="D238" s="23" t="s">
        <x:v>586</x:v>
      </x:c>
      <x:c r="E238" s="23" t="s">
        <x:v>196</x:v>
      </x:c>
      <x:c r="F238" s="23" t="s">
        <x:v>587</x:v>
      </x:c>
      <x:c r="G238" s="23" t="s">
        <x:v>684</x:v>
      </x:c>
      <x:c r="H238" s="23" t="s">
        <x:v>686</x:v>
      </x:c>
      <x:c r="I238" s="23" t="s">
        <x:v>1054</x:v>
      </x:c>
      <x:c r="J238" s="23" t="s">
        <x:v>1055</x:v>
      </x:c>
      <x:c r="K238" s="23" t="s">
        <x:v>589</x:v>
      </x:c>
      <x:c r="L238" s="23" t="s">
        <x:v>590</x:v>
      </x:c>
      <x:c r="M238" s="23" t="s">
        <x:v>591</x:v>
      </x:c>
      <x:c r="N238" s="23" t="s">
        <x:v>592</x:v>
      </x:c>
      <x:c r="O238" s="23" t="s">
        <x:v>593</x:v>
      </x:c>
      <x:c r="P238" s="24"/>
      <x:c r="Q238" s="24"/>
      <x:c r="R238" s="24"/>
      <x:c r="S238" s="24"/>
      <x:c r="T238" s="24"/>
      <x:c r="U238" s="24"/>
      <x:c r="V238" s="24"/>
      <x:c r="W238" s="24"/>
      <x:c r="X238" s="81" t="str">
        <x:f>IF(OR(R238="",R238=0),"",U238/R238)</x:f>
      </x:c>
      <x:c r="Y238" s="81" t="str">
        <x:f>IF(OR(Q238="",Q238=0),"",R238/Q238)</x:f>
      </x:c>
      <x:c r="Z238" s="26" t="s">
        <x:v>825</x:v>
      </x:c>
      <x:c r="AA238" s="24"/>
    </x:row>
    <x:row r="239" ht="188.10000610351562" customHeight="1">
      <x:c r="A239" s="22" t="s">
        <x:v>1078</x:v>
      </x:c>
      <x:c r="B239" s="22" t="s">
        <x:v>585</x:v>
      </x:c>
      <x:c r="C239" s="22" t="s">
        <x:v>57</x:v>
      </x:c>
      <x:c r="D239" s="23" t="s">
        <x:v>586</x:v>
      </x:c>
      <x:c r="E239" s="23" t="s">
        <x:v>196</x:v>
      </x:c>
      <x:c r="F239" s="23" t="s">
        <x:v>587</x:v>
      </x:c>
      <x:c r="G239" s="23" t="s">
        <x:v>684</x:v>
      </x:c>
      <x:c r="H239" s="23" t="s">
        <x:v>686</x:v>
      </x:c>
      <x:c r="I239" s="23" t="s">
        <x:v>1057</x:v>
      </x:c>
      <x:c r="J239" s="23" t="s">
        <x:v>1058</x:v>
      </x:c>
      <x:c r="K239" s="23" t="s">
        <x:v>589</x:v>
      </x:c>
      <x:c r="L239" s="23" t="s">
        <x:v>590</x:v>
      </x:c>
      <x:c r="M239" s="23" t="s">
        <x:v>591</x:v>
      </x:c>
      <x:c r="N239" s="23" t="s">
        <x:v>592</x:v>
      </x:c>
      <x:c r="O239" s="23" t="s">
        <x:v>593</x:v>
      </x:c>
      <x:c r="P239" s="24"/>
      <x:c r="Q239" s="24"/>
      <x:c r="R239" s="24"/>
      <x:c r="S239" s="24"/>
      <x:c r="T239" s="24"/>
      <x:c r="U239" s="24"/>
      <x:c r="V239" s="24"/>
      <x:c r="W239" s="24"/>
      <x:c r="X239" s="81" t="str">
        <x:f>IF(OR(R239="",R239=0),"",U239/R239)</x:f>
      </x:c>
      <x:c r="Y239" s="81" t="str">
        <x:f>IF(OR(Q239="",Q239=0),"",R239/Q239)</x:f>
      </x:c>
      <x:c r="Z239" s="26" t="s">
        <x:v>825</x:v>
      </x:c>
      <x:c r="AA239" s="24"/>
    </x:row>
    <x:row r="240" ht="188.10000610351562" customHeight="1">
      <x:c r="A240" s="22" t="s">
        <x:v>1079</x:v>
      </x:c>
      <x:c r="B240" s="22" t="s">
        <x:v>585</x:v>
      </x:c>
      <x:c r="C240" s="22" t="s">
        <x:v>57</x:v>
      </x:c>
      <x:c r="D240" s="23" t="s">
        <x:v>586</x:v>
      </x:c>
      <x:c r="E240" s="23" t="s">
        <x:v>196</x:v>
      </x:c>
      <x:c r="F240" s="23" t="s">
        <x:v>587</x:v>
      </x:c>
      <x:c r="G240" s="23" t="s">
        <x:v>167</x:v>
      </x:c>
      <x:c r="H240" s="23" t="s">
        <x:v>690</x:v>
      </x:c>
      <x:c r="I240" s="23" t="s">
        <x:v>1054</x:v>
      </x:c>
      <x:c r="J240" s="23" t="s">
        <x:v>1055</x:v>
      </x:c>
      <x:c r="K240" s="23" t="s">
        <x:v>589</x:v>
      </x:c>
      <x:c r="L240" s="23" t="s">
        <x:v>590</x:v>
      </x:c>
      <x:c r="M240" s="23" t="s">
        <x:v>591</x:v>
      </x:c>
      <x:c r="N240" s="23" t="s">
        <x:v>592</x:v>
      </x:c>
      <x:c r="O240" s="23" t="s">
        <x:v>593</x:v>
      </x:c>
      <x:c r="P240" s="24"/>
      <x:c r="Q240" s="24"/>
      <x:c r="R240" s="24"/>
      <x:c r="S240" s="24"/>
      <x:c r="T240" s="24"/>
      <x:c r="U240" s="24"/>
      <x:c r="V240" s="24"/>
      <x:c r="W240" s="24"/>
      <x:c r="X240" s="81" t="str">
        <x:f>IF(OR(R240="",R240=0),"",U240/R240)</x:f>
      </x:c>
      <x:c r="Y240" s="81" t="str">
        <x:f>IF(OR(Q240="",Q240=0),"",R240/Q240)</x:f>
      </x:c>
      <x:c r="Z240" s="26" t="s">
        <x:v>825</x:v>
      </x:c>
      <x:c r="AA240" s="24"/>
    </x:row>
    <x:row r="241" ht="188.10000610351562" customHeight="1">
      <x:c r="A241" s="22" t="s">
        <x:v>1080</x:v>
      </x:c>
      <x:c r="B241" s="22" t="s">
        <x:v>585</x:v>
      </x:c>
      <x:c r="C241" s="22" t="s">
        <x:v>57</x:v>
      </x:c>
      <x:c r="D241" s="23" t="s">
        <x:v>586</x:v>
      </x:c>
      <x:c r="E241" s="23" t="s">
        <x:v>196</x:v>
      </x:c>
      <x:c r="F241" s="23" t="s">
        <x:v>587</x:v>
      </x:c>
      <x:c r="G241" s="23" t="s">
        <x:v>167</x:v>
      </x:c>
      <x:c r="H241" s="23" t="s">
        <x:v>690</x:v>
      </x:c>
      <x:c r="I241" s="23" t="s">
        <x:v>1057</x:v>
      </x:c>
      <x:c r="J241" s="23" t="s">
        <x:v>1058</x:v>
      </x:c>
      <x:c r="K241" s="23" t="s">
        <x:v>589</x:v>
      </x:c>
      <x:c r="L241" s="23" t="s">
        <x:v>590</x:v>
      </x:c>
      <x:c r="M241" s="23" t="s">
        <x:v>591</x:v>
      </x:c>
      <x:c r="N241" s="23" t="s">
        <x:v>592</x:v>
      </x:c>
      <x:c r="O241" s="23" t="s">
        <x:v>593</x:v>
      </x:c>
      <x:c r="P241" s="24"/>
      <x:c r="Q241" s="24"/>
      <x:c r="R241" s="24"/>
      <x:c r="S241" s="24"/>
      <x:c r="T241" s="24"/>
      <x:c r="U241" s="24"/>
      <x:c r="V241" s="24"/>
      <x:c r="W241" s="24"/>
      <x:c r="X241" s="81" t="str">
        <x:f>IF(OR(R241="",R241=0),"",U241/R241)</x:f>
      </x:c>
      <x:c r="Y241" s="81" t="str">
        <x:f>IF(OR(Q241="",Q241=0),"",R241/Q241)</x:f>
      </x:c>
      <x:c r="Z241" s="26" t="s">
        <x:v>825</x:v>
      </x:c>
      <x:c r="AA241" s="24"/>
    </x:row>
    <x:row r="242" ht="188.10000610351562" customHeight="1">
      <x:c r="A242" s="22" t="s">
        <x:v>1081</x:v>
      </x:c>
      <x:c r="B242" s="22" t="s">
        <x:v>594</x:v>
      </x:c>
      <x:c r="C242" s="22" t="s">
        <x:v>57</x:v>
      </x:c>
      <x:c r="D242" s="23" t="s">
        <x:v>595</x:v>
      </x:c>
      <x:c r="E242" s="23" t="s">
        <x:v>205</x:v>
      </x:c>
      <x:c r="F242" s="23" t="s">
        <x:v>596</x:v>
      </x:c>
      <x:c r="G242" s="23" t="s">
        <x:v>666</x:v>
      </x:c>
      <x:c r="H242" s="23" t="s">
        <x:v>668</x:v>
      </x:c>
      <x:c r="I242" s="23" t="s">
        <x:v>1057</x:v>
      </x:c>
      <x:c r="J242" s="23" t="s">
        <x:v>1058</x:v>
      </x:c>
      <x:c r="K242" s="23" t="s">
        <x:v>597</x:v>
      </x:c>
      <x:c r="L242" s="23" t="s">
        <x:v>598</x:v>
      </x:c>
      <x:c r="M242" s="23" t="s">
        <x:v>599</x:v>
      </x:c>
      <x:c r="N242" s="23" t="s">
        <x:v>600</x:v>
      </x:c>
      <x:c r="O242" s="23" t="s">
        <x:v>184</x:v>
      </x:c>
      <x:c r="P242" s="24"/>
      <x:c r="Q242" s="24"/>
      <x:c r="R242" s="24"/>
      <x:c r="S242" s="24"/>
      <x:c r="T242" s="24"/>
      <x:c r="U242" s="24"/>
      <x:c r="V242" s="24"/>
      <x:c r="W242" s="24"/>
      <x:c r="X242" s="81" t="str">
        <x:f>IF(OR(R242="",R242=0),"",U242/R242)</x:f>
      </x:c>
      <x:c r="Y242" s="81" t="str">
        <x:f>IF(OR(Q242="",Q242=0),"",R242/Q242)</x:f>
      </x:c>
      <x:c r="Z242" s="26" t="s">
        <x:v>825</x:v>
      </x:c>
      <x:c r="AA242" s="24"/>
    </x:row>
    <x:row r="243" ht="188.10000610351562" customHeight="1">
      <x:c r="A243" s="22" t="s">
        <x:v>1082</x:v>
      </x:c>
      <x:c r="B243" s="22" t="s">
        <x:v>594</x:v>
      </x:c>
      <x:c r="C243" s="22" t="s">
        <x:v>57</x:v>
      </x:c>
      <x:c r="D243" s="23" t="s">
        <x:v>595</x:v>
      </x:c>
      <x:c r="E243" s="23" t="s">
        <x:v>205</x:v>
      </x:c>
      <x:c r="F243" s="23" t="s">
        <x:v>596</x:v>
      </x:c>
      <x:c r="G243" s="23" t="s">
        <x:v>666</x:v>
      </x:c>
      <x:c r="H243" s="23" t="s">
        <x:v>668</x:v>
      </x:c>
      <x:c r="I243" s="23" t="s">
        <x:v>839</x:v>
      </x:c>
      <x:c r="J243" s="23" t="s">
        <x:v>840</x:v>
      </x:c>
      <x:c r="K243" s="23" t="s">
        <x:v>597</x:v>
      </x:c>
      <x:c r="L243" s="23" t="s">
        <x:v>598</x:v>
      </x:c>
      <x:c r="M243" s="23" t="s">
        <x:v>599</x:v>
      </x:c>
      <x:c r="N243" s="23" t="s">
        <x:v>600</x:v>
      </x:c>
      <x:c r="O243" s="23" t="s">
        <x:v>184</x:v>
      </x:c>
      <x:c r="P243" s="24"/>
      <x:c r="Q243" s="24"/>
      <x:c r="R243" s="24"/>
      <x:c r="S243" s="24"/>
      <x:c r="T243" s="24"/>
      <x:c r="U243" s="24"/>
      <x:c r="V243" s="24"/>
      <x:c r="W243" s="24"/>
      <x:c r="X243" s="81" t="str">
        <x:f>IF(OR(R243="",R243=0),"",U243/R243)</x:f>
      </x:c>
      <x:c r="Y243" s="81" t="str">
        <x:f>IF(OR(Q243="",Q243=0),"",R243/Q243)</x:f>
      </x:c>
      <x:c r="Z243" s="26" t="s">
        <x:v>825</x:v>
      </x:c>
      <x:c r="AA243" s="24"/>
    </x:row>
    <x:row r="244" ht="188.10000610351562" customHeight="1">
      <x:c r="A244" s="22" t="s">
        <x:v>1083</x:v>
      </x:c>
      <x:c r="B244" s="22" t="s">
        <x:v>594</x:v>
      </x:c>
      <x:c r="C244" s="22" t="s">
        <x:v>57</x:v>
      </x:c>
      <x:c r="D244" s="23" t="s">
        <x:v>595</x:v>
      </x:c>
      <x:c r="E244" s="23" t="s">
        <x:v>205</x:v>
      </x:c>
      <x:c r="F244" s="23" t="s">
        <x:v>596</x:v>
      </x:c>
      <x:c r="G244" s="23" t="s">
        <x:v>684</x:v>
      </x:c>
      <x:c r="H244" s="23" t="s">
        <x:v>686</x:v>
      </x:c>
      <x:c r="I244" s="23" t="s">
        <x:v>1057</x:v>
      </x:c>
      <x:c r="J244" s="23" t="s">
        <x:v>1058</x:v>
      </x:c>
      <x:c r="K244" s="23" t="s">
        <x:v>597</x:v>
      </x:c>
      <x:c r="L244" s="23" t="s">
        <x:v>598</x:v>
      </x:c>
      <x:c r="M244" s="23" t="s">
        <x:v>599</x:v>
      </x:c>
      <x:c r="N244" s="23" t="s">
        <x:v>600</x:v>
      </x:c>
      <x:c r="O244" s="23" t="s">
        <x:v>184</x:v>
      </x:c>
      <x:c r="P244" s="24"/>
      <x:c r="Q244" s="24"/>
      <x:c r="R244" s="24"/>
      <x:c r="S244" s="24"/>
      <x:c r="T244" s="24"/>
      <x:c r="U244" s="24"/>
      <x:c r="V244" s="24"/>
      <x:c r="W244" s="24"/>
      <x:c r="X244" s="81" t="str">
        <x:f>IF(OR(R244="",R244=0),"",U244/R244)</x:f>
      </x:c>
      <x:c r="Y244" s="81" t="str">
        <x:f>IF(OR(Q244="",Q244=0),"",R244/Q244)</x:f>
      </x:c>
      <x:c r="Z244" s="26" t="s">
        <x:v>825</x:v>
      </x:c>
      <x:c r="AA244" s="24"/>
    </x:row>
    <x:row r="245" ht="188.10000610351562" customHeight="1">
      <x:c r="A245" s="22" t="s">
        <x:v>1084</x:v>
      </x:c>
      <x:c r="B245" s="22" t="s">
        <x:v>594</x:v>
      </x:c>
      <x:c r="C245" s="22" t="s">
        <x:v>57</x:v>
      </x:c>
      <x:c r="D245" s="23" t="s">
        <x:v>595</x:v>
      </x:c>
      <x:c r="E245" s="23" t="s">
        <x:v>205</x:v>
      </x:c>
      <x:c r="F245" s="23" t="s">
        <x:v>596</x:v>
      </x:c>
      <x:c r="G245" s="23" t="s">
        <x:v>684</x:v>
      </x:c>
      <x:c r="H245" s="23" t="s">
        <x:v>686</x:v>
      </x:c>
      <x:c r="I245" s="23" t="s">
        <x:v>839</x:v>
      </x:c>
      <x:c r="J245" s="23" t="s">
        <x:v>840</x:v>
      </x:c>
      <x:c r="K245" s="23" t="s">
        <x:v>597</x:v>
      </x:c>
      <x:c r="L245" s="23" t="s">
        <x:v>598</x:v>
      </x:c>
      <x:c r="M245" s="23" t="s">
        <x:v>599</x:v>
      </x:c>
      <x:c r="N245" s="23" t="s">
        <x:v>600</x:v>
      </x:c>
      <x:c r="O245" s="23" t="s">
        <x:v>184</x:v>
      </x:c>
      <x:c r="P245" s="24"/>
      <x:c r="Q245" s="24"/>
      <x:c r="R245" s="24"/>
      <x:c r="S245" s="24"/>
      <x:c r="T245" s="24"/>
      <x:c r="U245" s="24"/>
      <x:c r="V245" s="24"/>
      <x:c r="W245" s="24"/>
      <x:c r="X245" s="81" t="str">
        <x:f>IF(OR(R245="",R245=0),"",U245/R245)</x:f>
      </x:c>
      <x:c r="Y245" s="81" t="str">
        <x:f>IF(OR(Q245="",Q245=0),"",R245/Q245)</x:f>
      </x:c>
      <x:c r="Z245" s="26" t="s">
        <x:v>825</x:v>
      </x:c>
      <x:c r="AA245" s="24"/>
    </x:row>
    <x:row r="246" ht="188.10000610351562" customHeight="1">
      <x:c r="A246" s="22" t="s">
        <x:v>1085</x:v>
      </x:c>
      <x:c r="B246" s="22" t="s">
        <x:v>594</x:v>
      </x:c>
      <x:c r="C246" s="22" t="s">
        <x:v>57</x:v>
      </x:c>
      <x:c r="D246" s="23" t="s">
        <x:v>595</x:v>
      </x:c>
      <x:c r="E246" s="23" t="s">
        <x:v>205</x:v>
      </x:c>
      <x:c r="F246" s="23" t="s">
        <x:v>596</x:v>
      </x:c>
      <x:c r="G246" s="23" t="s">
        <x:v>693</x:v>
      </x:c>
      <x:c r="H246" s="23" t="s">
        <x:v>695</x:v>
      </x:c>
      <x:c r="I246" s="23" t="s">
        <x:v>1057</x:v>
      </x:c>
      <x:c r="J246" s="23" t="s">
        <x:v>1058</x:v>
      </x:c>
      <x:c r="K246" s="23" t="s">
        <x:v>597</x:v>
      </x:c>
      <x:c r="L246" s="23" t="s">
        <x:v>598</x:v>
      </x:c>
      <x:c r="M246" s="23" t="s">
        <x:v>599</x:v>
      </x:c>
      <x:c r="N246" s="23" t="s">
        <x:v>600</x:v>
      </x:c>
      <x:c r="O246" s="23" t="s">
        <x:v>184</x:v>
      </x:c>
      <x:c r="P246" s="24"/>
      <x:c r="Q246" s="24"/>
      <x:c r="R246" s="24"/>
      <x:c r="S246" s="24"/>
      <x:c r="T246" s="24"/>
      <x:c r="U246" s="24"/>
      <x:c r="V246" s="24"/>
      <x:c r="W246" s="24"/>
      <x:c r="X246" s="81" t="str">
        <x:f>IF(OR(R246="",R246=0),"",U246/R246)</x:f>
      </x:c>
      <x:c r="Y246" s="81" t="str">
        <x:f>IF(OR(Q246="",Q246=0),"",R246/Q246)</x:f>
      </x:c>
      <x:c r="Z246" s="26" t="s">
        <x:v>825</x:v>
      </x:c>
      <x:c r="AA246" s="24"/>
    </x:row>
    <x:row r="247" ht="188.10000610351562" customHeight="1">
      <x:c r="A247" s="22" t="s">
        <x:v>1086</x:v>
      </x:c>
      <x:c r="B247" s="22" t="s">
        <x:v>594</x:v>
      </x:c>
      <x:c r="C247" s="22" t="s">
        <x:v>57</x:v>
      </x:c>
      <x:c r="D247" s="23" t="s">
        <x:v>595</x:v>
      </x:c>
      <x:c r="E247" s="23" t="s">
        <x:v>205</x:v>
      </x:c>
      <x:c r="F247" s="23" t="s">
        <x:v>596</x:v>
      </x:c>
      <x:c r="G247" s="23" t="s">
        <x:v>693</x:v>
      </x:c>
      <x:c r="H247" s="23" t="s">
        <x:v>695</x:v>
      </x:c>
      <x:c r="I247" s="23" t="s">
        <x:v>839</x:v>
      </x:c>
      <x:c r="J247" s="23" t="s">
        <x:v>840</x:v>
      </x:c>
      <x:c r="K247" s="23" t="s">
        <x:v>597</x:v>
      </x:c>
      <x:c r="L247" s="23" t="s">
        <x:v>598</x:v>
      </x:c>
      <x:c r="M247" s="23" t="s">
        <x:v>599</x:v>
      </x:c>
      <x:c r="N247" s="23" t="s">
        <x:v>600</x:v>
      </x:c>
      <x:c r="O247" s="23" t="s">
        <x:v>184</x:v>
      </x:c>
      <x:c r="P247" s="24"/>
      <x:c r="Q247" s="24"/>
      <x:c r="R247" s="24"/>
      <x:c r="S247" s="24"/>
      <x:c r="T247" s="24"/>
      <x:c r="U247" s="24"/>
      <x:c r="V247" s="24"/>
      <x:c r="W247" s="24"/>
      <x:c r="X247" s="81" t="str">
        <x:f>IF(OR(R247="",R247=0),"",U247/R247)</x:f>
      </x:c>
      <x:c r="Y247" s="81" t="str">
        <x:f>IF(OR(Q247="",Q247=0),"",R247/Q247)</x:f>
      </x:c>
      <x:c r="Z247" s="26" t="s">
        <x:v>825</x:v>
      </x:c>
      <x:c r="AA247" s="24"/>
    </x:row>
    <x:row r="248" ht="188.10000610351562" customHeight="1">
      <x:c r="A248" s="22" t="s">
        <x:v>1087</x:v>
      </x:c>
      <x:c r="B248" s="22" t="s">
        <x:v>601</x:v>
      </x:c>
      <x:c r="C248" s="22" t="s">
        <x:v>57</x:v>
      </x:c>
      <x:c r="D248" s="23" t="s">
        <x:v>602</x:v>
      </x:c>
      <x:c r="E248" s="23" t="s">
        <x:v>176</x:v>
      </x:c>
      <x:c r="F248" s="23" t="s">
        <x:v>603</x:v>
      </x:c>
      <x:c r="G248" s="23" t="s">
        <x:v>666</x:v>
      </x:c>
      <x:c r="H248" s="23" t="s">
        <x:v>668</x:v>
      </x:c>
      <x:c r="I248" s="23" t="s">
        <x:v>429</x:v>
      </x:c>
      <x:c r="J248" s="23" t="s">
        <x:v>933</x:v>
      </x:c>
      <x:c r="K248" s="23" t="s">
        <x:v>605</x:v>
      </x:c>
      <x:c r="L248" s="23" t="s">
        <x:v>606</x:v>
      </x:c>
      <x:c r="M248" s="23" t="s">
        <x:v>607</x:v>
      </x:c>
      <x:c r="N248" s="23" t="s">
        <x:v>608</x:v>
      </x:c>
      <x:c r="O248" s="23" t="s">
        <x:v>609</x:v>
      </x:c>
      <x:c r="P248" s="24"/>
      <x:c r="Q248" s="24"/>
      <x:c r="R248" s="24"/>
      <x:c r="S248" s="24"/>
      <x:c r="T248" s="24"/>
      <x:c r="U248" s="24"/>
      <x:c r="V248" s="24"/>
      <x:c r="W248" s="24"/>
      <x:c r="X248" s="81" t="str">
        <x:f>IF(OR(R248="",R248=0),"",U248/R248)</x:f>
      </x:c>
      <x:c r="Y248" s="81" t="str">
        <x:f>IF(OR(Q248="",Q248=0),"",R248/Q248)</x:f>
      </x:c>
      <x:c r="Z248" s="26" t="s">
        <x:v>825</x:v>
      </x:c>
      <x:c r="AA248" s="24"/>
    </x:row>
    <x:row r="249" ht="188.10000610351562" customHeight="1">
      <x:c r="A249" s="22" t="s">
        <x:v>1088</x:v>
      </x:c>
      <x:c r="B249" s="22" t="s">
        <x:v>601</x:v>
      </x:c>
      <x:c r="C249" s="22" t="s">
        <x:v>57</x:v>
      </x:c>
      <x:c r="D249" s="23" t="s">
        <x:v>602</x:v>
      </x:c>
      <x:c r="E249" s="23" t="s">
        <x:v>176</x:v>
      </x:c>
      <x:c r="F249" s="23" t="s">
        <x:v>603</x:v>
      </x:c>
      <x:c r="G249" s="23" t="s">
        <x:v>666</x:v>
      </x:c>
      <x:c r="H249" s="23" t="s">
        <x:v>668</x:v>
      </x:c>
      <x:c r="I249" s="23" t="s">
        <x:v>1057</x:v>
      </x:c>
      <x:c r="J249" s="23" t="s">
        <x:v>1058</x:v>
      </x:c>
      <x:c r="K249" s="23" t="s">
        <x:v>605</x:v>
      </x:c>
      <x:c r="L249" s="23" t="s">
        <x:v>606</x:v>
      </x:c>
      <x:c r="M249" s="23" t="s">
        <x:v>607</x:v>
      </x:c>
      <x:c r="N249" s="23" t="s">
        <x:v>608</x:v>
      </x:c>
      <x:c r="O249" s="23" t="s">
        <x:v>609</x:v>
      </x:c>
      <x:c r="P249" s="24"/>
      <x:c r="Q249" s="24"/>
      <x:c r="R249" s="24"/>
      <x:c r="S249" s="24"/>
      <x:c r="T249" s="24"/>
      <x:c r="U249" s="24"/>
      <x:c r="V249" s="24"/>
      <x:c r="W249" s="24"/>
      <x:c r="X249" s="81" t="str">
        <x:f>IF(OR(R249="",R249=0),"",U249/R249)</x:f>
      </x:c>
      <x:c r="Y249" s="81" t="str">
        <x:f>IF(OR(Q249="",Q249=0),"",R249/Q249)</x:f>
      </x:c>
      <x:c r="Z249" s="26" t="s">
        <x:v>825</x:v>
      </x:c>
      <x:c r="AA249" s="24"/>
    </x:row>
    <x:row r="250" ht="188.10000610351562" customHeight="1">
      <x:c r="A250" s="22" t="s">
        <x:v>1089</x:v>
      </x:c>
      <x:c r="B250" s="22" t="s">
        <x:v>601</x:v>
      </x:c>
      <x:c r="C250" s="22" t="s">
        <x:v>57</x:v>
      </x:c>
      <x:c r="D250" s="23" t="s">
        <x:v>602</x:v>
      </x:c>
      <x:c r="E250" s="23" t="s">
        <x:v>176</x:v>
      </x:c>
      <x:c r="F250" s="23" t="s">
        <x:v>603</x:v>
      </x:c>
      <x:c r="G250" s="23" t="s">
        <x:v>676</x:v>
      </x:c>
      <x:c r="H250" s="23" t="s">
        <x:v>678</x:v>
      </x:c>
      <x:c r="I250" s="23" t="s">
        <x:v>429</x:v>
      </x:c>
      <x:c r="J250" s="23" t="s">
        <x:v>933</x:v>
      </x:c>
      <x:c r="K250" s="23" t="s">
        <x:v>605</x:v>
      </x:c>
      <x:c r="L250" s="23" t="s">
        <x:v>606</x:v>
      </x:c>
      <x:c r="M250" s="23" t="s">
        <x:v>607</x:v>
      </x:c>
      <x:c r="N250" s="23" t="s">
        <x:v>608</x:v>
      </x:c>
      <x:c r="O250" s="23" t="s">
        <x:v>609</x:v>
      </x:c>
      <x:c r="P250" s="24"/>
      <x:c r="Q250" s="24"/>
      <x:c r="R250" s="24"/>
      <x:c r="S250" s="24"/>
      <x:c r="T250" s="24"/>
      <x:c r="U250" s="24"/>
      <x:c r="V250" s="24"/>
      <x:c r="W250" s="24"/>
      <x:c r="X250" s="81" t="str">
        <x:f>IF(OR(R250="",R250=0),"",U250/R250)</x:f>
      </x:c>
      <x:c r="Y250" s="81" t="str">
        <x:f>IF(OR(Q250="",Q250=0),"",R250/Q250)</x:f>
      </x:c>
      <x:c r="Z250" s="26" t="s">
        <x:v>825</x:v>
      </x:c>
      <x:c r="AA250" s="24"/>
    </x:row>
    <x:row r="251" ht="188.10000610351562" customHeight="1">
      <x:c r="A251" s="22" t="s">
        <x:v>1090</x:v>
      </x:c>
      <x:c r="B251" s="22" t="s">
        <x:v>601</x:v>
      </x:c>
      <x:c r="C251" s="22" t="s">
        <x:v>57</x:v>
      </x:c>
      <x:c r="D251" s="23" t="s">
        <x:v>602</x:v>
      </x:c>
      <x:c r="E251" s="23" t="s">
        <x:v>176</x:v>
      </x:c>
      <x:c r="F251" s="23" t="s">
        <x:v>603</x:v>
      </x:c>
      <x:c r="G251" s="23" t="s">
        <x:v>676</x:v>
      </x:c>
      <x:c r="H251" s="23" t="s">
        <x:v>678</x:v>
      </x:c>
      <x:c r="I251" s="23" t="s">
        <x:v>1057</x:v>
      </x:c>
      <x:c r="J251" s="23" t="s">
        <x:v>1058</x:v>
      </x:c>
      <x:c r="K251" s="23" t="s">
        <x:v>605</x:v>
      </x:c>
      <x:c r="L251" s="23" t="s">
        <x:v>606</x:v>
      </x:c>
      <x:c r="M251" s="23" t="s">
        <x:v>607</x:v>
      </x:c>
      <x:c r="N251" s="23" t="s">
        <x:v>608</x:v>
      </x:c>
      <x:c r="O251" s="23" t="s">
        <x:v>609</x:v>
      </x:c>
      <x:c r="P251" s="24"/>
      <x:c r="Q251" s="24"/>
      <x:c r="R251" s="24"/>
      <x:c r="S251" s="24"/>
      <x:c r="T251" s="24"/>
      <x:c r="U251" s="24"/>
      <x:c r="V251" s="24"/>
      <x:c r="W251" s="24"/>
      <x:c r="X251" s="81" t="str">
        <x:f>IF(OR(R251="",R251=0),"",U251/R251)</x:f>
      </x:c>
      <x:c r="Y251" s="81" t="str">
        <x:f>IF(OR(Q251="",Q251=0),"",R251/Q251)</x:f>
      </x:c>
      <x:c r="Z251" s="26" t="s">
        <x:v>825</x:v>
      </x:c>
      <x:c r="AA251" s="24"/>
    </x:row>
    <x:row r="252" ht="188.10000610351562" customHeight="1">
      <x:c r="A252" s="22" t="s">
        <x:v>1091</x:v>
      </x:c>
      <x:c r="B252" s="22" t="s">
        <x:v>601</x:v>
      </x:c>
      <x:c r="C252" s="22" t="s">
        <x:v>57</x:v>
      </x:c>
      <x:c r="D252" s="23" t="s">
        <x:v>602</x:v>
      </x:c>
      <x:c r="E252" s="23" t="s">
        <x:v>176</x:v>
      </x:c>
      <x:c r="F252" s="23" t="s">
        <x:v>603</x:v>
      </x:c>
      <x:c r="G252" s="23" t="s">
        <x:v>693</x:v>
      </x:c>
      <x:c r="H252" s="23" t="s">
        <x:v>695</x:v>
      </x:c>
      <x:c r="I252" s="23" t="s">
        <x:v>429</x:v>
      </x:c>
      <x:c r="J252" s="23" t="s">
        <x:v>933</x:v>
      </x:c>
      <x:c r="K252" s="23" t="s">
        <x:v>605</x:v>
      </x:c>
      <x:c r="L252" s="23" t="s">
        <x:v>606</x:v>
      </x:c>
      <x:c r="M252" s="23" t="s">
        <x:v>607</x:v>
      </x:c>
      <x:c r="N252" s="23" t="s">
        <x:v>608</x:v>
      </x:c>
      <x:c r="O252" s="23" t="s">
        <x:v>609</x:v>
      </x:c>
      <x:c r="P252" s="24"/>
      <x:c r="Q252" s="24"/>
      <x:c r="R252" s="24"/>
      <x:c r="S252" s="24"/>
      <x:c r="T252" s="24"/>
      <x:c r="U252" s="24"/>
      <x:c r="V252" s="24"/>
      <x:c r="W252" s="24"/>
      <x:c r="X252" s="81" t="str">
        <x:f>IF(OR(R252="",R252=0),"",U252/R252)</x:f>
      </x:c>
      <x:c r="Y252" s="81" t="str">
        <x:f>IF(OR(Q252="",Q252=0),"",R252/Q252)</x:f>
      </x:c>
      <x:c r="Z252" s="26" t="s">
        <x:v>825</x:v>
      </x:c>
      <x:c r="AA252" s="24"/>
    </x:row>
    <x:row r="253" ht="188.10000610351562" customHeight="1">
      <x:c r="A253" s="22" t="s">
        <x:v>1092</x:v>
      </x:c>
      <x:c r="B253" s="22" t="s">
        <x:v>601</x:v>
      </x:c>
      <x:c r="C253" s="22" t="s">
        <x:v>57</x:v>
      </x:c>
      <x:c r="D253" s="23" t="s">
        <x:v>602</x:v>
      </x:c>
      <x:c r="E253" s="23" t="s">
        <x:v>176</x:v>
      </x:c>
      <x:c r="F253" s="23" t="s">
        <x:v>603</x:v>
      </x:c>
      <x:c r="G253" s="23" t="s">
        <x:v>693</x:v>
      </x:c>
      <x:c r="H253" s="23" t="s">
        <x:v>695</x:v>
      </x:c>
      <x:c r="I253" s="23" t="s">
        <x:v>1057</x:v>
      </x:c>
      <x:c r="J253" s="23" t="s">
        <x:v>1058</x:v>
      </x:c>
      <x:c r="K253" s="23" t="s">
        <x:v>605</x:v>
      </x:c>
      <x:c r="L253" s="23" t="s">
        <x:v>606</x:v>
      </x:c>
      <x:c r="M253" s="23" t="s">
        <x:v>607</x:v>
      </x:c>
      <x:c r="N253" s="23" t="s">
        <x:v>608</x:v>
      </x:c>
      <x:c r="O253" s="23" t="s">
        <x:v>609</x:v>
      </x:c>
      <x:c r="P253" s="24"/>
      <x:c r="Q253" s="24"/>
      <x:c r="R253" s="24"/>
      <x:c r="S253" s="24"/>
      <x:c r="T253" s="24"/>
      <x:c r="U253" s="24"/>
      <x:c r="V253" s="24"/>
      <x:c r="W253" s="24"/>
      <x:c r="X253" s="81" t="str">
        <x:f>IF(OR(R253="",R253=0),"",U253/R253)</x:f>
      </x:c>
      <x:c r="Y253" s="81" t="str">
        <x:f>IF(OR(Q253="",Q253=0),"",R253/Q253)</x:f>
      </x:c>
      <x:c r="Z253" s="26" t="s">
        <x:v>825</x:v>
      </x:c>
      <x:c r="AA253" s="24"/>
    </x:row>
    <x:row r="254" ht="188.10000610351562" customHeight="1">
      <x:c r="A254" s="22" t="s">
        <x:v>1093</x:v>
      </x:c>
      <x:c r="B254" s="22" t="s">
        <x:v>610</x:v>
      </x:c>
      <x:c r="C254" s="22" t="s">
        <x:v>57</x:v>
      </x:c>
      <x:c r="D254" s="23" t="s">
        <x:v>611</x:v>
      </x:c>
      <x:c r="E254" s="23" t="s">
        <x:v>187</x:v>
      </x:c>
      <x:c r="F254" s="23" t="s">
        <x:v>612</x:v>
      </x:c>
      <x:c r="G254" s="23" t="s">
        <x:v>666</x:v>
      </x:c>
      <x:c r="H254" s="23" t="s">
        <x:v>668</x:v>
      </x:c>
      <x:c r="I254" s="23" t="s">
        <x:v>429</x:v>
      </x:c>
      <x:c r="J254" s="23" t="s">
        <x:v>933</x:v>
      </x:c>
      <x:c r="K254" s="23" t="s">
        <x:v>613</x:v>
      </x:c>
      <x:c r="L254" s="23" t="s">
        <x:v>614</x:v>
      </x:c>
      <x:c r="M254" s="23" t="s">
        <x:v>615</x:v>
      </x:c>
      <x:c r="N254" s="23" t="s">
        <x:v>616</x:v>
      </x:c>
      <x:c r="O254" s="23" t="s">
        <x:v>173</x:v>
      </x:c>
      <x:c r="P254" s="24"/>
      <x:c r="Q254" s="24"/>
      <x:c r="R254" s="24"/>
      <x:c r="S254" s="24"/>
      <x:c r="T254" s="24"/>
      <x:c r="U254" s="24"/>
      <x:c r="V254" s="24"/>
      <x:c r="W254" s="24"/>
      <x:c r="X254" s="81" t="str">
        <x:f>IF(OR(R254="",R254=0),"",U254/R254)</x:f>
      </x:c>
      <x:c r="Y254" s="81" t="str">
        <x:f>IF(OR(Q254="",Q254=0),"",R254/Q254)</x:f>
      </x:c>
      <x:c r="Z254" s="26" t="s">
        <x:v>825</x:v>
      </x:c>
      <x:c r="AA254" s="24"/>
    </x:row>
    <x:row r="255" ht="188.10000610351562" customHeight="1">
      <x:c r="A255" s="22" t="s">
        <x:v>1094</x:v>
      </x:c>
      <x:c r="B255" s="22" t="s">
        <x:v>610</x:v>
      </x:c>
      <x:c r="C255" s="22" t="s">
        <x:v>57</x:v>
      </x:c>
      <x:c r="D255" s="23" t="s">
        <x:v>611</x:v>
      </x:c>
      <x:c r="E255" s="23" t="s">
        <x:v>187</x:v>
      </x:c>
      <x:c r="F255" s="23" t="s">
        <x:v>612</x:v>
      </x:c>
      <x:c r="G255" s="23" t="s">
        <x:v>666</x:v>
      </x:c>
      <x:c r="H255" s="23" t="s">
        <x:v>668</x:v>
      </x:c>
      <x:c r="I255" s="23" t="s">
        <x:v>1057</x:v>
      </x:c>
      <x:c r="J255" s="23" t="s">
        <x:v>1058</x:v>
      </x:c>
      <x:c r="K255" s="23" t="s">
        <x:v>613</x:v>
      </x:c>
      <x:c r="L255" s="23" t="s">
        <x:v>614</x:v>
      </x:c>
      <x:c r="M255" s="23" t="s">
        <x:v>615</x:v>
      </x:c>
      <x:c r="N255" s="23" t="s">
        <x:v>616</x:v>
      </x:c>
      <x:c r="O255" s="23" t="s">
        <x:v>173</x:v>
      </x:c>
      <x:c r="P255" s="24"/>
      <x:c r="Q255" s="24"/>
      <x:c r="R255" s="24"/>
      <x:c r="S255" s="24"/>
      <x:c r="T255" s="24"/>
      <x:c r="U255" s="24"/>
      <x:c r="V255" s="24"/>
      <x:c r="W255" s="24"/>
      <x:c r="X255" s="81" t="str">
        <x:f>IF(OR(R255="",R255=0),"",U255/R255)</x:f>
      </x:c>
      <x:c r="Y255" s="81" t="str">
        <x:f>IF(OR(Q255="",Q255=0),"",R255/Q255)</x:f>
      </x:c>
      <x:c r="Z255" s="26" t="s">
        <x:v>825</x:v>
      </x:c>
      <x:c r="AA255" s="24"/>
    </x:row>
    <x:row r="256" ht="188.10000610351562" customHeight="1">
      <x:c r="A256" s="22" t="s">
        <x:v>1095</x:v>
      </x:c>
      <x:c r="B256" s="22" t="s">
        <x:v>610</x:v>
      </x:c>
      <x:c r="C256" s="22" t="s">
        <x:v>57</x:v>
      </x:c>
      <x:c r="D256" s="23" t="s">
        <x:v>611</x:v>
      </x:c>
      <x:c r="E256" s="23" t="s">
        <x:v>187</x:v>
      </x:c>
      <x:c r="F256" s="23" t="s">
        <x:v>612</x:v>
      </x:c>
      <x:c r="G256" s="23" t="s">
        <x:v>676</x:v>
      </x:c>
      <x:c r="H256" s="23" t="s">
        <x:v>678</x:v>
      </x:c>
      <x:c r="I256" s="23" t="s">
        <x:v>429</x:v>
      </x:c>
      <x:c r="J256" s="23" t="s">
        <x:v>933</x:v>
      </x:c>
      <x:c r="K256" s="23" t="s">
        <x:v>613</x:v>
      </x:c>
      <x:c r="L256" s="23" t="s">
        <x:v>614</x:v>
      </x:c>
      <x:c r="M256" s="23" t="s">
        <x:v>615</x:v>
      </x:c>
      <x:c r="N256" s="23" t="s">
        <x:v>616</x:v>
      </x:c>
      <x:c r="O256" s="23" t="s">
        <x:v>173</x:v>
      </x:c>
      <x:c r="P256" s="24"/>
      <x:c r="Q256" s="24"/>
      <x:c r="R256" s="24"/>
      <x:c r="S256" s="24"/>
      <x:c r="T256" s="24"/>
      <x:c r="U256" s="24"/>
      <x:c r="V256" s="24"/>
      <x:c r="W256" s="24"/>
      <x:c r="X256" s="81" t="str">
        <x:f>IF(OR(R256="",R256=0),"",U256/R256)</x:f>
      </x:c>
      <x:c r="Y256" s="81" t="str">
        <x:f>IF(OR(Q256="",Q256=0),"",R256/Q256)</x:f>
      </x:c>
      <x:c r="Z256" s="26" t="s">
        <x:v>825</x:v>
      </x:c>
      <x:c r="AA256" s="24"/>
    </x:row>
    <x:row r="257" ht="188.10000610351562" customHeight="1">
      <x:c r="A257" s="22" t="s">
        <x:v>1096</x:v>
      </x:c>
      <x:c r="B257" s="22" t="s">
        <x:v>610</x:v>
      </x:c>
      <x:c r="C257" s="22" t="s">
        <x:v>57</x:v>
      </x:c>
      <x:c r="D257" s="23" t="s">
        <x:v>611</x:v>
      </x:c>
      <x:c r="E257" s="23" t="s">
        <x:v>187</x:v>
      </x:c>
      <x:c r="F257" s="23" t="s">
        <x:v>612</x:v>
      </x:c>
      <x:c r="G257" s="23" t="s">
        <x:v>676</x:v>
      </x:c>
      <x:c r="H257" s="23" t="s">
        <x:v>678</x:v>
      </x:c>
      <x:c r="I257" s="23" t="s">
        <x:v>1057</x:v>
      </x:c>
      <x:c r="J257" s="23" t="s">
        <x:v>1058</x:v>
      </x:c>
      <x:c r="K257" s="23" t="s">
        <x:v>613</x:v>
      </x:c>
      <x:c r="L257" s="23" t="s">
        <x:v>614</x:v>
      </x:c>
      <x:c r="M257" s="23" t="s">
        <x:v>615</x:v>
      </x:c>
      <x:c r="N257" s="23" t="s">
        <x:v>616</x:v>
      </x:c>
      <x:c r="O257" s="23" t="s">
        <x:v>173</x:v>
      </x:c>
      <x:c r="P257" s="24"/>
      <x:c r="Q257" s="24"/>
      <x:c r="R257" s="24"/>
      <x:c r="S257" s="24"/>
      <x:c r="T257" s="24"/>
      <x:c r="U257" s="24"/>
      <x:c r="V257" s="24"/>
      <x:c r="W257" s="24"/>
      <x:c r="X257" s="81" t="str">
        <x:f>IF(OR(R257="",R257=0),"",U257/R257)</x:f>
      </x:c>
      <x:c r="Y257" s="81" t="str">
        <x:f>IF(OR(Q257="",Q257=0),"",R257/Q257)</x:f>
      </x:c>
      <x:c r="Z257" s="26" t="s">
        <x:v>825</x:v>
      </x:c>
      <x:c r="AA257" s="24"/>
    </x:row>
    <x:row r="258" ht="188.10000610351562" customHeight="1">
      <x:c r="A258" s="22" t="s">
        <x:v>1097</x:v>
      </x:c>
      <x:c r="B258" s="22" t="s">
        <x:v>610</x:v>
      </x:c>
      <x:c r="C258" s="22" t="s">
        <x:v>57</x:v>
      </x:c>
      <x:c r="D258" s="23" t="s">
        <x:v>611</x:v>
      </x:c>
      <x:c r="E258" s="23" t="s">
        <x:v>187</x:v>
      </x:c>
      <x:c r="F258" s="23" t="s">
        <x:v>612</x:v>
      </x:c>
      <x:c r="G258" s="23" t="s">
        <x:v>693</x:v>
      </x:c>
      <x:c r="H258" s="23" t="s">
        <x:v>695</x:v>
      </x:c>
      <x:c r="I258" s="23" t="s">
        <x:v>429</x:v>
      </x:c>
      <x:c r="J258" s="23" t="s">
        <x:v>933</x:v>
      </x:c>
      <x:c r="K258" s="23" t="s">
        <x:v>613</x:v>
      </x:c>
      <x:c r="L258" s="23" t="s">
        <x:v>614</x:v>
      </x:c>
      <x:c r="M258" s="23" t="s">
        <x:v>615</x:v>
      </x:c>
      <x:c r="N258" s="23" t="s">
        <x:v>616</x:v>
      </x:c>
      <x:c r="O258" s="23" t="s">
        <x:v>173</x:v>
      </x:c>
      <x:c r="P258" s="24"/>
      <x:c r="Q258" s="24"/>
      <x:c r="R258" s="24"/>
      <x:c r="S258" s="24"/>
      <x:c r="T258" s="24"/>
      <x:c r="U258" s="24"/>
      <x:c r="V258" s="24"/>
      <x:c r="W258" s="24"/>
      <x:c r="X258" s="81" t="str">
        <x:f>IF(OR(R258="",R258=0),"",U258/R258)</x:f>
      </x:c>
      <x:c r="Y258" s="81" t="str">
        <x:f>IF(OR(Q258="",Q258=0),"",R258/Q258)</x:f>
      </x:c>
      <x:c r="Z258" s="26" t="s">
        <x:v>825</x:v>
      </x:c>
      <x:c r="AA258" s="24"/>
    </x:row>
    <x:row r="259" ht="188.10000610351562" customHeight="1">
      <x:c r="A259" s="22" t="s">
        <x:v>1098</x:v>
      </x:c>
      <x:c r="B259" s="22" t="s">
        <x:v>610</x:v>
      </x:c>
      <x:c r="C259" s="22" t="s">
        <x:v>57</x:v>
      </x:c>
      <x:c r="D259" s="23" t="s">
        <x:v>611</x:v>
      </x:c>
      <x:c r="E259" s="23" t="s">
        <x:v>187</x:v>
      </x:c>
      <x:c r="F259" s="23" t="s">
        <x:v>612</x:v>
      </x:c>
      <x:c r="G259" s="23" t="s">
        <x:v>693</x:v>
      </x:c>
      <x:c r="H259" s="23" t="s">
        <x:v>695</x:v>
      </x:c>
      <x:c r="I259" s="23" t="s">
        <x:v>1057</x:v>
      </x:c>
      <x:c r="J259" s="23" t="s">
        <x:v>1058</x:v>
      </x:c>
      <x:c r="K259" s="23" t="s">
        <x:v>613</x:v>
      </x:c>
      <x:c r="L259" s="23" t="s">
        <x:v>614</x:v>
      </x:c>
      <x:c r="M259" s="23" t="s">
        <x:v>615</x:v>
      </x:c>
      <x:c r="N259" s="23" t="s">
        <x:v>616</x:v>
      </x:c>
      <x:c r="O259" s="23" t="s">
        <x:v>173</x:v>
      </x:c>
      <x:c r="P259" s="24"/>
      <x:c r="Q259" s="24"/>
      <x:c r="R259" s="24"/>
      <x:c r="S259" s="24"/>
      <x:c r="T259" s="24"/>
      <x:c r="U259" s="24"/>
      <x:c r="V259" s="24"/>
      <x:c r="W259" s="24"/>
      <x:c r="X259" s="81" t="str">
        <x:f>IF(OR(R259="",R259=0),"",U259/R259)</x:f>
      </x:c>
      <x:c r="Y259" s="81" t="str">
        <x:f>IF(OR(Q259="",Q259=0),"",R259/Q259)</x:f>
      </x:c>
      <x:c r="Z259" s="26" t="s">
        <x:v>825</x:v>
      </x:c>
      <x:c r="AA259" s="24"/>
    </x:row>
    <x:row r="260" ht="188.10000610351562" customHeight="1">
      <x:c r="A260" s="22" t="s">
        <x:v>1099</x:v>
      </x:c>
      <x:c r="B260" s="22" t="s">
        <x:v>617</x:v>
      </x:c>
      <x:c r="C260" s="22" t="s">
        <x:v>57</x:v>
      </x:c>
      <x:c r="D260" s="23" t="s">
        <x:v>618</x:v>
      </x:c>
      <x:c r="E260" s="23" t="s">
        <x:v>619</x:v>
      </x:c>
      <x:c r="F260" s="23" t="s">
        <x:v>620</x:v>
      </x:c>
      <x:c r="G260" s="23" t="s">
        <x:v>167</x:v>
      </x:c>
      <x:c r="H260" s="23" t="s">
        <x:v>690</x:v>
      </x:c>
      <x:c r="I260" s="23" t="s">
        <x:v>1057</x:v>
      </x:c>
      <x:c r="J260" s="23" t="s">
        <x:v>1058</x:v>
      </x:c>
      <x:c r="K260" s="23" t="s">
        <x:v>621</x:v>
      </x:c>
      <x:c r="L260" s="23" t="s">
        <x:v>622</x:v>
      </x:c>
      <x:c r="M260" s="23" t="s">
        <x:v>623</x:v>
      </x:c>
      <x:c r="N260" s="23" t="s">
        <x:v>624</x:v>
      </x:c>
      <x:c r="O260" s="23" t="s">
        <x:v>625</x:v>
      </x:c>
      <x:c r="P260" s="24"/>
      <x:c r="Q260" s="24"/>
      <x:c r="R260" s="24"/>
      <x:c r="S260" s="24"/>
      <x:c r="T260" s="24"/>
      <x:c r="U260" s="24"/>
      <x:c r="V260" s="24"/>
      <x:c r="W260" s="24"/>
      <x:c r="X260" s="81" t="str">
        <x:f>IF(OR(R260="",R260=0),"",U260/R260)</x:f>
      </x:c>
      <x:c r="Y260" s="81" t="str">
        <x:f>IF(OR(Q260="",Q260=0),"",R260/Q260)</x:f>
      </x:c>
      <x:c r="Z260" s="26" t="s">
        <x:v>825</x:v>
      </x:c>
      <x:c r="AA260" s="24"/>
    </x:row>
    <x:row r="261" ht="188.10000610351562" customHeight="1">
      <x:c r="A261" s="22" t="s">
        <x:v>1100</x:v>
      </x:c>
      <x:c r="B261" s="22" t="s">
        <x:v>617</x:v>
      </x:c>
      <x:c r="C261" s="22" t="s">
        <x:v>57</x:v>
      </x:c>
      <x:c r="D261" s="23" t="s">
        <x:v>618</x:v>
      </x:c>
      <x:c r="E261" s="23" t="s">
        <x:v>619</x:v>
      </x:c>
      <x:c r="F261" s="23" t="s">
        <x:v>620</x:v>
      </x:c>
      <x:c r="G261" s="23" t="s">
        <x:v>167</x:v>
      </x:c>
      <x:c r="H261" s="23" t="s">
        <x:v>690</x:v>
      </x:c>
      <x:c r="I261" s="23" t="s">
        <x:v>839</x:v>
      </x:c>
      <x:c r="J261" s="23" t="s">
        <x:v>840</x:v>
      </x:c>
      <x:c r="K261" s="23" t="s">
        <x:v>621</x:v>
      </x:c>
      <x:c r="L261" s="23" t="s">
        <x:v>622</x:v>
      </x:c>
      <x:c r="M261" s="23" t="s">
        <x:v>623</x:v>
      </x:c>
      <x:c r="N261" s="23" t="s">
        <x:v>624</x:v>
      </x:c>
      <x:c r="O261" s="23" t="s">
        <x:v>625</x:v>
      </x:c>
      <x:c r="P261" s="24"/>
      <x:c r="Q261" s="24"/>
      <x:c r="R261" s="24"/>
      <x:c r="S261" s="24"/>
      <x:c r="T261" s="24"/>
      <x:c r="U261" s="24"/>
      <x:c r="V261" s="24"/>
      <x:c r="W261" s="24"/>
      <x:c r="X261" s="81" t="str">
        <x:f>IF(OR(R261="",R261=0),"",U261/R261)</x:f>
      </x:c>
      <x:c r="Y261" s="81" t="str">
        <x:f>IF(OR(Q261="",Q261=0),"",R261/Q261)</x:f>
      </x:c>
      <x:c r="Z261" s="26" t="s">
        <x:v>825</x:v>
      </x:c>
      <x:c r="AA261" s="24"/>
    </x:row>
    <x:row r="262" ht="188.10000610351562" customHeight="1">
      <x:c r="A262" s="77" t="str">
        <x:v>T10-F0-W1</x:v>
      </x:c>
      <x:c r="B262" s="77" t="str">
        <x:v>T10</x:v>
      </x:c>
      <x:c r="C262" s="77" t="str">
        <x:v>L1d-TLB</x:v>
      </x:c>
      <x:c r="D262" s="76" t="str">
        <x:v>L1 d-TLB 有效表项的 PPN（Physical Page Number）数据字段。VPN/ASID 命中后，PPN 与页内偏移组成送往 L1D 的物理地址；该字段是 TC'23 类实验中最需要保留的基础对照。</x:v>
      </x:c>
      <x:c r="E262" s="76" t="str">
        <x:v>单比特翻转</x:v>
      </x:c>
      <x:c r="F262" s="76" t="str">
        <x:v>随机选择一个后续会再次命中的有效表项，在 PPN 内均匀翻转 1 bit；按低/中/高物理地址位分层，VPN、ASID、权限和页大小保持不变。仅当该表项之后被命中且故障 PPN 被用于形成物理地址时计为 activated；保存 entry、bit、原值、故障值和首次消费事务。</x:v>
      </x:c>
      <x:c r="G262" s="76" t="str">
        <x:v>F0</x:v>
      </x:c>
      <x:c r="H262" s="76" t="str">
        <x:v>每次运行只注入 1 次；在 warm-up 后的 eligible event 中均匀抽样</x:v>
      </x:c>
      <x:c r="I262" s="76" t="str">
        <x:v>MiBench-TC23 论文负载（blowfish、patricia、fft、gsm、dijkstra、rijndael、sha、bitcount、edge、smooth）</x:v>
      </x:c>
      <x:c r="J262" s="76" t="str">
        <x:v>MiBench-TC23 论文负载（blowfish、patricia、fft、gsm、dijkstra、rijndael、sha、bitcount、edge、smooth）
执行定义与 oracle：blowfish、patricia、fft、gsm、dijkstra、rijndael、sha、bitcount、edge、smooth；最大输入集</x:v>
      </x:c>
      <x:c r="K262" s="76" t="str">
        <x:v>DTLB 中存在有效项且后续再次命中</x:v>
      </x:c>
      <x:c r="L262" s="76" t="str">
        <x:v>L0 attempted/activated；L1 PPN 原值/故障值与命中项；L2 翻译后PA、权限与页大小；L3 cache line/DRAM落点；L4首次错误load/store；L5结局；按bit区间统计</x:v>
      </x:c>
      <x:c r="M262" s="76" t="str">
        <x:v>高位翻转更可能触发地址异常或Crash；落入另一已映射物理页时可能产生SDC；与VPN-tag单比特结果不应混算</x:v>
      </x:c>
      <x:c r="N262" s="76" t="str">
        <x:v>补回旧版具备而新版缺失的字段级单比特基线，使PPN双比特、卡死和合法换值均有可比较的F0对照</x:v>
      </x:c>
      <x:c r="O262" s="76" t="str">
        <x:v>TC'22/TC'23 对 DTLB 瞬态注入提供直接机制与结果对照</x:v>
      </x:c>
      <x:c r="P262" s="78"/>
      <x:c r="Q262" s="78"/>
      <x:c r="R262" s="78"/>
      <x:c r="S262" s="78"/>
      <x:c r="T262" s="78"/>
      <x:c r="U262" s="78"/>
      <x:c r="V262" s="78"/>
      <x:c r="W262" s="78"/>
      <x:c r="X262" s="82" t="str">
        <x:f>IF(OR(R262="",R262=0),"",U262/R262)</x:f>
      </x:c>
      <x:c r="Y262" s="82" t="str">
        <x:f>IF(OR(Q262="",Q262=0),"",R262/Q262)</x:f>
      </x:c>
      <x:c r="Z262" s="80" t="str">
        <x:v>待执行</x:v>
      </x:c>
      <x:c r="AA262" s="78"/>
    </x:row>
    <x:row r="263" ht="188.10000610351562" customHeight="1">
      <x:c r="A263" s="77" t="str">
        <x:v>T10-F0-W4</x:v>
      </x:c>
      <x:c r="B263" s="77" t="str">
        <x:v>T10</x:v>
      </x:c>
      <x:c r="C263" s="77" t="str">
        <x:v>L1d-TLB</x:v>
      </x:c>
      <x:c r="D263" s="76" t="str">
        <x:v>L1 d-TLB 有效表项的 PPN（Physical Page Number）数据字段。VPN/ASID 命中后，PPN 与页内偏移组成送往 L1D 的物理地址；该字段是 TC'23 类实验中最需要保留的基础对照。</x:v>
      </x:c>
      <x:c r="E263" s="76" t="str">
        <x:v>单比特翻转</x:v>
      </x:c>
      <x:c r="F263" s="76" t="str">
        <x:v>随机选择一个后续会再次命中的有效表项，在 PPN 内均匀翻转 1 bit；按低/中/高物理地址位分层，VPN、ASID、权限和页大小保持不变。仅当该表项之后被命中且故障 PPN 被用于形成物理地址时计为 activated；保存 entry、bit、原值、故障值和首次消费事务。</x:v>
      </x:c>
      <x:c r="G263" s="76" t="str">
        <x:v>F0</x:v>
      </x:c>
      <x:c r="H263" s="76" t="str">
        <x:v>每次运行只注入 1 次；在 warm-up 后的 eligible event 中均匀抽样</x:v>
      </x:c>
      <x:c r="I263" s="76" t="str">
        <x:v>TLB-AliasPerm 地址翻译探针（4KiB/2MiB 页、ASID、同VA不同PA、权限、TLBI、跨页访问）</x:v>
      </x:c>
      <x:c r="J263" s="76" t="str">
        <x:v>TLB-AliasPerm 地址翻译探针（4KiB/2MiB 页、ASID、同VA不同PA、权限、TLBI、跨页访问）
执行定义与 oracle：4KiB/2MiB 页、ASID 切换、同 VA 不同 PA、只读/不可执行页、TLBI 后重填、跨页 load/store</x:v>
      </x:c>
      <x:c r="K263" s="76" t="str">
        <x:v>DTLB 中存在有效项且后续再次命中</x:v>
      </x:c>
      <x:c r="L263" s="76" t="str">
        <x:v>L0 attempted/activated；L1 PPN 原值/故障值与命中项；L2 翻译后PA、权限与页大小；L3 cache line/DRAM落点；L4首次错误load/store；L5结局；按bit区间统计</x:v>
      </x:c>
      <x:c r="M263" s="76" t="str">
        <x:v>高位翻转更可能触发地址异常或Crash；落入另一已映射物理页时可能产生SDC；与VPN-tag单比特结果不应混算</x:v>
      </x:c>
      <x:c r="N263" s="76" t="str">
        <x:v>补回旧版具备而新版缺失的字段级单比特基线，使PPN双比特、卡死和合法换值均有可比较的F0对照</x:v>
      </x:c>
      <x:c r="O263" s="76" t="str">
        <x:v>TC'22/TC'23 对 DTLB 瞬态注入提供直接机制与结果对照</x:v>
      </x:c>
      <x:c r="P263" s="78"/>
      <x:c r="Q263" s="78"/>
      <x:c r="R263" s="78"/>
      <x:c r="S263" s="78"/>
      <x:c r="T263" s="78"/>
      <x:c r="U263" s="78"/>
      <x:c r="V263" s="78"/>
      <x:c r="W263" s="78"/>
      <x:c r="X263" s="82" t="str">
        <x:f>IF(OR(R263="",R263=0),"",U263/R263)</x:f>
      </x:c>
      <x:c r="Y263" s="82" t="str">
        <x:f>IF(OR(Q263="",Q263=0),"",R263/Q263)</x:f>
      </x:c>
      <x:c r="Z263" s="80" t="str">
        <x:v>待执行</x:v>
      </x:c>
      <x:c r="AA263" s="78"/>
    </x:row>
    <x:row r="264" ht="188.10000610351562" customHeight="1">
      <x:c r="A264" s="77" t="str">
        <x:v>T10-F0-W11</x:v>
      </x:c>
      <x:c r="B264" s="77" t="str">
        <x:v>T10</x:v>
      </x:c>
      <x:c r="C264" s="77" t="str">
        <x:v>L1d-TLB</x:v>
      </x:c>
      <x:c r="D264" s="76" t="str">
        <x:v>L1 d-TLB 有效表项的 PPN（Physical Page Number）数据字段。VPN/ASID 命中后，PPN 与页内偏移组成送往 L1D 的物理地址；该字段是 TC'23 类实验中最需要保留的基础对照。</x:v>
      </x:c>
      <x:c r="E264" s="76" t="str">
        <x:v>单比特翻转</x:v>
      </x:c>
      <x:c r="F264" s="76" t="str">
        <x:v>随机选择一个后续会再次命中的有效表项，在 PPN 内均匀翻转 1 bit；按低/中/高物理地址位分层，VPN、ASID、权限和页大小保持不变。仅当该表项之后被命中且故障 PPN 被用于形成物理地址时计为 activated；保存 entry、bit、原值、故障值和首次消费事务。</x:v>
      </x:c>
      <x:c r="G264" s="76" t="str">
        <x:v>F0</x:v>
      </x:c>
      <x:c r="H264" s="76" t="str">
        <x:v>每次运行只注入 1 次；在 warm-up 后的 eligible event 中均匀抽样</x:v>
      </x:c>
      <x:c r="I264" s="76" t="str">
        <x:v>SPEC CPU2017 采样区间</x:v>
      </x:c>
      <x:c r="J264" s="76" t="str">
        <x:v>SPEC CPU2017 采样区间
执行定义与 oracle：mcf、omnetpp、xalancbmk、lbm 的固定 SimPoint/checkpoint；使用参考输出或结果哈希</x:v>
      </x:c>
      <x:c r="K264" s="76" t="str">
        <x:v>DTLB 中存在有效项且后续再次命中</x:v>
      </x:c>
      <x:c r="L264" s="76" t="str">
        <x:v>L0 attempted/activated；L1 PPN 原值/故障值与命中项；L2 翻译后PA、权限与页大小；L3 cache line/DRAM落点；L4首次错误load/store；L5结局；按bit区间统计</x:v>
      </x:c>
      <x:c r="M264" s="76" t="str">
        <x:v>高位翻转更可能触发地址异常或Crash；落入另一已映射物理页时可能产生SDC；与VPN-tag单比特结果不应混算</x:v>
      </x:c>
      <x:c r="N264" s="76" t="str">
        <x:v>补回旧版具备而新版缺失的字段级单比特基线，使PPN双比特、卡死和合法换值均有可比较的F0对照</x:v>
      </x:c>
      <x:c r="O264" s="76" t="str">
        <x:v>TC'22/TC'23 对 DTLB 瞬态注入提供直接机制与结果对照</x:v>
      </x:c>
      <x:c r="P264" s="78"/>
      <x:c r="Q264" s="78"/>
      <x:c r="R264" s="78"/>
      <x:c r="S264" s="78"/>
      <x:c r="T264" s="78"/>
      <x:c r="U264" s="78"/>
      <x:c r="V264" s="78"/>
      <x:c r="W264" s="78"/>
      <x:c r="X264" s="82" t="str">
        <x:f>IF(OR(R264="",R264=0),"",U264/R264)</x:f>
      </x:c>
      <x:c r="Y264" s="82" t="str">
        <x:f>IF(OR(Q264="",Q264=0),"",R264/Q264)</x:f>
      </x:c>
      <x:c r="Z264" s="80" t="str">
        <x:v>待执行</x:v>
      </x:c>
      <x:c r="AA264" s="78"/>
    </x:row>
    <x:row r="265" ht="188.10000610351562" customHeight="1">
      <x:c r="A265" s="77" t="str">
        <x:v>T10-F1-W1</x:v>
      </x:c>
      <x:c r="B265" s="77" t="str">
        <x:v>T10</x:v>
      </x:c>
      <x:c r="C265" s="77" t="str">
        <x:v>L1d-TLB</x:v>
      </x:c>
      <x:c r="D265" s="76" t="str">
        <x:v>L1 d-TLB 有效表项的 PPN（Physical Page Number）数据字段。VPN/ASID 命中后，PPN 与页内偏移组成送往 L1D 的物理地址；该字段是 TC'23 类实验中最需要保留的基础对照。</x:v>
      </x:c>
      <x:c r="E265" s="76" t="str">
        <x:v>单比特翻转</x:v>
      </x:c>
      <x:c r="F265" s="76" t="str">
        <x:v>随机选择一个后续会再次命中的有效表项，在 PPN 内均匀翻转 1 bit；按低/中/高物理地址位分层，VPN、ASID、权限和页大小保持不变。仅当该表项之后被命中且故障 PPN 被用于形成物理地址时计为 activated；保存 entry、bit、原值、故障值和首次消费事务。</x:v>
      </x:c>
      <x:c r="G265" s="76" t="str">
        <x:v>F1</x:v>
      </x:c>
      <x:c r="H265" s="76" t="str">
        <x:v>平均每 1,000,000 个 eligible events 注入 1 次，间隔加入 ±50% 抖动</x:v>
      </x:c>
      <x:c r="I265" s="76" t="str">
        <x:v>MiBench-TC23 论文负载（blowfish、patricia、fft、gsm、dijkstra、rijndael、sha、bitcount、edge、smooth）</x:v>
      </x:c>
      <x:c r="J265" s="76" t="str">
        <x:v>MiBench-TC23 论文负载（blowfish、patricia、fft、gsm、dijkstra、rijndael、sha、bitcount、edge、smooth）
执行定义与 oracle：blowfish、patricia、fft、gsm、dijkstra、rijndael、sha、bitcount、edge、smooth；最大输入集</x:v>
      </x:c>
      <x:c r="K265" s="76" t="str">
        <x:v>DTLB 中存在有效项且后续再次命中</x:v>
      </x:c>
      <x:c r="L265" s="76" t="str">
        <x:v>L0 attempted/activated；L1 PPN 原值/故障值与命中项；L2 翻译后PA、权限与页大小；L3 cache line/DRAM落点；L4首次错误load/store；L5结局；按bit区间统计</x:v>
      </x:c>
      <x:c r="M265" s="76" t="str">
        <x:v>高位翻转更可能触发地址异常或Crash；落入另一已映射物理页时可能产生SDC；与VPN-tag单比特结果不应混算</x:v>
      </x:c>
      <x:c r="N265" s="76" t="str">
        <x:v>补回旧版具备而新版缺失的字段级单比特基线，使PPN双比特、卡死和合法换值均有可比较的F0对照</x:v>
      </x:c>
      <x:c r="O265" s="76" t="str">
        <x:v>TC'22/TC'23 对 DTLB 瞬态注入提供直接机制与结果对照</x:v>
      </x:c>
      <x:c r="P265" s="78"/>
      <x:c r="Q265" s="78"/>
      <x:c r="R265" s="78"/>
      <x:c r="S265" s="78"/>
      <x:c r="T265" s="78"/>
      <x:c r="U265" s="78"/>
      <x:c r="V265" s="78"/>
      <x:c r="W265" s="78"/>
      <x:c r="X265" s="82" t="str">
        <x:f>IF(OR(R265="",R265=0),"",U265/R265)</x:f>
      </x:c>
      <x:c r="Y265" s="82" t="str">
        <x:f>IF(OR(Q265="",Q265=0),"",R265/Q265)</x:f>
      </x:c>
      <x:c r="Z265" s="80" t="str">
        <x:v>待执行</x:v>
      </x:c>
      <x:c r="AA265" s="78"/>
    </x:row>
    <x:row r="266" ht="188.10000610351562" customHeight="1">
      <x:c r="A266" s="77" t="str">
        <x:v>T10-F1-W4</x:v>
      </x:c>
      <x:c r="B266" s="77" t="str">
        <x:v>T10</x:v>
      </x:c>
      <x:c r="C266" s="77" t="str">
        <x:v>L1d-TLB</x:v>
      </x:c>
      <x:c r="D266" s="76" t="str">
        <x:v>L1 d-TLB 有效表项的 PPN（Physical Page Number）数据字段。VPN/ASID 命中后，PPN 与页内偏移组成送往 L1D 的物理地址；该字段是 TC'23 类实验中最需要保留的基础对照。</x:v>
      </x:c>
      <x:c r="E266" s="76" t="str">
        <x:v>单比特翻转</x:v>
      </x:c>
      <x:c r="F266" s="76" t="str">
        <x:v>随机选择一个后续会再次命中的有效表项，在 PPN 内均匀翻转 1 bit；按低/中/高物理地址位分层，VPN、ASID、权限和页大小保持不变。仅当该表项之后被命中且故障 PPN 被用于形成物理地址时计为 activated；保存 entry、bit、原值、故障值和首次消费事务。</x:v>
      </x:c>
      <x:c r="G266" s="76" t="str">
        <x:v>F1</x:v>
      </x:c>
      <x:c r="H266" s="76" t="str">
        <x:v>平均每 1,000,000 个 eligible events 注入 1 次，间隔加入 ±50% 抖动</x:v>
      </x:c>
      <x:c r="I266" s="76" t="str">
        <x:v>TLB-AliasPerm 地址翻译探针（4KiB/2MiB 页、ASID、同VA不同PA、权限、TLBI、跨页访问）</x:v>
      </x:c>
      <x:c r="J266" s="76" t="str">
        <x:v>TLB-AliasPerm 地址翻译探针（4KiB/2MiB 页、ASID、同VA不同PA、权限、TLBI、跨页访问）
执行定义与 oracle：4KiB/2MiB 页、ASID 切换、同 VA 不同 PA、只读/不可执行页、TLBI 后重填、跨页 load/store</x:v>
      </x:c>
      <x:c r="K266" s="76" t="str">
        <x:v>DTLB 中存在有效项且后续再次命中</x:v>
      </x:c>
      <x:c r="L266" s="76" t="str">
        <x:v>L0 attempted/activated；L1 PPN 原值/故障值与命中项；L2 翻译后PA、权限与页大小；L3 cache line/DRAM落点；L4首次错误load/store；L5结局；按bit区间统计</x:v>
      </x:c>
      <x:c r="M266" s="76" t="str">
        <x:v>高位翻转更可能触发地址异常或Crash；落入另一已映射物理页时可能产生SDC；与VPN-tag单比特结果不应混算</x:v>
      </x:c>
      <x:c r="N266" s="76" t="str">
        <x:v>补回旧版具备而新版缺失的字段级单比特基线，使PPN双比特、卡死和合法换值均有可比较的F0对照</x:v>
      </x:c>
      <x:c r="O266" s="76" t="str">
        <x:v>TC'22/TC'23 对 DTLB 瞬态注入提供直接机制与结果对照</x:v>
      </x:c>
      <x:c r="P266" s="78"/>
      <x:c r="Q266" s="78"/>
      <x:c r="R266" s="78"/>
      <x:c r="S266" s="78"/>
      <x:c r="T266" s="78"/>
      <x:c r="U266" s="78"/>
      <x:c r="V266" s="78"/>
      <x:c r="W266" s="78"/>
      <x:c r="X266" s="82" t="str">
        <x:f>IF(OR(R266="",R266=0),"",U266/R266)</x:f>
      </x:c>
      <x:c r="Y266" s="82" t="str">
        <x:f>IF(OR(Q266="",Q266=0),"",R266/Q266)</x:f>
      </x:c>
      <x:c r="Z266" s="80" t="str">
        <x:v>待执行</x:v>
      </x:c>
      <x:c r="AA266" s="78"/>
    </x:row>
    <x:row r="267" ht="188.10000610351562" customHeight="1">
      <x:c r="A267" s="77" t="str">
        <x:v>T10-F1-W11</x:v>
      </x:c>
      <x:c r="B267" s="77" t="str">
        <x:v>T10</x:v>
      </x:c>
      <x:c r="C267" s="77" t="str">
        <x:v>L1d-TLB</x:v>
      </x:c>
      <x:c r="D267" s="76" t="str">
        <x:v>L1 d-TLB 有效表项的 PPN（Physical Page Number）数据字段。VPN/ASID 命中后，PPN 与页内偏移组成送往 L1D 的物理地址；该字段是 TC'23 类实验中最需要保留的基础对照。</x:v>
      </x:c>
      <x:c r="E267" s="76" t="str">
        <x:v>单比特翻转</x:v>
      </x:c>
      <x:c r="F267" s="76" t="str">
        <x:v>随机选择一个后续会再次命中的有效表项，在 PPN 内均匀翻转 1 bit；按低/中/高物理地址位分层，VPN、ASID、权限和页大小保持不变。仅当该表项之后被命中且故障 PPN 被用于形成物理地址时计为 activated；保存 entry、bit、原值、故障值和首次消费事务。</x:v>
      </x:c>
      <x:c r="G267" s="76" t="str">
        <x:v>F1</x:v>
      </x:c>
      <x:c r="H267" s="76" t="str">
        <x:v>平均每 1,000,000 个 eligible events 注入 1 次，间隔加入 ±50% 抖动</x:v>
      </x:c>
      <x:c r="I267" s="76" t="str">
        <x:v>SPEC CPU2017 采样区间</x:v>
      </x:c>
      <x:c r="J267" s="76" t="str">
        <x:v>SPEC CPU2017 采样区间
执行定义与 oracle：mcf、omnetpp、xalancbmk、lbm 的固定 SimPoint/checkpoint；使用参考输出或结果哈希</x:v>
      </x:c>
      <x:c r="K267" s="76" t="str">
        <x:v>DTLB 中存在有效项且后续再次命中</x:v>
      </x:c>
      <x:c r="L267" s="76" t="str">
        <x:v>L0 attempted/activated；L1 PPN 原值/故障值与命中项；L2 翻译后PA、权限与页大小；L3 cache line/DRAM落点；L4首次错误load/store；L5结局；按bit区间统计</x:v>
      </x:c>
      <x:c r="M267" s="76" t="str">
        <x:v>高位翻转更可能触发地址异常或Crash；落入另一已映射物理页时可能产生SDC；与VPN-tag单比特结果不应混算</x:v>
      </x:c>
      <x:c r="N267" s="76" t="str">
        <x:v>补回旧版具备而新版缺失的字段级单比特基线，使PPN双比特、卡死和合法换值均有可比较的F0对照</x:v>
      </x:c>
      <x:c r="O267" s="76" t="str">
        <x:v>TC'22/TC'23 对 DTLB 瞬态注入提供直接机制与结果对照</x:v>
      </x:c>
      <x:c r="P267" s="78"/>
      <x:c r="Q267" s="78"/>
      <x:c r="R267" s="78"/>
      <x:c r="S267" s="78"/>
      <x:c r="T267" s="78"/>
      <x:c r="U267" s="78"/>
      <x:c r="V267" s="78"/>
      <x:c r="W267" s="78"/>
      <x:c r="X267" s="82" t="str">
        <x:f>IF(OR(R267="",R267=0),"",U267/R267)</x:f>
      </x:c>
      <x:c r="Y267" s="82" t="str">
        <x:f>IF(OR(Q267="",Q267=0),"",R267/Q267)</x:f>
      </x:c>
      <x:c r="Z267" s="80" t="str">
        <x:v>待执行</x:v>
      </x:c>
      <x:c r="AA267" s="78"/>
    </x:row>
    <x:row r="268" ht="188.10000610351562" customHeight="1">
      <x:c r="A268" s="77" t="str">
        <x:v>T10-F2-W1</x:v>
      </x:c>
      <x:c r="B268" s="77" t="str">
        <x:v>T10</x:v>
      </x:c>
      <x:c r="C268" s="77" t="str">
        <x:v>L1d-TLB</x:v>
      </x:c>
      <x:c r="D268" s="76" t="str">
        <x:v>L1 d-TLB 有效表项的 PPN（Physical Page Number）数据字段。VPN/ASID 命中后，PPN 与页内偏移组成送往 L1D 的物理地址；该字段是 TC'23 类实验中最需要保留的基础对照。</x:v>
      </x:c>
      <x:c r="E268" s="76" t="str">
        <x:v>单比特翻转</x:v>
      </x:c>
      <x:c r="F268" s="76" t="str">
        <x:v>随机选择一个后续会再次命中的有效表项，在 PPN 内均匀翻转 1 bit；按低/中/高物理地址位分层，VPN、ASID、权限和页大小保持不变。仅当该表项之后被命中且故障 PPN 被用于形成物理地址时计为 activated；保存 entry、bit、原值、故障值和首次消费事务。</x:v>
      </x:c>
      <x:c r="G268" s="76" t="str">
        <x:v>F2</x:v>
      </x:c>
      <x:c r="H268" s="76" t="str">
        <x:v>平均每 100,000 个 eligible events 注入 1 次，间隔加入 ±50% 抖动</x:v>
      </x:c>
      <x:c r="I268" s="76" t="str">
        <x:v>MiBench-TC23 论文负载（blowfish、patricia、fft、gsm、dijkstra、rijndael、sha、bitcount、edge、smooth）</x:v>
      </x:c>
      <x:c r="J268" s="76" t="str">
        <x:v>MiBench-TC23 论文负载（blowfish、patricia、fft、gsm、dijkstra、rijndael、sha、bitcount、edge、smooth）
执行定义与 oracle：blowfish、patricia、fft、gsm、dijkstra、rijndael、sha、bitcount、edge、smooth；最大输入集</x:v>
      </x:c>
      <x:c r="K268" s="76" t="str">
        <x:v>DTLB 中存在有效项且后续再次命中</x:v>
      </x:c>
      <x:c r="L268" s="76" t="str">
        <x:v>L0 attempted/activated；L1 PPN 原值/故障值与命中项；L2 翻译后PA、权限与页大小；L3 cache line/DRAM落点；L4首次错误load/store；L5结局；按bit区间统计</x:v>
      </x:c>
      <x:c r="M268" s="76" t="str">
        <x:v>高位翻转更可能触发地址异常或Crash；落入另一已映射物理页时可能产生SDC；与VPN-tag单比特结果不应混算</x:v>
      </x:c>
      <x:c r="N268" s="76" t="str">
        <x:v>补回旧版具备而新版缺失的字段级单比特基线，使PPN双比特、卡死和合法换值均有可比较的F0对照</x:v>
      </x:c>
      <x:c r="O268" s="76" t="str">
        <x:v>TC'22/TC'23 对 DTLB 瞬态注入提供直接机制与结果对照</x:v>
      </x:c>
      <x:c r="P268" s="78"/>
      <x:c r="Q268" s="78"/>
      <x:c r="R268" s="78"/>
      <x:c r="S268" s="78"/>
      <x:c r="T268" s="78"/>
      <x:c r="U268" s="78"/>
      <x:c r="V268" s="78"/>
      <x:c r="W268" s="78"/>
      <x:c r="X268" s="82" t="str">
        <x:f>IF(OR(R268="",R268=0),"",U268/R268)</x:f>
      </x:c>
      <x:c r="Y268" s="82" t="str">
        <x:f>IF(OR(Q268="",Q268=0),"",R268/Q268)</x:f>
      </x:c>
      <x:c r="Z268" s="80" t="str">
        <x:v>待执行</x:v>
      </x:c>
      <x:c r="AA268" s="78"/>
    </x:row>
    <x:row r="269" ht="188.10000610351562" customHeight="1">
      <x:c r="A269" s="77" t="str">
        <x:v>T10-F2-W4</x:v>
      </x:c>
      <x:c r="B269" s="77" t="str">
        <x:v>T10</x:v>
      </x:c>
      <x:c r="C269" s="77" t="str">
        <x:v>L1d-TLB</x:v>
      </x:c>
      <x:c r="D269" s="76" t="str">
        <x:v>L1 d-TLB 有效表项的 PPN（Physical Page Number）数据字段。VPN/ASID 命中后，PPN 与页内偏移组成送往 L1D 的物理地址；该字段是 TC'23 类实验中最需要保留的基础对照。</x:v>
      </x:c>
      <x:c r="E269" s="76" t="str">
        <x:v>单比特翻转</x:v>
      </x:c>
      <x:c r="F269" s="76" t="str">
        <x:v>随机选择一个后续会再次命中的有效表项，在 PPN 内均匀翻转 1 bit；按低/中/高物理地址位分层，VPN、ASID、权限和页大小保持不变。仅当该表项之后被命中且故障 PPN 被用于形成物理地址时计为 activated；保存 entry、bit、原值、故障值和首次消费事务。</x:v>
      </x:c>
      <x:c r="G269" s="76" t="str">
        <x:v>F2</x:v>
      </x:c>
      <x:c r="H269" s="76" t="str">
        <x:v>平均每 100,000 个 eligible events 注入 1 次，间隔加入 ±50% 抖动</x:v>
      </x:c>
      <x:c r="I269" s="76" t="str">
        <x:v>TLB-AliasPerm 地址翻译探针（4KiB/2MiB 页、ASID、同VA不同PA、权限、TLBI、跨页访问）</x:v>
      </x:c>
      <x:c r="J269" s="76" t="str">
        <x:v>TLB-AliasPerm 地址翻译探针（4KiB/2MiB 页、ASID、同VA不同PA、权限、TLBI、跨页访问）
执行定义与 oracle：4KiB/2MiB 页、ASID 切换、同 VA 不同 PA、只读/不可执行页、TLBI 后重填、跨页 load/store</x:v>
      </x:c>
      <x:c r="K269" s="76" t="str">
        <x:v>DTLB 中存在有效项且后续再次命中</x:v>
      </x:c>
      <x:c r="L269" s="76" t="str">
        <x:v>L0 attempted/activated；L1 PPN 原值/故障值与命中项；L2 翻译后PA、权限与页大小；L3 cache line/DRAM落点；L4首次错误load/store；L5结局；按bit区间统计</x:v>
      </x:c>
      <x:c r="M269" s="76" t="str">
        <x:v>高位翻转更可能触发地址异常或Crash；落入另一已映射物理页时可能产生SDC；与VPN-tag单比特结果不应混算</x:v>
      </x:c>
      <x:c r="N269" s="76" t="str">
        <x:v>补回旧版具备而新版缺失的字段级单比特基线，使PPN双比特、卡死和合法换值均有可比较的F0对照</x:v>
      </x:c>
      <x:c r="O269" s="76" t="str">
        <x:v>TC'22/TC'23 对 DTLB 瞬态注入提供直接机制与结果对照</x:v>
      </x:c>
      <x:c r="P269" s="78"/>
      <x:c r="Q269" s="78"/>
      <x:c r="R269" s="78"/>
      <x:c r="S269" s="78"/>
      <x:c r="T269" s="78"/>
      <x:c r="U269" s="78"/>
      <x:c r="V269" s="78"/>
      <x:c r="W269" s="78"/>
      <x:c r="X269" s="82" t="str">
        <x:f>IF(OR(R269="",R269=0),"",U269/R269)</x:f>
      </x:c>
      <x:c r="Y269" s="82" t="str">
        <x:f>IF(OR(Q269="",Q269=0),"",R269/Q269)</x:f>
      </x:c>
      <x:c r="Z269" s="80" t="str">
        <x:v>待执行</x:v>
      </x:c>
      <x:c r="AA269" s="78"/>
    </x:row>
    <x:row r="270" ht="188.10000610351562" customHeight="1">
      <x:c r="A270" s="77" t="str">
        <x:v>T10-F2-W11</x:v>
      </x:c>
      <x:c r="B270" s="77" t="str">
        <x:v>T10</x:v>
      </x:c>
      <x:c r="C270" s="77" t="str">
        <x:v>L1d-TLB</x:v>
      </x:c>
      <x:c r="D270" s="76" t="str">
        <x:v>L1 d-TLB 有效表项的 PPN（Physical Page Number）数据字段。VPN/ASID 命中后，PPN 与页内偏移组成送往 L1D 的物理地址；该字段是 TC'23 类实验中最需要保留的基础对照。</x:v>
      </x:c>
      <x:c r="E270" s="76" t="str">
        <x:v>单比特翻转</x:v>
      </x:c>
      <x:c r="F270" s="76" t="str">
        <x:v>随机选择一个后续会再次命中的有效表项，在 PPN 内均匀翻转 1 bit；按低/中/高物理地址位分层，VPN、ASID、权限和页大小保持不变。仅当该表项之后被命中且故障 PPN 被用于形成物理地址时计为 activated；保存 entry、bit、原值、故障值和首次消费事务。</x:v>
      </x:c>
      <x:c r="G270" s="76" t="str">
        <x:v>F2</x:v>
      </x:c>
      <x:c r="H270" s="76" t="str">
        <x:v>平均每 100,000 个 eligible events 注入 1 次，间隔加入 ±50% 抖动</x:v>
      </x:c>
      <x:c r="I270" s="76" t="str">
        <x:v>SPEC CPU2017 采样区间</x:v>
      </x:c>
      <x:c r="J270" s="76" t="str">
        <x:v>SPEC CPU2017 采样区间
执行定义与 oracle：mcf、omnetpp、xalancbmk、lbm 的固定 SimPoint/checkpoint；使用参考输出或结果哈希</x:v>
      </x:c>
      <x:c r="K270" s="76" t="str">
        <x:v>DTLB 中存在有效项且后续再次命中</x:v>
      </x:c>
      <x:c r="L270" s="76" t="str">
        <x:v>L0 attempted/activated；L1 PPN 原值/故障值与命中项；L2 翻译后PA、权限与页大小；L3 cache line/DRAM落点；L4首次错误load/store；L5结局；按bit区间统计</x:v>
      </x:c>
      <x:c r="M270" s="76" t="str">
        <x:v>高位翻转更可能触发地址异常或Crash；落入另一已映射物理页时可能产生SDC；与VPN-tag单比特结果不应混算</x:v>
      </x:c>
      <x:c r="N270" s="76" t="str">
        <x:v>补回旧版具备而新版缺失的字段级单比特基线，使PPN双比特、卡死和合法换值均有可比较的F0对照</x:v>
      </x:c>
      <x:c r="O270" s="76" t="str">
        <x:v>TC'22/TC'23 对 DTLB 瞬态注入提供直接机制与结果对照</x:v>
      </x:c>
      <x:c r="P270" s="78"/>
      <x:c r="Q270" s="78"/>
      <x:c r="R270" s="78"/>
      <x:c r="S270" s="78"/>
      <x:c r="T270" s="78"/>
      <x:c r="U270" s="78"/>
      <x:c r="V270" s="78"/>
      <x:c r="W270" s="78"/>
      <x:c r="X270" s="82" t="str">
        <x:f>IF(OR(R270="",R270=0),"",U270/R270)</x:f>
      </x:c>
      <x:c r="Y270" s="82" t="str">
        <x:f>IF(OR(Q270="",Q270=0),"",R270/Q270)</x:f>
      </x:c>
      <x:c r="Z270" s="80" t="str">
        <x:v>待执行</x:v>
      </x:c>
      <x:c r="AA270" s="78"/>
    </x:row>
    <x:row r="271" ht="188.10000610351562" customHeight="1">
      <x:c r="A271" s="77" t="str">
        <x:v>S13-F0-W1</x:v>
      </x:c>
      <x:c r="B271" s="77" t="str">
        <x:v>S13</x:v>
      </x:c>
      <x:c r="C271" s="77" t="str">
        <x:v>Store Queue</x:v>
      </x:c>
      <x:c r="D271" s="76" t="str">
        <x:v>Store Queue 有效未提交表项的 store address/tag 字段。该字段决定最终写入地址，同时参与 store-to-load forwarding 和内存依赖冲突检查。</x:v>
      </x:c>
      <x:c r="E271" s="76" t="str">
        <x:v>单比特翻转</x:v>
      </x:c>
      <x:c r="F271" s="76" t="str">
        <x:v>在有效且未提交的 SQ 表项 address/tag 中翻转 1 bit，store data、byte-enable 和生命周期状态保持不变。只有当故障地址参与 forwarding 比较、冲突检查或最终 cache 写请求时计为 activated；记录是否被 violation/replay 或提交前检查捕获。</x:v>
      </x:c>
      <x:c r="G271" s="76" t="str">
        <x:v>F0</x:v>
      </x:c>
      <x:c r="H271" s="76" t="str">
        <x:v>每次运行只注入 1 次；在 warm-up 后的 eligible event 中均匀抽样</x:v>
      </x:c>
      <x:c r="I271" s="76" t="str">
        <x:v>MiBench-TC23 论文负载（blowfish、patricia、fft、gsm、dijkstra、rijndael、sha、bitcount、edge、smooth）</x:v>
      </x:c>
      <x:c r="J271" s="76" t="str">
        <x:v>MiBench-TC23 论文负载（blowfish、patricia、fft、gsm、dijkstra、rijndael、sha、bitcount、edge、smooth）
执行定义与 oracle：blowfish、patricia、fft、gsm、dijkstra、rijndael、sha、bitcount、edge、smooth；最大输入集</x:v>
      </x:c>
      <x:c r="K271" s="76" t="str">
        <x:v>SQ 中存在地址已知、尚未提交且之后会被消费的 store</x:v>
      </x:c>
      <x:c r="L271" s="76" t="str">
        <x:v>L0目标寿命与activated；L1 SQ地址、age和状态；L2 forwarding/violation/replay、请求地址；L3实际写入line；L4 commit与内存副作用；L5结局</x:v>
      </x:c>
      <x:c r="M271" s="76" t="str">
        <x:v>大多数随机地址错误应被依赖检查、异常或回放捕获；少数形成合法错址时可能SDC，预期低于合法地址换值模型</x:v>
      </x:c>
      <x:c r="N271" s="76" t="str">
        <x:v>恢复保护机制基线，才能判断S04合法地址替换是否真正绕过了地址/tag通路的检查</x:v>
      </x:c>
      <x:c r="O271" s="76" t="str">
        <x:v>TC'23 对 LQ/SQ 地址类字段的低SDC结果可作直接对照；IISWC'15/HPCA'24提供LSQ背景</x:v>
      </x:c>
      <x:c r="P271" s="78"/>
      <x:c r="Q271" s="78"/>
      <x:c r="R271" s="78"/>
      <x:c r="S271" s="78"/>
      <x:c r="T271" s="78"/>
      <x:c r="U271" s="78"/>
      <x:c r="V271" s="78"/>
      <x:c r="W271" s="78"/>
      <x:c r="X271" s="82" t="str">
        <x:f>IF(OR(R271="",R271=0),"",U271/R271)</x:f>
      </x:c>
      <x:c r="Y271" s="82" t="str">
        <x:f>IF(OR(Q271="",Q271=0),"",R271/Q271)</x:f>
      </x:c>
      <x:c r="Z271" s="80" t="str">
        <x:v>待执行</x:v>
      </x:c>
      <x:c r="AA271" s="78"/>
    </x:row>
    <x:row r="272" ht="188.10000610351562" customHeight="1">
      <x:c r="A272" s="77" t="str">
        <x:v>S13-F0-W5</x:v>
      </x:c>
      <x:c r="B272" s="77" t="str">
        <x:v>S13</x:v>
      </x:c>
      <x:c r="C272" s="77" t="str">
        <x:v>Store Queue</x:v>
      </x:c>
      <x:c r="D272" s="76" t="str">
        <x:v>Store Queue 有效未提交表项的 store address/tag 字段。该字段决定最终写入地址，同时参与 store-to-load forwarding 和内存依赖冲突检查。</x:v>
      </x:c>
      <x:c r="E272" s="76" t="str">
        <x:v>单比特翻转</x:v>
      </x:c>
      <x:c r="F272" s="76" t="str">
        <x:v>在有效且未提交的 SQ 表项 address/tag 中翻转 1 bit，store data、byte-enable 和生命周期状态保持不变。只有当故障地址参与 forwarding 比较、冲突检查或最终 cache 写请求时计为 activated；记录是否被 violation/replay 或提交前检查捕获。</x:v>
      </x:c>
      <x:c r="G272" s="76" t="str">
        <x:v>F0</x:v>
      </x:c>
      <x:c r="H272" s="76" t="str">
        <x:v>每次运行只注入 1 次；在 warm-up 后的 eligible event 中均匀抽样</x:v>
      </x:c>
      <x:c r="I272" s="76" t="str">
        <x:v>SQ-Forward 转发探针（同地址/部分重叠 store-to-load forwarding、字节掩码、alias、replay）</x:v>
      </x:c>
      <x:c r="J272" s="76" t="str">
        <x:v>SQ-Forward 转发探针（同地址/部分重叠 store-to-load forwarding、字节掩码、alias、replay）
执行定义与 oracle：同地址与部分重叠 store-to-load forwarding、不同字节掩码、地址晚到/数据晚到、alias、replay</x:v>
      </x:c>
      <x:c r="K272" s="76" t="str">
        <x:v>SQ 中存在地址已知、尚未提交且之后会被消费的 store</x:v>
      </x:c>
      <x:c r="L272" s="76" t="str">
        <x:v>L0目标寿命与activated；L1 SQ地址、age和状态；L2 forwarding/violation/replay、请求地址；L3实际写入line；L4 commit与内存副作用；L5结局</x:v>
      </x:c>
      <x:c r="M272" s="76" t="str">
        <x:v>大多数随机地址错误应被依赖检查、异常或回放捕获；少数形成合法错址时可能SDC，预期低于合法地址换值模型</x:v>
      </x:c>
      <x:c r="N272" s="76" t="str">
        <x:v>恢复保护机制基线，才能判断S04合法地址替换是否真正绕过了地址/tag通路的检查</x:v>
      </x:c>
      <x:c r="O272" s="76" t="str">
        <x:v>TC'23 对 LQ/SQ 地址类字段的低SDC结果可作直接对照；IISWC'15/HPCA'24提供LSQ背景</x:v>
      </x:c>
      <x:c r="P272" s="78"/>
      <x:c r="Q272" s="78"/>
      <x:c r="R272" s="78"/>
      <x:c r="S272" s="78"/>
      <x:c r="T272" s="78"/>
      <x:c r="U272" s="78"/>
      <x:c r="V272" s="78"/>
      <x:c r="W272" s="78"/>
      <x:c r="X272" s="82" t="str">
        <x:f>IF(OR(R272="",R272=0),"",U272/R272)</x:f>
      </x:c>
      <x:c r="Y272" s="82" t="str">
        <x:f>IF(OR(Q272="",Q272=0),"",R272/Q272)</x:f>
      </x:c>
      <x:c r="Z272" s="80" t="str">
        <x:v>待执行</x:v>
      </x:c>
      <x:c r="AA272" s="78"/>
    </x:row>
    <x:row r="273" ht="188.10000610351562" customHeight="1">
      <x:c r="A273" s="77" t="str">
        <x:v>S13-F0-W11</x:v>
      </x:c>
      <x:c r="B273" s="77" t="str">
        <x:v>S13</x:v>
      </x:c>
      <x:c r="C273" s="77" t="str">
        <x:v>Store Queue</x:v>
      </x:c>
      <x:c r="D273" s="76" t="str">
        <x:v>Store Queue 有效未提交表项的 store address/tag 字段。该字段决定最终写入地址，同时参与 store-to-load forwarding 和内存依赖冲突检查。</x:v>
      </x:c>
      <x:c r="E273" s="76" t="str">
        <x:v>单比特翻转</x:v>
      </x:c>
      <x:c r="F273" s="76" t="str">
        <x:v>在有效且未提交的 SQ 表项 address/tag 中翻转 1 bit，store data、byte-enable 和生命周期状态保持不变。只有当故障地址参与 forwarding 比较、冲突检查或最终 cache 写请求时计为 activated；记录是否被 violation/replay 或提交前检查捕获。</x:v>
      </x:c>
      <x:c r="G273" s="76" t="str">
        <x:v>F0</x:v>
      </x:c>
      <x:c r="H273" s="76" t="str">
        <x:v>每次运行只注入 1 次；在 warm-up 后的 eligible event 中均匀抽样</x:v>
      </x:c>
      <x:c r="I273" s="76" t="str">
        <x:v>SPEC CPU2017 采样区间</x:v>
      </x:c>
      <x:c r="J273" s="76" t="str">
        <x:v>SPEC CPU2017 采样区间
执行定义与 oracle：mcf、omnetpp、xalancbmk、lbm 的固定 SimPoint/checkpoint；使用参考输出或结果哈希</x:v>
      </x:c>
      <x:c r="K273" s="76" t="str">
        <x:v>SQ 中存在地址已知、尚未提交且之后会被消费的 store</x:v>
      </x:c>
      <x:c r="L273" s="76" t="str">
        <x:v>L0目标寿命与activated；L1 SQ地址、age和状态；L2 forwarding/violation/replay、请求地址；L3实际写入line；L4 commit与内存副作用；L5结局</x:v>
      </x:c>
      <x:c r="M273" s="76" t="str">
        <x:v>大多数随机地址错误应被依赖检查、异常或回放捕获；少数形成合法错址时可能SDC，预期低于合法地址换值模型</x:v>
      </x:c>
      <x:c r="N273" s="76" t="str">
        <x:v>恢复保护机制基线，才能判断S04合法地址替换是否真正绕过了地址/tag通路的检查</x:v>
      </x:c>
      <x:c r="O273" s="76" t="str">
        <x:v>TC'23 对 LQ/SQ 地址类字段的低SDC结果可作直接对照；IISWC'15/HPCA'24提供LSQ背景</x:v>
      </x:c>
      <x:c r="P273" s="78"/>
      <x:c r="Q273" s="78"/>
      <x:c r="R273" s="78"/>
      <x:c r="S273" s="78"/>
      <x:c r="T273" s="78"/>
      <x:c r="U273" s="78"/>
      <x:c r="V273" s="78"/>
      <x:c r="W273" s="78"/>
      <x:c r="X273" s="82" t="str">
        <x:f>IF(OR(R273="",R273=0),"",U273/R273)</x:f>
      </x:c>
      <x:c r="Y273" s="82" t="str">
        <x:f>IF(OR(Q273="",Q273=0),"",R273/Q273)</x:f>
      </x:c>
      <x:c r="Z273" s="80" t="str">
        <x:v>待执行</x:v>
      </x:c>
      <x:c r="AA273" s="78"/>
    </x:row>
    <x:row r="274" ht="188.10000610351562" customHeight="1">
      <x:c r="A274" s="77" t="str">
        <x:v>S13-F0-W12</x:v>
      </x:c>
      <x:c r="B274" s="77" t="str">
        <x:v>S13</x:v>
      </x:c>
      <x:c r="C274" s="77" t="str">
        <x:v>Store Queue</x:v>
      </x:c>
      <x:c r="D274" s="76" t="str">
        <x:v>Store Queue 有效未提交表项的 store address/tag 字段。该字段决定最终写入地址，同时参与 store-to-load forwarding 和内存依赖冲突检查。</x:v>
      </x:c>
      <x:c r="E274" s="76" t="str">
        <x:v>单比特翻转</x:v>
      </x:c>
      <x:c r="F274" s="76" t="str">
        <x:v>在有效且未提交的 SQ 表项 address/tag 中翻转 1 bit，store data、byte-enable 和生命周期状态保持不变。只有当故障地址参与 forwarding 比较、冲突检查或最终 cache 写请求时计为 activated；记录是否被 violation/replay 或提交前检查捕获。</x:v>
      </x:c>
      <x:c r="G274" s="76" t="str">
        <x:v>F0</x:v>
      </x:c>
      <x:c r="H274" s="76" t="str">
        <x:v>每次运行只注入 1 次；在 warm-up 后的 eligible event 中均匀抽样</x:v>
      </x:c>
      <x:c r="I274" s="76" t="str">
        <x:v>SQLite-Speedtest1 真实应用（B树、事务与完整性检查）</x:v>
      </x:c>
      <x:c r="J274" s="76" t="str">
        <x:v>SQLite-Speedtest1 真实应用（B树、事务与完整性检查）
执行定义与 oracle：SQLite speedtest1 固定数据库与事务脚本；用 PRAGMA integrity_check、查询结果和数据库文件哈希作为 oracle</x:v>
      </x:c>
      <x:c r="K274" s="76" t="str">
        <x:v>SQ 中存在地址已知、尚未提交且之后会被消费的 store</x:v>
      </x:c>
      <x:c r="L274" s="76" t="str">
        <x:v>L0目标寿命与activated；L1 SQ地址、age和状态；L2 forwarding/violation/replay、请求地址；L3实际写入line；L4 commit与内存副作用；L5结局</x:v>
      </x:c>
      <x:c r="M274" s="76" t="str">
        <x:v>大多数随机地址错误应被依赖检查、异常或回放捕获；少数形成合法错址时可能SDC，预期低于合法地址换值模型</x:v>
      </x:c>
      <x:c r="N274" s="76" t="str">
        <x:v>恢复保护机制基线，才能判断S04合法地址替换是否真正绕过了地址/tag通路的检查</x:v>
      </x:c>
      <x:c r="O274" s="76" t="str">
        <x:v>TC'23 对 LQ/SQ 地址类字段的低SDC结果可作直接对照；IISWC'15/HPCA'24提供LSQ背景</x:v>
      </x:c>
      <x:c r="P274" s="78"/>
      <x:c r="Q274" s="78"/>
      <x:c r="R274" s="78"/>
      <x:c r="S274" s="78"/>
      <x:c r="T274" s="78"/>
      <x:c r="U274" s="78"/>
      <x:c r="V274" s="78"/>
      <x:c r="W274" s="78"/>
      <x:c r="X274" s="82" t="str">
        <x:f>IF(OR(R274="",R274=0),"",U274/R274)</x:f>
      </x:c>
      <x:c r="Y274" s="82" t="str">
        <x:f>IF(OR(Q274="",Q274=0),"",R274/Q274)</x:f>
      </x:c>
      <x:c r="Z274" s="80" t="str">
        <x:v>待执行</x:v>
      </x:c>
      <x:c r="AA274" s="78"/>
    </x:row>
    <x:row r="275" ht="188.10000610351562" customHeight="1">
      <x:c r="A275" s="77" t="str">
        <x:v>S13-F1-W1</x:v>
      </x:c>
      <x:c r="B275" s="77" t="str">
        <x:v>S13</x:v>
      </x:c>
      <x:c r="C275" s="77" t="str">
        <x:v>Store Queue</x:v>
      </x:c>
      <x:c r="D275" s="76" t="str">
        <x:v>Store Queue 有效未提交表项的 store address/tag 字段。该字段决定最终写入地址，同时参与 store-to-load forwarding 和内存依赖冲突检查。</x:v>
      </x:c>
      <x:c r="E275" s="76" t="str">
        <x:v>单比特翻转</x:v>
      </x:c>
      <x:c r="F275" s="76" t="str">
        <x:v>在有效且未提交的 SQ 表项 address/tag 中翻转 1 bit，store data、byte-enable 和生命周期状态保持不变。只有当故障地址参与 forwarding 比较、冲突检查或最终 cache 写请求时计为 activated；记录是否被 violation/replay 或提交前检查捕获。</x:v>
      </x:c>
      <x:c r="G275" s="76" t="str">
        <x:v>F1</x:v>
      </x:c>
      <x:c r="H275" s="76" t="str">
        <x:v>平均每 1,000,000 个 eligible events 注入 1 次，间隔加入 ±50% 抖动</x:v>
      </x:c>
      <x:c r="I275" s="76" t="str">
        <x:v>MiBench-TC23 论文负载（blowfish、patricia、fft、gsm、dijkstra、rijndael、sha、bitcount、edge、smooth）</x:v>
      </x:c>
      <x:c r="J275" s="76" t="str">
        <x:v>MiBench-TC23 论文负载（blowfish、patricia、fft、gsm、dijkstra、rijndael、sha、bitcount、edge、smooth）
执行定义与 oracle：blowfish、patricia、fft、gsm、dijkstra、rijndael、sha、bitcount、edge、smooth；最大输入集</x:v>
      </x:c>
      <x:c r="K275" s="76" t="str">
        <x:v>SQ 中存在地址已知、尚未提交且之后会被消费的 store</x:v>
      </x:c>
      <x:c r="L275" s="76" t="str">
        <x:v>L0目标寿命与activated；L1 SQ地址、age和状态；L2 forwarding/violation/replay、请求地址；L3实际写入line；L4 commit与内存副作用；L5结局</x:v>
      </x:c>
      <x:c r="M275" s="76" t="str">
        <x:v>大多数随机地址错误应被依赖检查、异常或回放捕获；少数形成合法错址时可能SDC，预期低于合法地址换值模型</x:v>
      </x:c>
      <x:c r="N275" s="76" t="str">
        <x:v>恢复保护机制基线，才能判断S04合法地址替换是否真正绕过了地址/tag通路的检查</x:v>
      </x:c>
      <x:c r="O275" s="76" t="str">
        <x:v>TC'23 对 LQ/SQ 地址类字段的低SDC结果可作直接对照；IISWC'15/HPCA'24提供LSQ背景</x:v>
      </x:c>
      <x:c r="P275" s="78"/>
      <x:c r="Q275" s="78"/>
      <x:c r="R275" s="78"/>
      <x:c r="S275" s="78"/>
      <x:c r="T275" s="78"/>
      <x:c r="U275" s="78"/>
      <x:c r="V275" s="78"/>
      <x:c r="W275" s="78"/>
      <x:c r="X275" s="82" t="str">
        <x:f>IF(OR(R275="",R275=0),"",U275/R275)</x:f>
      </x:c>
      <x:c r="Y275" s="82" t="str">
        <x:f>IF(OR(Q275="",Q275=0),"",R275/Q275)</x:f>
      </x:c>
      <x:c r="Z275" s="80" t="str">
        <x:v>待执行</x:v>
      </x:c>
      <x:c r="AA275" s="78"/>
    </x:row>
    <x:row r="276" ht="188.10000610351562" customHeight="1">
      <x:c r="A276" s="77" t="str">
        <x:v>S13-F1-W5</x:v>
      </x:c>
      <x:c r="B276" s="77" t="str">
        <x:v>S13</x:v>
      </x:c>
      <x:c r="C276" s="77" t="str">
        <x:v>Store Queue</x:v>
      </x:c>
      <x:c r="D276" s="76" t="str">
        <x:v>Store Queue 有效未提交表项的 store address/tag 字段。该字段决定最终写入地址，同时参与 store-to-load forwarding 和内存依赖冲突检查。</x:v>
      </x:c>
      <x:c r="E276" s="76" t="str">
        <x:v>单比特翻转</x:v>
      </x:c>
      <x:c r="F276" s="76" t="str">
        <x:v>在有效且未提交的 SQ 表项 address/tag 中翻转 1 bit，store data、byte-enable 和生命周期状态保持不变。只有当故障地址参与 forwarding 比较、冲突检查或最终 cache 写请求时计为 activated；记录是否被 violation/replay 或提交前检查捕获。</x:v>
      </x:c>
      <x:c r="G276" s="76" t="str">
        <x:v>F1</x:v>
      </x:c>
      <x:c r="H276" s="76" t="str">
        <x:v>平均每 1,000,000 个 eligible events 注入 1 次，间隔加入 ±50% 抖动</x:v>
      </x:c>
      <x:c r="I276" s="76" t="str">
        <x:v>SQ-Forward 转发探针（同地址/部分重叠 store-to-load forwarding、字节掩码、alias、replay）</x:v>
      </x:c>
      <x:c r="J276" s="76" t="str">
        <x:v>SQ-Forward 转发探针（同地址/部分重叠 store-to-load forwarding、字节掩码、alias、replay）
执行定义与 oracle：同地址与部分重叠 store-to-load forwarding、不同字节掩码、地址晚到/数据晚到、alias、replay</x:v>
      </x:c>
      <x:c r="K276" s="76" t="str">
        <x:v>SQ 中存在地址已知、尚未提交且之后会被消费的 store</x:v>
      </x:c>
      <x:c r="L276" s="76" t="str">
        <x:v>L0目标寿命与activated；L1 SQ地址、age和状态；L2 forwarding/violation/replay、请求地址；L3实际写入line；L4 commit与内存副作用；L5结局</x:v>
      </x:c>
      <x:c r="M276" s="76" t="str">
        <x:v>大多数随机地址错误应被依赖检查、异常或回放捕获；少数形成合法错址时可能SDC，预期低于合法地址换值模型</x:v>
      </x:c>
      <x:c r="N276" s="76" t="str">
        <x:v>恢复保护机制基线，才能判断S04合法地址替换是否真正绕过了地址/tag通路的检查</x:v>
      </x:c>
      <x:c r="O276" s="76" t="str">
        <x:v>TC'23 对 LQ/SQ 地址类字段的低SDC结果可作直接对照；IISWC'15/HPCA'24提供LSQ背景</x:v>
      </x:c>
      <x:c r="P276" s="78"/>
      <x:c r="Q276" s="78"/>
      <x:c r="R276" s="78"/>
      <x:c r="S276" s="78"/>
      <x:c r="T276" s="78"/>
      <x:c r="U276" s="78"/>
      <x:c r="V276" s="78"/>
      <x:c r="W276" s="78"/>
      <x:c r="X276" s="82" t="str">
        <x:f>IF(OR(R276="",R276=0),"",U276/R276)</x:f>
      </x:c>
      <x:c r="Y276" s="82" t="str">
        <x:f>IF(OR(Q276="",Q276=0),"",R276/Q276)</x:f>
      </x:c>
      <x:c r="Z276" s="80" t="str">
        <x:v>待执行</x:v>
      </x:c>
      <x:c r="AA276" s="78"/>
    </x:row>
    <x:row r="277" ht="188.10000610351562" customHeight="1">
      <x:c r="A277" s="77" t="str">
        <x:v>S13-F1-W11</x:v>
      </x:c>
      <x:c r="B277" s="77" t="str">
        <x:v>S13</x:v>
      </x:c>
      <x:c r="C277" s="77" t="str">
        <x:v>Store Queue</x:v>
      </x:c>
      <x:c r="D277" s="76" t="str">
        <x:v>Store Queue 有效未提交表项的 store address/tag 字段。该字段决定最终写入地址，同时参与 store-to-load forwarding 和内存依赖冲突检查。</x:v>
      </x:c>
      <x:c r="E277" s="76" t="str">
        <x:v>单比特翻转</x:v>
      </x:c>
      <x:c r="F277" s="76" t="str">
        <x:v>在有效且未提交的 SQ 表项 address/tag 中翻转 1 bit，store data、byte-enable 和生命周期状态保持不变。只有当故障地址参与 forwarding 比较、冲突检查或最终 cache 写请求时计为 activated；记录是否被 violation/replay 或提交前检查捕获。</x:v>
      </x:c>
      <x:c r="G277" s="76" t="str">
        <x:v>F1</x:v>
      </x:c>
      <x:c r="H277" s="76" t="str">
        <x:v>平均每 1,000,000 个 eligible events 注入 1 次，间隔加入 ±50% 抖动</x:v>
      </x:c>
      <x:c r="I277" s="76" t="str">
        <x:v>SPEC CPU2017 采样区间</x:v>
      </x:c>
      <x:c r="J277" s="76" t="str">
        <x:v>SPEC CPU2017 采样区间
执行定义与 oracle：mcf、omnetpp、xalancbmk、lbm 的固定 SimPoint/checkpoint；使用参考输出或结果哈希</x:v>
      </x:c>
      <x:c r="K277" s="76" t="str">
        <x:v>SQ 中存在地址已知、尚未提交且之后会被消费的 store</x:v>
      </x:c>
      <x:c r="L277" s="76" t="str">
        <x:v>L0目标寿命与activated；L1 SQ地址、age和状态；L2 forwarding/violation/replay、请求地址；L3实际写入line；L4 commit与内存副作用；L5结局</x:v>
      </x:c>
      <x:c r="M277" s="76" t="str">
        <x:v>大多数随机地址错误应被依赖检查、异常或回放捕获；少数形成合法错址时可能SDC，预期低于合法地址换值模型</x:v>
      </x:c>
      <x:c r="N277" s="76" t="str">
        <x:v>恢复保护机制基线，才能判断S04合法地址替换是否真正绕过了地址/tag通路的检查</x:v>
      </x:c>
      <x:c r="O277" s="76" t="str">
        <x:v>TC'23 对 LQ/SQ 地址类字段的低SDC结果可作直接对照；IISWC'15/HPCA'24提供LSQ背景</x:v>
      </x:c>
      <x:c r="P277" s="78"/>
      <x:c r="Q277" s="78"/>
      <x:c r="R277" s="78"/>
      <x:c r="S277" s="78"/>
      <x:c r="T277" s="78"/>
      <x:c r="U277" s="78"/>
      <x:c r="V277" s="78"/>
      <x:c r="W277" s="78"/>
      <x:c r="X277" s="82" t="str">
        <x:f>IF(OR(R277="",R277=0),"",U277/R277)</x:f>
      </x:c>
      <x:c r="Y277" s="82" t="str">
        <x:f>IF(OR(Q277="",Q277=0),"",R277/Q277)</x:f>
      </x:c>
      <x:c r="Z277" s="80" t="str">
        <x:v>待执行</x:v>
      </x:c>
      <x:c r="AA277" s="78"/>
    </x:row>
    <x:row r="278" ht="188.10000610351562" customHeight="1">
      <x:c r="A278" s="77" t="str">
        <x:v>S13-F1-W12</x:v>
      </x:c>
      <x:c r="B278" s="77" t="str">
        <x:v>S13</x:v>
      </x:c>
      <x:c r="C278" s="77" t="str">
        <x:v>Store Queue</x:v>
      </x:c>
      <x:c r="D278" s="76" t="str">
        <x:v>Store Queue 有效未提交表项的 store address/tag 字段。该字段决定最终写入地址，同时参与 store-to-load forwarding 和内存依赖冲突检查。</x:v>
      </x:c>
      <x:c r="E278" s="76" t="str">
        <x:v>单比特翻转</x:v>
      </x:c>
      <x:c r="F278" s="76" t="str">
        <x:v>在有效且未提交的 SQ 表项 address/tag 中翻转 1 bit，store data、byte-enable 和生命周期状态保持不变。只有当故障地址参与 forwarding 比较、冲突检查或最终 cache 写请求时计为 activated；记录是否被 violation/replay 或提交前检查捕获。</x:v>
      </x:c>
      <x:c r="G278" s="76" t="str">
        <x:v>F1</x:v>
      </x:c>
      <x:c r="H278" s="76" t="str">
        <x:v>平均每 1,000,000 个 eligible events 注入 1 次，间隔加入 ±50% 抖动</x:v>
      </x:c>
      <x:c r="I278" s="76" t="str">
        <x:v>SQLite-Speedtest1 真实应用（B树、事务与完整性检查）</x:v>
      </x:c>
      <x:c r="J278" s="76" t="str">
        <x:v>SQLite-Speedtest1 真实应用（B树、事务与完整性检查）
执行定义与 oracle：SQLite speedtest1 固定数据库与事务脚本；用 PRAGMA integrity_check、查询结果和数据库文件哈希作为 oracle</x:v>
      </x:c>
      <x:c r="K278" s="76" t="str">
        <x:v>SQ 中存在地址已知、尚未提交且之后会被消费的 store</x:v>
      </x:c>
      <x:c r="L278" s="76" t="str">
        <x:v>L0目标寿命与activated；L1 SQ地址、age和状态；L2 forwarding/violation/replay、请求地址；L3实际写入line；L4 commit与内存副作用；L5结局</x:v>
      </x:c>
      <x:c r="M278" s="76" t="str">
        <x:v>大多数随机地址错误应被依赖检查、异常或回放捕获；少数形成合法错址时可能SDC，预期低于合法地址换值模型</x:v>
      </x:c>
      <x:c r="N278" s="76" t="str">
        <x:v>恢复保护机制基线，才能判断S04合法地址替换是否真正绕过了地址/tag通路的检查</x:v>
      </x:c>
      <x:c r="O278" s="76" t="str">
        <x:v>TC'23 对 LQ/SQ 地址类字段的低SDC结果可作直接对照；IISWC'15/HPCA'24提供LSQ背景</x:v>
      </x:c>
      <x:c r="P278" s="78"/>
      <x:c r="Q278" s="78"/>
      <x:c r="R278" s="78"/>
      <x:c r="S278" s="78"/>
      <x:c r="T278" s="78"/>
      <x:c r="U278" s="78"/>
      <x:c r="V278" s="78"/>
      <x:c r="W278" s="78"/>
      <x:c r="X278" s="82" t="str">
        <x:f>IF(OR(R278="",R278=0),"",U278/R278)</x:f>
      </x:c>
      <x:c r="Y278" s="82" t="str">
        <x:f>IF(OR(Q278="",Q278=0),"",R278/Q278)</x:f>
      </x:c>
      <x:c r="Z278" s="80" t="str">
        <x:v>待执行</x:v>
      </x:c>
      <x:c r="AA278" s="78"/>
    </x:row>
    <x:row r="279" ht="188.10000610351562" customHeight="1">
      <x:c r="A279" s="77" t="str">
        <x:v>S13-F2-W1</x:v>
      </x:c>
      <x:c r="B279" s="77" t="str">
        <x:v>S13</x:v>
      </x:c>
      <x:c r="C279" s="77" t="str">
        <x:v>Store Queue</x:v>
      </x:c>
      <x:c r="D279" s="76" t="str">
        <x:v>Store Queue 有效未提交表项的 store address/tag 字段。该字段决定最终写入地址，同时参与 store-to-load forwarding 和内存依赖冲突检查。</x:v>
      </x:c>
      <x:c r="E279" s="76" t="str">
        <x:v>单比特翻转</x:v>
      </x:c>
      <x:c r="F279" s="76" t="str">
        <x:v>在有效且未提交的 SQ 表项 address/tag 中翻转 1 bit，store data、byte-enable 和生命周期状态保持不变。只有当故障地址参与 forwarding 比较、冲突检查或最终 cache 写请求时计为 activated；记录是否被 violation/replay 或提交前检查捕获。</x:v>
      </x:c>
      <x:c r="G279" s="76" t="str">
        <x:v>F2</x:v>
      </x:c>
      <x:c r="H279" s="76" t="str">
        <x:v>平均每 100,000 个 eligible events 注入 1 次，间隔加入 ±50% 抖动</x:v>
      </x:c>
      <x:c r="I279" s="76" t="str">
        <x:v>MiBench-TC23 论文负载（blowfish、patricia、fft、gsm、dijkstra、rijndael、sha、bitcount、edge、smooth）</x:v>
      </x:c>
      <x:c r="J279" s="76" t="str">
        <x:v>MiBench-TC23 论文负载（blowfish、patricia、fft、gsm、dijkstra、rijndael、sha、bitcount、edge、smooth）
执行定义与 oracle：blowfish、patricia、fft、gsm、dijkstra、rijndael、sha、bitcount、edge、smooth；最大输入集</x:v>
      </x:c>
      <x:c r="K279" s="76" t="str">
        <x:v>SQ 中存在地址已知、尚未提交且之后会被消费的 store</x:v>
      </x:c>
      <x:c r="L279" s="76" t="str">
        <x:v>L0目标寿命与activated；L1 SQ地址、age和状态；L2 forwarding/violation/replay、请求地址；L3实际写入line；L4 commit与内存副作用；L5结局</x:v>
      </x:c>
      <x:c r="M279" s="76" t="str">
        <x:v>大多数随机地址错误应被依赖检查、异常或回放捕获；少数形成合法错址时可能SDC，预期低于合法地址换值模型</x:v>
      </x:c>
      <x:c r="N279" s="76" t="str">
        <x:v>恢复保护机制基线，才能判断S04合法地址替换是否真正绕过了地址/tag通路的检查</x:v>
      </x:c>
      <x:c r="O279" s="76" t="str">
        <x:v>TC'23 对 LQ/SQ 地址类字段的低SDC结果可作直接对照；IISWC'15/HPCA'24提供LSQ背景</x:v>
      </x:c>
      <x:c r="P279" s="78"/>
      <x:c r="Q279" s="78"/>
      <x:c r="R279" s="78"/>
      <x:c r="S279" s="78"/>
      <x:c r="T279" s="78"/>
      <x:c r="U279" s="78"/>
      <x:c r="V279" s="78"/>
      <x:c r="W279" s="78"/>
      <x:c r="X279" s="82" t="str">
        <x:f>IF(OR(R279="",R279=0),"",U279/R279)</x:f>
      </x:c>
      <x:c r="Y279" s="82" t="str">
        <x:f>IF(OR(Q279="",Q279=0),"",R279/Q279)</x:f>
      </x:c>
      <x:c r="Z279" s="80" t="str">
        <x:v>待执行</x:v>
      </x:c>
      <x:c r="AA279" s="78"/>
    </x:row>
    <x:row r="280" ht="188.10000610351562" customHeight="1">
      <x:c r="A280" s="77" t="str">
        <x:v>S13-F2-W5</x:v>
      </x:c>
      <x:c r="B280" s="77" t="str">
        <x:v>S13</x:v>
      </x:c>
      <x:c r="C280" s="77" t="str">
        <x:v>Store Queue</x:v>
      </x:c>
      <x:c r="D280" s="76" t="str">
        <x:v>Store Queue 有效未提交表项的 store address/tag 字段。该字段决定最终写入地址，同时参与 store-to-load forwarding 和内存依赖冲突检查。</x:v>
      </x:c>
      <x:c r="E280" s="76" t="str">
        <x:v>单比特翻转</x:v>
      </x:c>
      <x:c r="F280" s="76" t="str">
        <x:v>在有效且未提交的 SQ 表项 address/tag 中翻转 1 bit，store data、byte-enable 和生命周期状态保持不变。只有当故障地址参与 forwarding 比较、冲突检查或最终 cache 写请求时计为 activated；记录是否被 violation/replay 或提交前检查捕获。</x:v>
      </x:c>
      <x:c r="G280" s="76" t="str">
        <x:v>F2</x:v>
      </x:c>
      <x:c r="H280" s="76" t="str">
        <x:v>平均每 100,000 个 eligible events 注入 1 次，间隔加入 ±50% 抖动</x:v>
      </x:c>
      <x:c r="I280" s="76" t="str">
        <x:v>SQ-Forward 转发探针（同地址/部分重叠 store-to-load forwarding、字节掩码、alias、replay）</x:v>
      </x:c>
      <x:c r="J280" s="76" t="str">
        <x:v>SQ-Forward 转发探针（同地址/部分重叠 store-to-load forwarding、字节掩码、alias、replay）
执行定义与 oracle：同地址与部分重叠 store-to-load forwarding、不同字节掩码、地址晚到/数据晚到、alias、replay</x:v>
      </x:c>
      <x:c r="K280" s="76" t="str">
        <x:v>SQ 中存在地址已知、尚未提交且之后会被消费的 store</x:v>
      </x:c>
      <x:c r="L280" s="76" t="str">
        <x:v>L0目标寿命与activated；L1 SQ地址、age和状态；L2 forwarding/violation/replay、请求地址；L3实际写入line；L4 commit与内存副作用；L5结局</x:v>
      </x:c>
      <x:c r="M280" s="76" t="str">
        <x:v>大多数随机地址错误应被依赖检查、异常或回放捕获；少数形成合法错址时可能SDC，预期低于合法地址换值模型</x:v>
      </x:c>
      <x:c r="N280" s="76" t="str">
        <x:v>恢复保护机制基线，才能判断S04合法地址替换是否真正绕过了地址/tag通路的检查</x:v>
      </x:c>
      <x:c r="O280" s="76" t="str">
        <x:v>TC'23 对 LQ/SQ 地址类字段的低SDC结果可作直接对照；IISWC'15/HPCA'24提供LSQ背景</x:v>
      </x:c>
      <x:c r="P280" s="78"/>
      <x:c r="Q280" s="78"/>
      <x:c r="R280" s="78"/>
      <x:c r="S280" s="78"/>
      <x:c r="T280" s="78"/>
      <x:c r="U280" s="78"/>
      <x:c r="V280" s="78"/>
      <x:c r="W280" s="78"/>
      <x:c r="X280" s="82" t="str">
        <x:f>IF(OR(R280="",R280=0),"",U280/R280)</x:f>
      </x:c>
      <x:c r="Y280" s="82" t="str">
        <x:f>IF(OR(Q280="",Q280=0),"",R280/Q280)</x:f>
      </x:c>
      <x:c r="Z280" s="80" t="str">
        <x:v>待执行</x:v>
      </x:c>
      <x:c r="AA280" s="78"/>
    </x:row>
    <x:row r="281" ht="188.10000610351562" customHeight="1">
      <x:c r="A281" s="77" t="str">
        <x:v>S13-F2-W11</x:v>
      </x:c>
      <x:c r="B281" s="77" t="str">
        <x:v>S13</x:v>
      </x:c>
      <x:c r="C281" s="77" t="str">
        <x:v>Store Queue</x:v>
      </x:c>
      <x:c r="D281" s="76" t="str">
        <x:v>Store Queue 有效未提交表项的 store address/tag 字段。该字段决定最终写入地址，同时参与 store-to-load forwarding 和内存依赖冲突检查。</x:v>
      </x:c>
      <x:c r="E281" s="76" t="str">
        <x:v>单比特翻转</x:v>
      </x:c>
      <x:c r="F281" s="76" t="str">
        <x:v>在有效且未提交的 SQ 表项 address/tag 中翻转 1 bit，store data、byte-enable 和生命周期状态保持不变。只有当故障地址参与 forwarding 比较、冲突检查或最终 cache 写请求时计为 activated；记录是否被 violation/replay 或提交前检查捕获。</x:v>
      </x:c>
      <x:c r="G281" s="76" t="str">
        <x:v>F2</x:v>
      </x:c>
      <x:c r="H281" s="76" t="str">
        <x:v>平均每 100,000 个 eligible events 注入 1 次，间隔加入 ±50% 抖动</x:v>
      </x:c>
      <x:c r="I281" s="76" t="str">
        <x:v>SPEC CPU2017 采样区间</x:v>
      </x:c>
      <x:c r="J281" s="76" t="str">
        <x:v>SPEC CPU2017 采样区间
执行定义与 oracle：mcf、omnetpp、xalancbmk、lbm 的固定 SimPoint/checkpoint；使用参考输出或结果哈希</x:v>
      </x:c>
      <x:c r="K281" s="76" t="str">
        <x:v>SQ 中存在地址已知、尚未提交且之后会被消费的 store</x:v>
      </x:c>
      <x:c r="L281" s="76" t="str">
        <x:v>L0目标寿命与activated；L1 SQ地址、age和状态；L2 forwarding/violation/replay、请求地址；L3实际写入line；L4 commit与内存副作用；L5结局</x:v>
      </x:c>
      <x:c r="M281" s="76" t="str">
        <x:v>大多数随机地址错误应被依赖检查、异常或回放捕获；少数形成合法错址时可能SDC，预期低于合法地址换值模型</x:v>
      </x:c>
      <x:c r="N281" s="76" t="str">
        <x:v>恢复保护机制基线，才能判断S04合法地址替换是否真正绕过了地址/tag通路的检查</x:v>
      </x:c>
      <x:c r="O281" s="76" t="str">
        <x:v>TC'23 对 LQ/SQ 地址类字段的低SDC结果可作直接对照；IISWC'15/HPCA'24提供LSQ背景</x:v>
      </x:c>
      <x:c r="P281" s="78"/>
      <x:c r="Q281" s="78"/>
      <x:c r="R281" s="78"/>
      <x:c r="S281" s="78"/>
      <x:c r="T281" s="78"/>
      <x:c r="U281" s="78"/>
      <x:c r="V281" s="78"/>
      <x:c r="W281" s="78"/>
      <x:c r="X281" s="82" t="str">
        <x:f>IF(OR(R281="",R281=0),"",U281/R281)</x:f>
      </x:c>
      <x:c r="Y281" s="82" t="str">
        <x:f>IF(OR(Q281="",Q281=0),"",R281/Q281)</x:f>
      </x:c>
      <x:c r="Z281" s="80" t="str">
        <x:v>待执行</x:v>
      </x:c>
      <x:c r="AA281" s="78"/>
    </x:row>
    <x:row r="282" ht="188.10000610351562" customHeight="1">
      <x:c r="A282" s="77" t="str">
        <x:v>S13-F2-W12</x:v>
      </x:c>
      <x:c r="B282" s="77" t="str">
        <x:v>S13</x:v>
      </x:c>
      <x:c r="C282" s="77" t="str">
        <x:v>Store Queue</x:v>
      </x:c>
      <x:c r="D282" s="76" t="str">
        <x:v>Store Queue 有效未提交表项的 store address/tag 字段。该字段决定最终写入地址，同时参与 store-to-load forwarding 和内存依赖冲突检查。</x:v>
      </x:c>
      <x:c r="E282" s="76" t="str">
        <x:v>单比特翻转</x:v>
      </x:c>
      <x:c r="F282" s="76" t="str">
        <x:v>在有效且未提交的 SQ 表项 address/tag 中翻转 1 bit，store data、byte-enable 和生命周期状态保持不变。只有当故障地址参与 forwarding 比较、冲突检查或最终 cache 写请求时计为 activated；记录是否被 violation/replay 或提交前检查捕获。</x:v>
      </x:c>
      <x:c r="G282" s="76" t="str">
        <x:v>F2</x:v>
      </x:c>
      <x:c r="H282" s="76" t="str">
        <x:v>平均每 100,000 个 eligible events 注入 1 次，间隔加入 ±50% 抖动</x:v>
      </x:c>
      <x:c r="I282" s="76" t="str">
        <x:v>SQLite-Speedtest1 真实应用（B树、事务与完整性检查）</x:v>
      </x:c>
      <x:c r="J282" s="76" t="str">
        <x:v>SQLite-Speedtest1 真实应用（B树、事务与完整性检查）
执行定义与 oracle：SQLite speedtest1 固定数据库与事务脚本；用 PRAGMA integrity_check、查询结果和数据库文件哈希作为 oracle</x:v>
      </x:c>
      <x:c r="K282" s="76" t="str">
        <x:v>SQ 中存在地址已知、尚未提交且之后会被消费的 store</x:v>
      </x:c>
      <x:c r="L282" s="76" t="str">
        <x:v>L0目标寿命与activated；L1 SQ地址、age和状态；L2 forwarding/violation/replay、请求地址；L3实际写入line；L4 commit与内存副作用；L5结局</x:v>
      </x:c>
      <x:c r="M282" s="76" t="str">
        <x:v>大多数随机地址错误应被依赖检查、异常或回放捕获；少数形成合法错址时可能SDC，预期低于合法地址换值模型</x:v>
      </x:c>
      <x:c r="N282" s="76" t="str">
        <x:v>恢复保护机制基线，才能判断S04合法地址替换是否真正绕过了地址/tag通路的检查</x:v>
      </x:c>
      <x:c r="O282" s="76" t="str">
        <x:v>TC'23 对 LQ/SQ 地址类字段的低SDC结果可作直接对照；IISWC'15/HPCA'24提供LSQ背景</x:v>
      </x:c>
      <x:c r="P282" s="78"/>
      <x:c r="Q282" s="78"/>
      <x:c r="R282" s="78"/>
      <x:c r="S282" s="78"/>
      <x:c r="T282" s="78"/>
      <x:c r="U282" s="78"/>
      <x:c r="V282" s="78"/>
      <x:c r="W282" s="78"/>
      <x:c r="X282" s="82" t="str">
        <x:f>IF(OR(R282="",R282=0),"",U282/R282)</x:f>
      </x:c>
      <x:c r="Y282" s="82" t="str">
        <x:f>IF(OR(Q282="",Q282=0),"",R282/Q282)</x:f>
      </x:c>
      <x:c r="Z282" s="80" t="str">
        <x:v>待执行</x:v>
      </x:c>
      <x:c r="AA282" s="78"/>
    </x:row>
    <x:row r="283" ht="188.10000610351562" customHeight="1">
      <x:c r="A283" s="77" t="str">
        <x:v>L01-F0-W1</x:v>
      </x:c>
      <x:c r="B283" s="77" t="str">
        <x:v>L01</x:v>
      </x:c>
      <x:c r="C283" s="77" t="str">
        <x:v>Load Queue</x:v>
      </x:c>
      <x:c r="D283" s="76" t="str">
        <x:v>Load Queue 有效表项的 load address/tag 字段。该字段保存已发射或等待完成的 load 地址，并用于与更老 store 做冲突检测和内存序违规检查。</x:v>
      </x:c>
      <x:c r="E283" s="76" t="str">
        <x:v>单比特翻转</x:v>
      </x:c>
      <x:c r="F283" s="76" t="str">
        <x:v>在有效 LQ 表项的地址/tag 中翻转 1 bit，目标 load 的目的寄存器、访问大小和其他状态不变。仅当故障字段之后参与 store 冲突比较、cache 请求或 violation 检查时计为 activated。</x:v>
      </x:c>
      <x:c r="G283" s="76" t="str">
        <x:v>F0</x:v>
      </x:c>
      <x:c r="H283" s="76" t="str">
        <x:v>每次运行只注入 1 次；在 warm-up 后的 eligible event 中均匀抽样</x:v>
      </x:c>
      <x:c r="I283" s="76" t="str">
        <x:v>MiBench-TC23 论文负载（blowfish、patricia、fft、gsm、dijkstra、rijndael、sha、bitcount、edge、smooth）</x:v>
      </x:c>
      <x:c r="J283" s="76" t="str">
        <x:v>MiBench-TC23 论文负载（blowfish、patricia、fft、gsm、dijkstra、rijndael、sha、bitcount、edge、smooth）
执行定义与 oracle：blowfish、patricia、fft、gsm、dijkstra、rijndael、sha、bitcount、edge、smooth；最大输入集</x:v>
      </x:c>
      <x:c r="K283" s="76" t="str">
        <x:v>LQ 中存在尚未退休且地址已知的有效 load</x:v>
      </x:c>
      <x:c r="L283" s="76" t="str">
        <x:v>L0目标寿命；L1 LQ地址/age/issued状态；L2 cache请求、store冲突、violation/replay；L3返回line；L4目的寄存器与commit；L5结局</x:v>
      </x:c>
      <x:c r="M283" s="76" t="str">
        <x:v>多数故障导致miss、replay或异常；若错误地址仍合法且违规检测未触发，可能把错误load值提交为SDC</x:v>
      </x:c>
      <x:c r="N283" s="76" t="str">
        <x:v>补齐旧版已有而新版完全删除的Load Queue基本存储字段覆盖</x:v>
      </x:c>
      <x:c r="O283" s="76" t="str">
        <x:v>TC'23、HPCA'24 对 LQ 直接注入；指标口径需与SQ分开</x:v>
      </x:c>
      <x:c r="P283" s="78"/>
      <x:c r="Q283" s="78"/>
      <x:c r="R283" s="78"/>
      <x:c r="S283" s="78"/>
      <x:c r="T283" s="78"/>
      <x:c r="U283" s="78"/>
      <x:c r="V283" s="78"/>
      <x:c r="W283" s="78"/>
      <x:c r="X283" s="82" t="str">
        <x:f>IF(OR(R283="",R283=0),"",U283/R283)</x:f>
      </x:c>
      <x:c r="Y283" s="82" t="str">
        <x:f>IF(OR(Q283="",Q283=0),"",R283/Q283)</x:f>
      </x:c>
      <x:c r="Z283" s="80" t="str">
        <x:v>待执行</x:v>
      </x:c>
      <x:c r="AA283" s="78"/>
    </x:row>
    <x:row r="284" ht="188.10000610351562" customHeight="1">
      <x:c r="A284" s="77" t="str">
        <x:v>L01-F0-W5</x:v>
      </x:c>
      <x:c r="B284" s="77" t="str">
        <x:v>L01</x:v>
      </x:c>
      <x:c r="C284" s="77" t="str">
        <x:v>Load Queue</x:v>
      </x:c>
      <x:c r="D284" s="76" t="str">
        <x:v>Load Queue 有效表项的 load address/tag 字段。该字段保存已发射或等待完成的 load 地址，并用于与更老 store 做冲突检测和内存序违规检查。</x:v>
      </x:c>
      <x:c r="E284" s="76" t="str">
        <x:v>单比特翻转</x:v>
      </x:c>
      <x:c r="F284" s="76" t="str">
        <x:v>在有效 LQ 表项的地址/tag 中翻转 1 bit，目标 load 的目的寄存器、访问大小和其他状态不变。仅当故障字段之后参与 store 冲突比较、cache 请求或 violation 检查时计为 activated。</x:v>
      </x:c>
      <x:c r="G284" s="76" t="str">
        <x:v>F0</x:v>
      </x:c>
      <x:c r="H284" s="76" t="str">
        <x:v>每次运行只注入 1 次；在 warm-up 后的 eligible event 中均匀抽样</x:v>
      </x:c>
      <x:c r="I284" s="76" t="str">
        <x:v>SQ-Forward 转发探针（同地址/部分重叠 store-to-load forwarding、字节掩码、alias、replay）</x:v>
      </x:c>
      <x:c r="J284" s="76" t="str">
        <x:v>SQ-Forward 转发探针（同地址/部分重叠 store-to-load forwarding、字节掩码、alias、replay）
执行定义与 oracle：同地址与部分重叠 store-to-load forwarding、不同字节掩码、地址晚到/数据晚到、alias、replay</x:v>
      </x:c>
      <x:c r="K284" s="76" t="str">
        <x:v>LQ 中存在尚未退休且地址已知的有效 load</x:v>
      </x:c>
      <x:c r="L284" s="76" t="str">
        <x:v>L0目标寿命；L1 LQ地址/age/issued状态；L2 cache请求、store冲突、violation/replay；L3返回line；L4目的寄存器与commit；L5结局</x:v>
      </x:c>
      <x:c r="M284" s="76" t="str">
        <x:v>多数故障导致miss、replay或异常；若错误地址仍合法且违规检测未触发，可能把错误load值提交为SDC</x:v>
      </x:c>
      <x:c r="N284" s="76" t="str">
        <x:v>补齐旧版已有而新版完全删除的Load Queue基本存储字段覆盖</x:v>
      </x:c>
      <x:c r="O284" s="76" t="str">
        <x:v>TC'23、HPCA'24 对 LQ 直接注入；指标口径需与SQ分开</x:v>
      </x:c>
      <x:c r="P284" s="78"/>
      <x:c r="Q284" s="78"/>
      <x:c r="R284" s="78"/>
      <x:c r="S284" s="78"/>
      <x:c r="T284" s="78"/>
      <x:c r="U284" s="78"/>
      <x:c r="V284" s="78"/>
      <x:c r="W284" s="78"/>
      <x:c r="X284" s="82" t="str">
        <x:f>IF(OR(R284="",R284=0),"",U284/R284)</x:f>
      </x:c>
      <x:c r="Y284" s="82" t="str">
        <x:f>IF(OR(Q284="",Q284=0),"",R284/Q284)</x:f>
      </x:c>
      <x:c r="Z284" s="80" t="str">
        <x:v>待执行</x:v>
      </x:c>
      <x:c r="AA284" s="78"/>
    </x:row>
    <x:row r="285" ht="188.10000610351562" customHeight="1">
      <x:c r="A285" s="77" t="str">
        <x:v>L01-F0-W12</x:v>
      </x:c>
      <x:c r="B285" s="77" t="str">
        <x:v>L01</x:v>
      </x:c>
      <x:c r="C285" s="77" t="str">
        <x:v>Load Queue</x:v>
      </x:c>
      <x:c r="D285" s="76" t="str">
        <x:v>Load Queue 有效表项的 load address/tag 字段。该字段保存已发射或等待完成的 load 地址，并用于与更老 store 做冲突检测和内存序违规检查。</x:v>
      </x:c>
      <x:c r="E285" s="76" t="str">
        <x:v>单比特翻转</x:v>
      </x:c>
      <x:c r="F285" s="76" t="str">
        <x:v>在有效 LQ 表项的地址/tag 中翻转 1 bit，目标 load 的目的寄存器、访问大小和其他状态不变。仅当故障字段之后参与 store 冲突比较、cache 请求或 violation 检查时计为 activated。</x:v>
      </x:c>
      <x:c r="G285" s="76" t="str">
        <x:v>F0</x:v>
      </x:c>
      <x:c r="H285" s="76" t="str">
        <x:v>每次运行只注入 1 次；在 warm-up 后的 eligible event 中均匀抽样</x:v>
      </x:c>
      <x:c r="I285" s="76" t="str">
        <x:v>SQLite-Speedtest1 真实应用（B树、事务与完整性检查）</x:v>
      </x:c>
      <x:c r="J285" s="76" t="str">
        <x:v>SQLite-Speedtest1 真实应用（B树、事务与完整性检查）
执行定义与 oracle：SQLite speedtest1 固定数据库与事务脚本；用 PRAGMA integrity_check、查询结果和数据库文件哈希作为 oracle</x:v>
      </x:c>
      <x:c r="K285" s="76" t="str">
        <x:v>LQ 中存在尚未退休且地址已知的有效 load</x:v>
      </x:c>
      <x:c r="L285" s="76" t="str">
        <x:v>L0目标寿命；L1 LQ地址/age/issued状态；L2 cache请求、store冲突、violation/replay；L3返回line；L4目的寄存器与commit；L5结局</x:v>
      </x:c>
      <x:c r="M285" s="76" t="str">
        <x:v>多数故障导致miss、replay或异常；若错误地址仍合法且违规检测未触发，可能把错误load值提交为SDC</x:v>
      </x:c>
      <x:c r="N285" s="76" t="str">
        <x:v>补齐旧版已有而新版完全删除的Load Queue基本存储字段覆盖</x:v>
      </x:c>
      <x:c r="O285" s="76" t="str">
        <x:v>TC'23、HPCA'24 对 LQ 直接注入；指标口径需与SQ分开</x:v>
      </x:c>
      <x:c r="P285" s="78"/>
      <x:c r="Q285" s="78"/>
      <x:c r="R285" s="78"/>
      <x:c r="S285" s="78"/>
      <x:c r="T285" s="78"/>
      <x:c r="U285" s="78"/>
      <x:c r="V285" s="78"/>
      <x:c r="W285" s="78"/>
      <x:c r="X285" s="82" t="str">
        <x:f>IF(OR(R285="",R285=0),"",U285/R285)</x:f>
      </x:c>
      <x:c r="Y285" s="82" t="str">
        <x:f>IF(OR(Q285="",Q285=0),"",R285/Q285)</x:f>
      </x:c>
      <x:c r="Z285" s="80" t="str">
        <x:v>待执行</x:v>
      </x:c>
      <x:c r="AA285" s="78"/>
    </x:row>
    <x:row r="286" ht="188.10000610351562" customHeight="1">
      <x:c r="A286" s="77" t="str">
        <x:v>L01-F1-W1</x:v>
      </x:c>
      <x:c r="B286" s="77" t="str">
        <x:v>L01</x:v>
      </x:c>
      <x:c r="C286" s="77" t="str">
        <x:v>Load Queue</x:v>
      </x:c>
      <x:c r="D286" s="76" t="str">
        <x:v>Load Queue 有效表项的 load address/tag 字段。该字段保存已发射或等待完成的 load 地址，并用于与更老 store 做冲突检测和内存序违规检查。</x:v>
      </x:c>
      <x:c r="E286" s="76" t="str">
        <x:v>单比特翻转</x:v>
      </x:c>
      <x:c r="F286" s="76" t="str">
        <x:v>在有效 LQ 表项的地址/tag 中翻转 1 bit，目标 load 的目的寄存器、访问大小和其他状态不变。仅当故障字段之后参与 store 冲突比较、cache 请求或 violation 检查时计为 activated。</x:v>
      </x:c>
      <x:c r="G286" s="76" t="str">
        <x:v>F1</x:v>
      </x:c>
      <x:c r="H286" s="76" t="str">
        <x:v>平均每 1,000,000 个 eligible events 注入 1 次，间隔加入 ±50% 抖动</x:v>
      </x:c>
      <x:c r="I286" s="76" t="str">
        <x:v>MiBench-TC23 论文负载（blowfish、patricia、fft、gsm、dijkstra、rijndael、sha、bitcount、edge、smooth）</x:v>
      </x:c>
      <x:c r="J286" s="76" t="str">
        <x:v>MiBench-TC23 论文负载（blowfish、patricia、fft、gsm、dijkstra、rijndael、sha、bitcount、edge、smooth）
执行定义与 oracle：blowfish、patricia、fft、gsm、dijkstra、rijndael、sha、bitcount、edge、smooth；最大输入集</x:v>
      </x:c>
      <x:c r="K286" s="76" t="str">
        <x:v>LQ 中存在尚未退休且地址已知的有效 load</x:v>
      </x:c>
      <x:c r="L286" s="76" t="str">
        <x:v>L0目标寿命；L1 LQ地址/age/issued状态；L2 cache请求、store冲突、violation/replay；L3返回line；L4目的寄存器与commit；L5结局</x:v>
      </x:c>
      <x:c r="M286" s="76" t="str">
        <x:v>多数故障导致miss、replay或异常；若错误地址仍合法且违规检测未触发，可能把错误load值提交为SDC</x:v>
      </x:c>
      <x:c r="N286" s="76" t="str">
        <x:v>补齐旧版已有而新版完全删除的Load Queue基本存储字段覆盖</x:v>
      </x:c>
      <x:c r="O286" s="76" t="str">
        <x:v>TC'23、HPCA'24 对 LQ 直接注入；指标口径需与SQ分开</x:v>
      </x:c>
      <x:c r="P286" s="78"/>
      <x:c r="Q286" s="78"/>
      <x:c r="R286" s="78"/>
      <x:c r="S286" s="78"/>
      <x:c r="T286" s="78"/>
      <x:c r="U286" s="78"/>
      <x:c r="V286" s="78"/>
      <x:c r="W286" s="78"/>
      <x:c r="X286" s="82" t="str">
        <x:f>IF(OR(R286="",R286=0),"",U286/R286)</x:f>
      </x:c>
      <x:c r="Y286" s="82" t="str">
        <x:f>IF(OR(Q286="",Q286=0),"",R286/Q286)</x:f>
      </x:c>
      <x:c r="Z286" s="80" t="str">
        <x:v>待执行</x:v>
      </x:c>
      <x:c r="AA286" s="78"/>
    </x:row>
    <x:row r="287" ht="188.10000610351562" customHeight="1">
      <x:c r="A287" s="77" t="str">
        <x:v>L01-F1-W5</x:v>
      </x:c>
      <x:c r="B287" s="77" t="str">
        <x:v>L01</x:v>
      </x:c>
      <x:c r="C287" s="77" t="str">
        <x:v>Load Queue</x:v>
      </x:c>
      <x:c r="D287" s="76" t="str">
        <x:v>Load Queue 有效表项的 load address/tag 字段。该字段保存已发射或等待完成的 load 地址，并用于与更老 store 做冲突检测和内存序违规检查。</x:v>
      </x:c>
      <x:c r="E287" s="76" t="str">
        <x:v>单比特翻转</x:v>
      </x:c>
      <x:c r="F287" s="76" t="str">
        <x:v>在有效 LQ 表项的地址/tag 中翻转 1 bit，目标 load 的目的寄存器、访问大小和其他状态不变。仅当故障字段之后参与 store 冲突比较、cache 请求或 violation 检查时计为 activated。</x:v>
      </x:c>
      <x:c r="G287" s="76" t="str">
        <x:v>F1</x:v>
      </x:c>
      <x:c r="H287" s="76" t="str">
        <x:v>平均每 1,000,000 个 eligible events 注入 1 次，间隔加入 ±50% 抖动</x:v>
      </x:c>
      <x:c r="I287" s="76" t="str">
        <x:v>SQ-Forward 转发探针（同地址/部分重叠 store-to-load forwarding、字节掩码、alias、replay）</x:v>
      </x:c>
      <x:c r="J287" s="76" t="str">
        <x:v>SQ-Forward 转发探针（同地址/部分重叠 store-to-load forwarding、字节掩码、alias、replay）
执行定义与 oracle：同地址与部分重叠 store-to-load forwarding、不同字节掩码、地址晚到/数据晚到、alias、replay</x:v>
      </x:c>
      <x:c r="K287" s="76" t="str">
        <x:v>LQ 中存在尚未退休且地址已知的有效 load</x:v>
      </x:c>
      <x:c r="L287" s="76" t="str">
        <x:v>L0目标寿命；L1 LQ地址/age/issued状态；L2 cache请求、store冲突、violation/replay；L3返回line；L4目的寄存器与commit；L5结局</x:v>
      </x:c>
      <x:c r="M287" s="76" t="str">
        <x:v>多数故障导致miss、replay或异常；若错误地址仍合法且违规检测未触发，可能把错误load值提交为SDC</x:v>
      </x:c>
      <x:c r="N287" s="76" t="str">
        <x:v>补齐旧版已有而新版完全删除的Load Queue基本存储字段覆盖</x:v>
      </x:c>
      <x:c r="O287" s="76" t="str">
        <x:v>TC'23、HPCA'24 对 LQ 直接注入；指标口径需与SQ分开</x:v>
      </x:c>
      <x:c r="P287" s="78"/>
      <x:c r="Q287" s="78"/>
      <x:c r="R287" s="78"/>
      <x:c r="S287" s="78"/>
      <x:c r="T287" s="78"/>
      <x:c r="U287" s="78"/>
      <x:c r="V287" s="78"/>
      <x:c r="W287" s="78"/>
      <x:c r="X287" s="82" t="str">
        <x:f>IF(OR(R287="",R287=0),"",U287/R287)</x:f>
      </x:c>
      <x:c r="Y287" s="82" t="str">
        <x:f>IF(OR(Q287="",Q287=0),"",R287/Q287)</x:f>
      </x:c>
      <x:c r="Z287" s="80" t="str">
        <x:v>待执行</x:v>
      </x:c>
      <x:c r="AA287" s="78"/>
    </x:row>
    <x:row r="288" ht="188.10000610351562" customHeight="1">
      <x:c r="A288" s="77" t="str">
        <x:v>L01-F1-W12</x:v>
      </x:c>
      <x:c r="B288" s="77" t="str">
        <x:v>L01</x:v>
      </x:c>
      <x:c r="C288" s="77" t="str">
        <x:v>Load Queue</x:v>
      </x:c>
      <x:c r="D288" s="76" t="str">
        <x:v>Load Queue 有效表项的 load address/tag 字段。该字段保存已发射或等待完成的 load 地址，并用于与更老 store 做冲突检测和内存序违规检查。</x:v>
      </x:c>
      <x:c r="E288" s="76" t="str">
        <x:v>单比特翻转</x:v>
      </x:c>
      <x:c r="F288" s="76" t="str">
        <x:v>在有效 LQ 表项的地址/tag 中翻转 1 bit，目标 load 的目的寄存器、访问大小和其他状态不变。仅当故障字段之后参与 store 冲突比较、cache 请求或 violation 检查时计为 activated。</x:v>
      </x:c>
      <x:c r="G288" s="76" t="str">
        <x:v>F1</x:v>
      </x:c>
      <x:c r="H288" s="76" t="str">
        <x:v>平均每 1,000,000 个 eligible events 注入 1 次，间隔加入 ±50% 抖动</x:v>
      </x:c>
      <x:c r="I288" s="76" t="str">
        <x:v>SQLite-Speedtest1 真实应用（B树、事务与完整性检查）</x:v>
      </x:c>
      <x:c r="J288" s="76" t="str">
        <x:v>SQLite-Speedtest1 真实应用（B树、事务与完整性检查）
执行定义与 oracle：SQLite speedtest1 固定数据库与事务脚本；用 PRAGMA integrity_check、查询结果和数据库文件哈希作为 oracle</x:v>
      </x:c>
      <x:c r="K288" s="76" t="str">
        <x:v>LQ 中存在尚未退休且地址已知的有效 load</x:v>
      </x:c>
      <x:c r="L288" s="76" t="str">
        <x:v>L0目标寿命；L1 LQ地址/age/issued状态；L2 cache请求、store冲突、violation/replay；L3返回line；L4目的寄存器与commit；L5结局</x:v>
      </x:c>
      <x:c r="M288" s="76" t="str">
        <x:v>多数故障导致miss、replay或异常；若错误地址仍合法且违规检测未触发，可能把错误load值提交为SDC</x:v>
      </x:c>
      <x:c r="N288" s="76" t="str">
        <x:v>补齐旧版已有而新版完全删除的Load Queue基本存储字段覆盖</x:v>
      </x:c>
      <x:c r="O288" s="76" t="str">
        <x:v>TC'23、HPCA'24 对 LQ 直接注入；指标口径需与SQ分开</x:v>
      </x:c>
      <x:c r="P288" s="78"/>
      <x:c r="Q288" s="78"/>
      <x:c r="R288" s="78"/>
      <x:c r="S288" s="78"/>
      <x:c r="T288" s="78"/>
      <x:c r="U288" s="78"/>
      <x:c r="V288" s="78"/>
      <x:c r="W288" s="78"/>
      <x:c r="X288" s="82" t="str">
        <x:f>IF(OR(R288="",R288=0),"",U288/R288)</x:f>
      </x:c>
      <x:c r="Y288" s="82" t="str">
        <x:f>IF(OR(Q288="",Q288=0),"",R288/Q288)</x:f>
      </x:c>
      <x:c r="Z288" s="80" t="str">
        <x:v>待执行</x:v>
      </x:c>
      <x:c r="AA288" s="78"/>
    </x:row>
    <x:row r="289" ht="188.10000610351562" customHeight="1">
      <x:c r="A289" s="77" t="str">
        <x:v>L01-F2-W1</x:v>
      </x:c>
      <x:c r="B289" s="77" t="str">
        <x:v>L01</x:v>
      </x:c>
      <x:c r="C289" s="77" t="str">
        <x:v>Load Queue</x:v>
      </x:c>
      <x:c r="D289" s="76" t="str">
        <x:v>Load Queue 有效表项的 load address/tag 字段。该字段保存已发射或等待完成的 load 地址，并用于与更老 store 做冲突检测和内存序违规检查。</x:v>
      </x:c>
      <x:c r="E289" s="76" t="str">
        <x:v>单比特翻转</x:v>
      </x:c>
      <x:c r="F289" s="76" t="str">
        <x:v>在有效 LQ 表项的地址/tag 中翻转 1 bit，目标 load 的目的寄存器、访问大小和其他状态不变。仅当故障字段之后参与 store 冲突比较、cache 请求或 violation 检查时计为 activated。</x:v>
      </x:c>
      <x:c r="G289" s="76" t="str">
        <x:v>F2</x:v>
      </x:c>
      <x:c r="H289" s="76" t="str">
        <x:v>平均每 100,000 个 eligible events 注入 1 次，间隔加入 ±50% 抖动</x:v>
      </x:c>
      <x:c r="I289" s="76" t="str">
        <x:v>MiBench-TC23 论文负载（blowfish、patricia、fft、gsm、dijkstra、rijndael、sha、bitcount、edge、smooth）</x:v>
      </x:c>
      <x:c r="J289" s="76" t="str">
        <x:v>MiBench-TC23 论文负载（blowfish、patricia、fft、gsm、dijkstra、rijndael、sha、bitcount、edge、smooth）
执行定义与 oracle：blowfish、patricia、fft、gsm、dijkstra、rijndael、sha、bitcount、edge、smooth；最大输入集</x:v>
      </x:c>
      <x:c r="K289" s="76" t="str">
        <x:v>LQ 中存在尚未退休且地址已知的有效 load</x:v>
      </x:c>
      <x:c r="L289" s="76" t="str">
        <x:v>L0目标寿命；L1 LQ地址/age/issued状态；L2 cache请求、store冲突、violation/replay；L3返回line；L4目的寄存器与commit；L5结局</x:v>
      </x:c>
      <x:c r="M289" s="76" t="str">
        <x:v>多数故障导致miss、replay或异常；若错误地址仍合法且违规检测未触发，可能把错误load值提交为SDC</x:v>
      </x:c>
      <x:c r="N289" s="76" t="str">
        <x:v>补齐旧版已有而新版完全删除的Load Queue基本存储字段覆盖</x:v>
      </x:c>
      <x:c r="O289" s="76" t="str">
        <x:v>TC'23、HPCA'24 对 LQ 直接注入；指标口径需与SQ分开</x:v>
      </x:c>
      <x:c r="P289" s="78"/>
      <x:c r="Q289" s="78"/>
      <x:c r="R289" s="78"/>
      <x:c r="S289" s="78"/>
      <x:c r="T289" s="78"/>
      <x:c r="U289" s="78"/>
      <x:c r="V289" s="78"/>
      <x:c r="W289" s="78"/>
      <x:c r="X289" s="82" t="str">
        <x:f>IF(OR(R289="",R289=0),"",U289/R289)</x:f>
      </x:c>
      <x:c r="Y289" s="82" t="str">
        <x:f>IF(OR(Q289="",Q289=0),"",R289/Q289)</x:f>
      </x:c>
      <x:c r="Z289" s="80" t="str">
        <x:v>待执行</x:v>
      </x:c>
      <x:c r="AA289" s="78"/>
    </x:row>
    <x:row r="290" ht="188.10000610351562" customHeight="1">
      <x:c r="A290" s="77" t="str">
        <x:v>L01-F2-W5</x:v>
      </x:c>
      <x:c r="B290" s="77" t="str">
        <x:v>L01</x:v>
      </x:c>
      <x:c r="C290" s="77" t="str">
        <x:v>Load Queue</x:v>
      </x:c>
      <x:c r="D290" s="76" t="str">
        <x:v>Load Queue 有效表项的 load address/tag 字段。该字段保存已发射或等待完成的 load 地址，并用于与更老 store 做冲突检测和内存序违规检查。</x:v>
      </x:c>
      <x:c r="E290" s="76" t="str">
        <x:v>单比特翻转</x:v>
      </x:c>
      <x:c r="F290" s="76" t="str">
        <x:v>在有效 LQ 表项的地址/tag 中翻转 1 bit，目标 load 的目的寄存器、访问大小和其他状态不变。仅当故障字段之后参与 store 冲突比较、cache 请求或 violation 检查时计为 activated。</x:v>
      </x:c>
      <x:c r="G290" s="76" t="str">
        <x:v>F2</x:v>
      </x:c>
      <x:c r="H290" s="76" t="str">
        <x:v>平均每 100,000 个 eligible events 注入 1 次，间隔加入 ±50% 抖动</x:v>
      </x:c>
      <x:c r="I290" s="76" t="str">
        <x:v>SQ-Forward 转发探针（同地址/部分重叠 store-to-load forwarding、字节掩码、alias、replay）</x:v>
      </x:c>
      <x:c r="J290" s="76" t="str">
        <x:v>SQ-Forward 转发探针（同地址/部分重叠 store-to-load forwarding、字节掩码、alias、replay）
执行定义与 oracle：同地址与部分重叠 store-to-load forwarding、不同字节掩码、地址晚到/数据晚到、alias、replay</x:v>
      </x:c>
      <x:c r="K290" s="76" t="str">
        <x:v>LQ 中存在尚未退休且地址已知的有效 load</x:v>
      </x:c>
      <x:c r="L290" s="76" t="str">
        <x:v>L0目标寿命；L1 LQ地址/age/issued状态；L2 cache请求、store冲突、violation/replay；L3返回line；L4目的寄存器与commit；L5结局</x:v>
      </x:c>
      <x:c r="M290" s="76" t="str">
        <x:v>多数故障导致miss、replay或异常；若错误地址仍合法且违规检测未触发，可能把错误load值提交为SDC</x:v>
      </x:c>
      <x:c r="N290" s="76" t="str">
        <x:v>补齐旧版已有而新版完全删除的Load Queue基本存储字段覆盖</x:v>
      </x:c>
      <x:c r="O290" s="76" t="str">
        <x:v>TC'23、HPCA'24 对 LQ 直接注入；指标口径需与SQ分开</x:v>
      </x:c>
      <x:c r="P290" s="78"/>
      <x:c r="Q290" s="78"/>
      <x:c r="R290" s="78"/>
      <x:c r="S290" s="78"/>
      <x:c r="T290" s="78"/>
      <x:c r="U290" s="78"/>
      <x:c r="V290" s="78"/>
      <x:c r="W290" s="78"/>
      <x:c r="X290" s="82" t="str">
        <x:f>IF(OR(R290="",R290=0),"",U290/R290)</x:f>
      </x:c>
      <x:c r="Y290" s="82" t="str">
        <x:f>IF(OR(Q290="",Q290=0),"",R290/Q290)</x:f>
      </x:c>
      <x:c r="Z290" s="80" t="str">
        <x:v>待执行</x:v>
      </x:c>
      <x:c r="AA290" s="78"/>
    </x:row>
    <x:row r="291" ht="188.10000610351562" customHeight="1">
      <x:c r="A291" s="77" t="str">
        <x:v>L01-F2-W12</x:v>
      </x:c>
      <x:c r="B291" s="77" t="str">
        <x:v>L01</x:v>
      </x:c>
      <x:c r="C291" s="77" t="str">
        <x:v>Load Queue</x:v>
      </x:c>
      <x:c r="D291" s="76" t="str">
        <x:v>Load Queue 有效表项的 load address/tag 字段。该字段保存已发射或等待完成的 load 地址，并用于与更老 store 做冲突检测和内存序违规检查。</x:v>
      </x:c>
      <x:c r="E291" s="76" t="str">
        <x:v>单比特翻转</x:v>
      </x:c>
      <x:c r="F291" s="76" t="str">
        <x:v>在有效 LQ 表项的地址/tag 中翻转 1 bit，目标 load 的目的寄存器、访问大小和其他状态不变。仅当故障字段之后参与 store 冲突比较、cache 请求或 violation 检查时计为 activated。</x:v>
      </x:c>
      <x:c r="G291" s="76" t="str">
        <x:v>F2</x:v>
      </x:c>
      <x:c r="H291" s="76" t="str">
        <x:v>平均每 100,000 个 eligible events 注入 1 次，间隔加入 ±50% 抖动</x:v>
      </x:c>
      <x:c r="I291" s="76" t="str">
        <x:v>SQLite-Speedtest1 真实应用（B树、事务与完整性检查）</x:v>
      </x:c>
      <x:c r="J291" s="76" t="str">
        <x:v>SQLite-Speedtest1 真实应用（B树、事务与完整性检查）
执行定义与 oracle：SQLite speedtest1 固定数据库与事务脚本；用 PRAGMA integrity_check、查询结果和数据库文件哈希作为 oracle</x:v>
      </x:c>
      <x:c r="K291" s="76" t="str">
        <x:v>LQ 中存在尚未退休且地址已知的有效 load</x:v>
      </x:c>
      <x:c r="L291" s="76" t="str">
        <x:v>L0目标寿命；L1 LQ地址/age/issued状态；L2 cache请求、store冲突、violation/replay；L3返回line；L4目的寄存器与commit；L5结局</x:v>
      </x:c>
      <x:c r="M291" s="76" t="str">
        <x:v>多数故障导致miss、replay或异常；若错误地址仍合法且违规检测未触发，可能把错误load值提交为SDC</x:v>
      </x:c>
      <x:c r="N291" s="76" t="str">
        <x:v>补齐旧版已有而新版完全删除的Load Queue基本存储字段覆盖</x:v>
      </x:c>
      <x:c r="O291" s="76" t="str">
        <x:v>TC'23、HPCA'24 对 LQ 直接注入；指标口径需与SQ分开</x:v>
      </x:c>
      <x:c r="P291" s="78"/>
      <x:c r="Q291" s="78"/>
      <x:c r="R291" s="78"/>
      <x:c r="S291" s="78"/>
      <x:c r="T291" s="78"/>
      <x:c r="U291" s="78"/>
      <x:c r="V291" s="78"/>
      <x:c r="W291" s="78"/>
      <x:c r="X291" s="82" t="str">
        <x:f>IF(OR(R291="",R291=0),"",U291/R291)</x:f>
      </x:c>
      <x:c r="Y291" s="82" t="str">
        <x:f>IF(OR(Q291="",Q291=0),"",R291/Q291)</x:f>
      </x:c>
      <x:c r="Z291" s="80" t="str">
        <x:v>待执行</x:v>
      </x:c>
      <x:c r="AA291" s="78"/>
    </x:row>
    <x:row r="292" ht="188.10000610351562" customHeight="1">
      <x:c r="A292" s="77" t="str">
        <x:v>L02-F0-W5</x:v>
      </x:c>
      <x:c r="B292" s="77" t="str">
        <x:v>L02</x:v>
      </x:c>
      <x:c r="C292" s="77" t="str">
        <x:v>Load Queue</x:v>
      </x:c>
      <x:c r="D292" s="76" t="str">
        <x:v>Load Queue 表项的 valid、issued、completed、squashed 等生命周期状态。它们决定请求能否发出、返回值能否写回以及错误路径表项是否被清除。</x:v>
      </x:c>
      <x:c r="E292" s="76" t="str">
        <x:v>状态</x:v>
      </x:c>
      <x:c r="F292" s="76" t="str">
        <x:v>一次只改变一种状态转换：valid伪造/丢失、issued提前/丢失、completed提前、squashed未清除；不同时修改地址或数据。记录关联 dynamic instruction 和完整状态轨迹。只有故障状态被调度、完成或提交逻辑消费时计为 activated。</x:v>
      </x:c>
      <x:c r="G292" s="76" t="str">
        <x:v>F0</x:v>
      </x:c>
      <x:c r="H292" s="76" t="str">
        <x:v>每次运行只注入 1 次；在 warm-up 后的 eligible event 中均匀抽样</x:v>
      </x:c>
      <x:c r="I292" s="76" t="str">
        <x:v>SQ-Forward 转发探针（同地址/部分重叠 store-to-load forwarding、字节掩码、alias、replay）</x:v>
      </x:c>
      <x:c r="J292" s="76" t="str">
        <x:v>SQ-Forward 转发探针（同地址/部分重叠 store-to-load forwarding、字节掩码、alias、replay）
执行定义与 oracle：同地址与部分重叠 store-to-load forwarding、不同字节掩码、地址晚到/数据晚到、alias、replay</x:v>
      </x:c>
      <x:c r="K292" s="76" t="str">
        <x:v>LQ 表项发生分配、发射、完成或清除状态转换</x:v>
      </x:c>
      <x:c r="L292" s="76" t="str">
        <x:v>L1状态轨迹与占用守恒；L2 issued/dropped/duplicate request；L3返回事务；L4写回、提交和错误路径副作用；L5结局</x:v>
      </x:c>
      <x:c r="M292" s="76" t="str">
        <x:v>completed提前或squashed未清除可能提交陈旧值；valid/issued丢失更常表现为重放、停顿或Timeout</x:v>
      </x:c>
      <x:c r="N292" s="76" t="str">
        <x:v>地址字段不足以代表LQ风险，生命周期错误可绕开单纯的数据完整性检查</x:v>
      </x:c>
      <x:c r="O292" s="76" t="str">
        <x:v>现有LQ文献多集中存储字段，本行为机制扩展</x:v>
      </x:c>
      <x:c r="P292" s="78"/>
      <x:c r="Q292" s="78"/>
      <x:c r="R292" s="78"/>
      <x:c r="S292" s="78"/>
      <x:c r="T292" s="78"/>
      <x:c r="U292" s="78"/>
      <x:c r="V292" s="78"/>
      <x:c r="W292" s="78"/>
      <x:c r="X292" s="82" t="str">
        <x:f>IF(OR(R292="",R292=0),"",U292/R292)</x:f>
      </x:c>
      <x:c r="Y292" s="82" t="str">
        <x:f>IF(OR(Q292="",Q292=0),"",R292/Q292)</x:f>
      </x:c>
      <x:c r="Z292" s="80" t="str">
        <x:v>待执行</x:v>
      </x:c>
      <x:c r="AA292" s="78"/>
    </x:row>
    <x:row r="293" ht="188.10000610351562" customHeight="1">
      <x:c r="A293" s="77" t="str">
        <x:v>L02-F0-W12</x:v>
      </x:c>
      <x:c r="B293" s="77" t="str">
        <x:v>L02</x:v>
      </x:c>
      <x:c r="C293" s="77" t="str">
        <x:v>Load Queue</x:v>
      </x:c>
      <x:c r="D293" s="76" t="str">
        <x:v>Load Queue 表项的 valid、issued、completed、squashed 等生命周期状态。它们决定请求能否发出、返回值能否写回以及错误路径表项是否被清除。</x:v>
      </x:c>
      <x:c r="E293" s="76" t="str">
        <x:v>状态</x:v>
      </x:c>
      <x:c r="F293" s="76" t="str">
        <x:v>一次只改变一种状态转换：valid伪造/丢失、issued提前/丢失、completed提前、squashed未清除；不同时修改地址或数据。记录关联 dynamic instruction 和完整状态轨迹。只有故障状态被调度、完成或提交逻辑消费时计为 activated。</x:v>
      </x:c>
      <x:c r="G293" s="76" t="str">
        <x:v>F0</x:v>
      </x:c>
      <x:c r="H293" s="76" t="str">
        <x:v>每次运行只注入 1 次；在 warm-up 后的 eligible event 中均匀抽样</x:v>
      </x:c>
      <x:c r="I293" s="76" t="str">
        <x:v>SQLite-Speedtest1 真实应用（B树、事务与完整性检查）</x:v>
      </x:c>
      <x:c r="J293" s="76" t="str">
        <x:v>SQLite-Speedtest1 真实应用（B树、事务与完整性检查）
执行定义与 oracle：SQLite speedtest1 固定数据库与事务脚本；用 PRAGMA integrity_check、查询结果和数据库文件哈希作为 oracle</x:v>
      </x:c>
      <x:c r="K293" s="76" t="str">
        <x:v>LQ 表项发生分配、发射、完成或清除状态转换</x:v>
      </x:c>
      <x:c r="L293" s="76" t="str">
        <x:v>L1状态轨迹与占用守恒；L2 issued/dropped/duplicate request；L3返回事务；L4写回、提交和错误路径副作用；L5结局</x:v>
      </x:c>
      <x:c r="M293" s="76" t="str">
        <x:v>completed提前或squashed未清除可能提交陈旧值；valid/issued丢失更常表现为重放、停顿或Timeout</x:v>
      </x:c>
      <x:c r="N293" s="76" t="str">
        <x:v>地址字段不足以代表LQ风险，生命周期错误可绕开单纯的数据完整性检查</x:v>
      </x:c>
      <x:c r="O293" s="76" t="str">
        <x:v>现有LQ文献多集中存储字段，本行为机制扩展</x:v>
      </x:c>
      <x:c r="P293" s="78"/>
      <x:c r="Q293" s="78"/>
      <x:c r="R293" s="78"/>
      <x:c r="S293" s="78"/>
      <x:c r="T293" s="78"/>
      <x:c r="U293" s="78"/>
      <x:c r="V293" s="78"/>
      <x:c r="W293" s="78"/>
      <x:c r="X293" s="82" t="str">
        <x:f>IF(OR(R293="",R293=0),"",U293/R293)</x:f>
      </x:c>
      <x:c r="Y293" s="82" t="str">
        <x:f>IF(OR(Q293="",Q293=0),"",R293/Q293)</x:f>
      </x:c>
      <x:c r="Z293" s="80" t="str">
        <x:v>待执行</x:v>
      </x:c>
      <x:c r="AA293" s="78"/>
    </x:row>
    <x:row r="294" ht="188.10000610351562" customHeight="1">
      <x:c r="A294" s="77" t="str">
        <x:v>L02-F2-W5</x:v>
      </x:c>
      <x:c r="B294" s="77" t="str">
        <x:v>L02</x:v>
      </x:c>
      <x:c r="C294" s="77" t="str">
        <x:v>Load Queue</x:v>
      </x:c>
      <x:c r="D294" s="76" t="str">
        <x:v>Load Queue 表项的 valid、issued、completed、squashed 等生命周期状态。它们决定请求能否发出、返回值能否写回以及错误路径表项是否被清除。</x:v>
      </x:c>
      <x:c r="E294" s="76" t="str">
        <x:v>状态</x:v>
      </x:c>
      <x:c r="F294" s="76" t="str">
        <x:v>一次只改变一种状态转换：valid伪造/丢失、issued提前/丢失、completed提前、squashed未清除；不同时修改地址或数据。记录关联 dynamic instruction 和完整状态轨迹。只有故障状态被调度、完成或提交逻辑消费时计为 activated。</x:v>
      </x:c>
      <x:c r="G294" s="76" t="str">
        <x:v>F2</x:v>
      </x:c>
      <x:c r="H294" s="76" t="str">
        <x:v>平均每 100,000 个 eligible events 注入 1 次，间隔加入 ±50% 抖动</x:v>
      </x:c>
      <x:c r="I294" s="76" t="str">
        <x:v>SQ-Forward 转发探针（同地址/部分重叠 store-to-load forwarding、字节掩码、alias、replay）</x:v>
      </x:c>
      <x:c r="J294" s="76" t="str">
        <x:v>SQ-Forward 转发探针（同地址/部分重叠 store-to-load forwarding、字节掩码、alias、replay）
执行定义与 oracle：同地址与部分重叠 store-to-load forwarding、不同字节掩码、地址晚到/数据晚到、alias、replay</x:v>
      </x:c>
      <x:c r="K294" s="76" t="str">
        <x:v>LQ 表项发生分配、发射、完成或清除状态转换</x:v>
      </x:c>
      <x:c r="L294" s="76" t="str">
        <x:v>L1状态轨迹与占用守恒；L2 issued/dropped/duplicate request；L3返回事务；L4写回、提交和错误路径副作用；L5结局</x:v>
      </x:c>
      <x:c r="M294" s="76" t="str">
        <x:v>completed提前或squashed未清除可能提交陈旧值；valid/issued丢失更常表现为重放、停顿或Timeout</x:v>
      </x:c>
      <x:c r="N294" s="76" t="str">
        <x:v>地址字段不足以代表LQ风险，生命周期错误可绕开单纯的数据完整性检查</x:v>
      </x:c>
      <x:c r="O294" s="76" t="str">
        <x:v>现有LQ文献多集中存储字段，本行为机制扩展</x:v>
      </x:c>
      <x:c r="P294" s="78"/>
      <x:c r="Q294" s="78"/>
      <x:c r="R294" s="78"/>
      <x:c r="S294" s="78"/>
      <x:c r="T294" s="78"/>
      <x:c r="U294" s="78"/>
      <x:c r="V294" s="78"/>
      <x:c r="W294" s="78"/>
      <x:c r="X294" s="82" t="str">
        <x:f>IF(OR(R294="",R294=0),"",U294/R294)</x:f>
      </x:c>
      <x:c r="Y294" s="82" t="str">
        <x:f>IF(OR(Q294="",Q294=0),"",R294/Q294)</x:f>
      </x:c>
      <x:c r="Z294" s="80" t="str">
        <x:v>待执行</x:v>
      </x:c>
      <x:c r="AA294" s="78"/>
    </x:row>
    <x:row r="295" ht="188.10000610351562" customHeight="1">
      <x:c r="A295" s="77" t="str">
        <x:v>L02-F2-W12</x:v>
      </x:c>
      <x:c r="B295" s="77" t="str">
        <x:v>L02</x:v>
      </x:c>
      <x:c r="C295" s="77" t="str">
        <x:v>Load Queue</x:v>
      </x:c>
      <x:c r="D295" s="76" t="str">
        <x:v>Load Queue 表项的 valid、issued、completed、squashed 等生命周期状态。它们决定请求能否发出、返回值能否写回以及错误路径表项是否被清除。</x:v>
      </x:c>
      <x:c r="E295" s="76" t="str">
        <x:v>状态</x:v>
      </x:c>
      <x:c r="F295" s="76" t="str">
        <x:v>一次只改变一种状态转换：valid伪造/丢失、issued提前/丢失、completed提前、squashed未清除；不同时修改地址或数据。记录关联 dynamic instruction 和完整状态轨迹。只有故障状态被调度、完成或提交逻辑消费时计为 activated。</x:v>
      </x:c>
      <x:c r="G295" s="76" t="str">
        <x:v>F2</x:v>
      </x:c>
      <x:c r="H295" s="76" t="str">
        <x:v>平均每 100,000 个 eligible events 注入 1 次，间隔加入 ±50% 抖动</x:v>
      </x:c>
      <x:c r="I295" s="76" t="str">
        <x:v>SQLite-Speedtest1 真实应用（B树、事务与完整性检查）</x:v>
      </x:c>
      <x:c r="J295" s="76" t="str">
        <x:v>SQLite-Speedtest1 真实应用（B树、事务与完整性检查）
执行定义与 oracle：SQLite speedtest1 固定数据库与事务脚本；用 PRAGMA integrity_check、查询结果和数据库文件哈希作为 oracle</x:v>
      </x:c>
      <x:c r="K295" s="76" t="str">
        <x:v>LQ 表项发生分配、发射、完成或清除状态转换</x:v>
      </x:c>
      <x:c r="L295" s="76" t="str">
        <x:v>L1状态轨迹与占用守恒；L2 issued/dropped/duplicate request；L3返回事务；L4写回、提交和错误路径副作用；L5结局</x:v>
      </x:c>
      <x:c r="M295" s="76" t="str">
        <x:v>completed提前或squashed未清除可能提交陈旧值；valid/issued丢失更常表现为重放、停顿或Timeout</x:v>
      </x:c>
      <x:c r="N295" s="76" t="str">
        <x:v>地址字段不足以代表LQ风险，生命周期错误可绕开单纯的数据完整性检查</x:v>
      </x:c>
      <x:c r="O295" s="76" t="str">
        <x:v>现有LQ文献多集中存储字段，本行为机制扩展</x:v>
      </x:c>
      <x:c r="P295" s="78"/>
      <x:c r="Q295" s="78"/>
      <x:c r="R295" s="78"/>
      <x:c r="S295" s="78"/>
      <x:c r="T295" s="78"/>
      <x:c r="U295" s="78"/>
      <x:c r="V295" s="78"/>
      <x:c r="W295" s="78"/>
      <x:c r="X295" s="82" t="str">
        <x:f>IF(OR(R295="",R295=0),"",U295/R295)</x:f>
      </x:c>
      <x:c r="Y295" s="82" t="str">
        <x:f>IF(OR(Q295="",Q295=0),"",R295/Q295)</x:f>
      </x:c>
      <x:c r="Z295" s="80" t="str">
        <x:v>待执行</x:v>
      </x:c>
      <x:c r="AA295" s="78"/>
    </x:row>
    <x:row r="296" ht="188.10000610351562" customHeight="1">
      <x:c r="A296" s="77" t="str">
        <x:v>L02-F6-W5</x:v>
      </x:c>
      <x:c r="B296" s="77" t="str">
        <x:v>L02</x:v>
      </x:c>
      <x:c r="C296" s="77" t="str">
        <x:v>Load Queue</x:v>
      </x:c>
      <x:c r="D296" s="76" t="str">
        <x:v>Load Queue 表项的 valid、issued、completed、squashed 等生命周期状态。它们决定请求能否发出、返回值能否写回以及错误路径表项是否被清除。</x:v>
      </x:c>
      <x:c r="E296" s="76" t="str">
        <x:v>状态</x:v>
      </x:c>
      <x:c r="F296" s="76" t="str">
        <x:v>一次只改变一种状态转换：valid伪造/丢失、issued提前/丢失、completed提前、squashed未清除；不同时修改地址或数据。记录关联 dynamic instruction 和完整状态轨迹。只有故障状态被调度、完成或提交逻辑消费时计为 activated。</x:v>
      </x:c>
      <x:c r="G296" s="76" t="str">
        <x:v>F6</x:v>
      </x:c>
      <x:c r="H296" s="76" t="str">
        <x:v>首次出现指定事件时注入一次；仍以故障值被下游消费作为 activated 判据</x:v>
      </x:c>
      <x:c r="I296" s="76" t="str">
        <x:v>SQ-Forward 转发探针（同地址/部分重叠 store-to-load forwarding、字节掩码、alias、replay）</x:v>
      </x:c>
      <x:c r="J296" s="76" t="str">
        <x:v>SQ-Forward 转发探针（同地址/部分重叠 store-to-load forwarding、字节掩码、alias、replay）
执行定义与 oracle：同地址与部分重叠 store-to-load forwarding、不同字节掩码、地址晚到/数据晚到、alias、replay</x:v>
      </x:c>
      <x:c r="K296" s="76" t="str">
        <x:v>LQ 表项发生分配、发射、完成或清除状态转换</x:v>
      </x:c>
      <x:c r="L296" s="76" t="str">
        <x:v>L1状态轨迹与占用守恒；L2 issued/dropped/duplicate request；L3返回事务；L4写回、提交和错误路径副作用；L5结局</x:v>
      </x:c>
      <x:c r="M296" s="76" t="str">
        <x:v>completed提前或squashed未清除可能提交陈旧值；valid/issued丢失更常表现为重放、停顿或Timeout</x:v>
      </x:c>
      <x:c r="N296" s="76" t="str">
        <x:v>地址字段不足以代表LQ风险，生命周期错误可绕开单纯的数据完整性检查</x:v>
      </x:c>
      <x:c r="O296" s="76" t="str">
        <x:v>现有LQ文献多集中存储字段，本行为机制扩展</x:v>
      </x:c>
      <x:c r="P296" s="78"/>
      <x:c r="Q296" s="78"/>
      <x:c r="R296" s="78"/>
      <x:c r="S296" s="78"/>
      <x:c r="T296" s="78"/>
      <x:c r="U296" s="78"/>
      <x:c r="V296" s="78"/>
      <x:c r="W296" s="78"/>
      <x:c r="X296" s="82" t="str">
        <x:f>IF(OR(R296="",R296=0),"",U296/R296)</x:f>
      </x:c>
      <x:c r="Y296" s="82" t="str">
        <x:f>IF(OR(Q296="",Q296=0),"",R296/Q296)</x:f>
      </x:c>
      <x:c r="Z296" s="80" t="str">
        <x:v>待执行</x:v>
      </x:c>
      <x:c r="AA296" s="78"/>
    </x:row>
    <x:row r="297" ht="188.10000610351562" customHeight="1">
      <x:c r="A297" s="77" t="str">
        <x:v>L02-F6-W12</x:v>
      </x:c>
      <x:c r="B297" s="77" t="str">
        <x:v>L02</x:v>
      </x:c>
      <x:c r="C297" s="77" t="str">
        <x:v>Load Queue</x:v>
      </x:c>
      <x:c r="D297" s="76" t="str">
        <x:v>Load Queue 表项的 valid、issued、completed、squashed 等生命周期状态。它们决定请求能否发出、返回值能否写回以及错误路径表项是否被清除。</x:v>
      </x:c>
      <x:c r="E297" s="76" t="str">
        <x:v>状态</x:v>
      </x:c>
      <x:c r="F297" s="76" t="str">
        <x:v>一次只改变一种状态转换：valid伪造/丢失、issued提前/丢失、completed提前、squashed未清除；不同时修改地址或数据。记录关联 dynamic instruction 和完整状态轨迹。只有故障状态被调度、完成或提交逻辑消费时计为 activated。</x:v>
      </x:c>
      <x:c r="G297" s="76" t="str">
        <x:v>F6</x:v>
      </x:c>
      <x:c r="H297" s="76" t="str">
        <x:v>首次出现指定事件时注入一次；仍以故障值被下游消费作为 activated 判据</x:v>
      </x:c>
      <x:c r="I297" s="76" t="str">
        <x:v>SQLite-Speedtest1 真实应用（B树、事务与完整性检查）</x:v>
      </x:c>
      <x:c r="J297" s="76" t="str">
        <x:v>SQLite-Speedtest1 真实应用（B树、事务与完整性检查）
执行定义与 oracle：SQLite speedtest1 固定数据库与事务脚本；用 PRAGMA integrity_check、查询结果和数据库文件哈希作为 oracle</x:v>
      </x:c>
      <x:c r="K297" s="76" t="str">
        <x:v>LQ 表项发生分配、发射、完成或清除状态转换</x:v>
      </x:c>
      <x:c r="L297" s="76" t="str">
        <x:v>L1状态轨迹与占用守恒；L2 issued/dropped/duplicate request；L3返回事务；L4写回、提交和错误路径副作用；L5结局</x:v>
      </x:c>
      <x:c r="M297" s="76" t="str">
        <x:v>completed提前或squashed未清除可能提交陈旧值；valid/issued丢失更常表现为重放、停顿或Timeout</x:v>
      </x:c>
      <x:c r="N297" s="76" t="str">
        <x:v>地址字段不足以代表LQ风险，生命周期错误可绕开单纯的数据完整性检查</x:v>
      </x:c>
      <x:c r="O297" s="76" t="str">
        <x:v>现有LQ文献多集中存储字段，本行为机制扩展</x:v>
      </x:c>
      <x:c r="P297" s="78"/>
      <x:c r="Q297" s="78"/>
      <x:c r="R297" s="78"/>
      <x:c r="S297" s="78"/>
      <x:c r="T297" s="78"/>
      <x:c r="U297" s="78"/>
      <x:c r="V297" s="78"/>
      <x:c r="W297" s="78"/>
      <x:c r="X297" s="82" t="str">
        <x:f>IF(OR(R297="",R297=0),"",U297/R297)</x:f>
      </x:c>
      <x:c r="Y297" s="82" t="str">
        <x:f>IF(OR(Q297="",Q297=0),"",R297/Q297)</x:f>
      </x:c>
      <x:c r="Z297" s="80" t="str">
        <x:v>待执行</x:v>
      </x:c>
      <x:c r="AA297" s="78"/>
    </x:row>
    <x:row r="298" ht="188.10000610351562" customHeight="1">
      <x:c r="A298" s="77" t="str">
        <x:v>L03-F0-W5</x:v>
      </x:c>
      <x:c r="B298" s="77" t="str">
        <x:v>L03</x:v>
      </x:c>
      <x:c r="C298" s="77" t="str">
        <x:v>Load Queue</x:v>
      </x:c>
      <x:c r="D298" s="76" t="str">
        <x:v>Load Queue 的内存序违规检测与 replay 元数据，包括更老 store 的地址比较结果、violation 标记、replay 原因和重放选择。</x:v>
      </x:c>
      <x:c r="E298" s="76" t="str">
        <x:v>换值/时序</x:v>
      </x:c>
      <x:c r="F298" s="76" t="str">
        <x:v>当年轻 load 已执行而更老 store 地址稍后解析时，制造 false negative violation、丢失一次 replay，或把 replay 目标替换为另一条有效 load。三种子模型独立执行；数据本身不翻转。仅当存在真实或潜在地址冲突时计为 eligible。</x:v>
      </x:c>
      <x:c r="G298" s="76" t="str">
        <x:v>F0</x:v>
      </x:c>
      <x:c r="H298" s="76" t="str">
        <x:v>每次运行只注入 1 次；在 warm-up 后的 eligible event 中均匀抽样</x:v>
      </x:c>
      <x:c r="I298" s="76" t="str">
        <x:v>SQ-Forward 转发探针（同地址/部分重叠 store-to-load forwarding、字节掩码、alias、replay）</x:v>
      </x:c>
      <x:c r="J298" s="76" t="str">
        <x:v>SQ-Forward 转发探针（同地址/部分重叠 store-to-load forwarding、字节掩码、alias、replay）
执行定义与 oracle：同地址与部分重叠 store-to-load forwarding、不同字节掩码、地址晚到/数据晚到、alias、replay</x:v>
      </x:c>
      <x:c r="K298" s="76" t="str">
        <x:v>年轻load先执行且更老store地址在后续周期解析</x:v>
      </x:c>
      <x:c r="L298" s="76" t="str">
        <x:v>L1比较向量与replay队列；L2 violation、replay、load数据来源；L3最终内存可见序；L4提交值；L5结局</x:v>
      </x:c>
      <x:c r="M298" s="76" t="str">
        <x:v>false negative或replay丢失可能让陈旧load值静默提交；false positive主要造成性能下降</x:v>
      </x:c>
      <x:c r="N298" s="76" t="str">
        <x:v>把内存依赖预测错误与最终正确性兜底机制分开，覆盖真正可能把预测错误升级为SDC的路径</x:v>
      </x:c>
      <x:c r="O298" s="76" t="str">
        <x:v>与TC'23所述提交前依赖检查保护机制直接相关；具体逻辑故障缺少现有实测</x:v>
      </x:c>
      <x:c r="P298" s="78"/>
      <x:c r="Q298" s="78"/>
      <x:c r="R298" s="78"/>
      <x:c r="S298" s="78"/>
      <x:c r="T298" s="78"/>
      <x:c r="U298" s="78"/>
      <x:c r="V298" s="78"/>
      <x:c r="W298" s="78"/>
      <x:c r="X298" s="82" t="str">
        <x:f>IF(OR(R298="",R298=0),"",U298/R298)</x:f>
      </x:c>
      <x:c r="Y298" s="82" t="str">
        <x:f>IF(OR(Q298="",Q298=0),"",R298/Q298)</x:f>
      </x:c>
      <x:c r="Z298" s="80" t="str">
        <x:v>待执行</x:v>
      </x:c>
      <x:c r="AA298" s="78"/>
    </x:row>
    <x:row r="299" ht="188.10000610351562" customHeight="1">
      <x:c r="A299" s="77" t="str">
        <x:v>L03-F0-W12</x:v>
      </x:c>
      <x:c r="B299" s="77" t="str">
        <x:v>L03</x:v>
      </x:c>
      <x:c r="C299" s="77" t="str">
        <x:v>Load Queue</x:v>
      </x:c>
      <x:c r="D299" s="76" t="str">
        <x:v>Load Queue 的内存序违规检测与 replay 元数据，包括更老 store 的地址比较结果、violation 标记、replay 原因和重放选择。</x:v>
      </x:c>
      <x:c r="E299" s="76" t="str">
        <x:v>换值/时序</x:v>
      </x:c>
      <x:c r="F299" s="76" t="str">
        <x:v>当年轻 load 已执行而更老 store 地址稍后解析时，制造 false negative violation、丢失一次 replay，或把 replay 目标替换为另一条有效 load。三种子模型独立执行；数据本身不翻转。仅当存在真实或潜在地址冲突时计为 eligible。</x:v>
      </x:c>
      <x:c r="G299" s="76" t="str">
        <x:v>F0</x:v>
      </x:c>
      <x:c r="H299" s="76" t="str">
        <x:v>每次运行只注入 1 次；在 warm-up 后的 eligible event 中均匀抽样</x:v>
      </x:c>
      <x:c r="I299" s="76" t="str">
        <x:v>SQLite-Speedtest1 真实应用（B树、事务与完整性检查）</x:v>
      </x:c>
      <x:c r="J299" s="76" t="str">
        <x:v>SQLite-Speedtest1 真实应用（B树、事务与完整性检查）
执行定义与 oracle：SQLite speedtest1 固定数据库与事务脚本；用 PRAGMA integrity_check、查询结果和数据库文件哈希作为 oracle</x:v>
      </x:c>
      <x:c r="K299" s="76" t="str">
        <x:v>年轻load先执行且更老store地址在后续周期解析</x:v>
      </x:c>
      <x:c r="L299" s="76" t="str">
        <x:v>L1比较向量与replay队列；L2 violation、replay、load数据来源；L3最终内存可见序；L4提交值；L5结局</x:v>
      </x:c>
      <x:c r="M299" s="76" t="str">
        <x:v>false negative或replay丢失可能让陈旧load值静默提交；false positive主要造成性能下降</x:v>
      </x:c>
      <x:c r="N299" s="76" t="str">
        <x:v>把内存依赖预测错误与最终正确性兜底机制分开，覆盖真正可能把预测错误升级为SDC的路径</x:v>
      </x:c>
      <x:c r="O299" s="76" t="str">
        <x:v>与TC'23所述提交前依赖检查保护机制直接相关；具体逻辑故障缺少现有实测</x:v>
      </x:c>
      <x:c r="P299" s="78"/>
      <x:c r="Q299" s="78"/>
      <x:c r="R299" s="78"/>
      <x:c r="S299" s="78"/>
      <x:c r="T299" s="78"/>
      <x:c r="U299" s="78"/>
      <x:c r="V299" s="78"/>
      <x:c r="W299" s="78"/>
      <x:c r="X299" s="82" t="str">
        <x:f>IF(OR(R299="",R299=0),"",U299/R299)</x:f>
      </x:c>
      <x:c r="Y299" s="82" t="str">
        <x:f>IF(OR(Q299="",Q299=0),"",R299/Q299)</x:f>
      </x:c>
      <x:c r="Z299" s="80" t="str">
        <x:v>待执行</x:v>
      </x:c>
      <x:c r="AA299" s="78"/>
    </x:row>
    <x:row r="300" ht="188.10000610351562" customHeight="1">
      <x:c r="A300" s="77" t="str">
        <x:v>L03-F4-W5</x:v>
      </x:c>
      <x:c r="B300" s="77" t="str">
        <x:v>L03</x:v>
      </x:c>
      <x:c r="C300" s="77" t="str">
        <x:v>Load Queue</x:v>
      </x:c>
      <x:c r="D300" s="76" t="str">
        <x:v>Load Queue 的内存序违规检测与 replay 元数据，包括更老 store 的地址比较结果、violation 标记、replay 原因和重放选择。</x:v>
      </x:c>
      <x:c r="E300" s="76" t="str">
        <x:v>换值/时序</x:v>
      </x:c>
      <x:c r="F300" s="76" t="str">
        <x:v>当年轻 load 已执行而更老 store 地址稍后解析时，制造 false negative violation、丢失一次 replay，或把 replay 目标替换为另一条有效 load。三种子模型独立执行；数据本身不翻转。仅当存在真实或潜在地址冲突时计为 eligible。</x:v>
      </x:c>
      <x:c r="G300" s="76" t="str">
        <x:v>F4</x:v>
      </x:c>
      <x:c r="H300" s="76" t="str">
        <x:v>每 100,000 个 eligible events 触发一次，连续污染 2-4 个 eligible events</x:v>
      </x:c>
      <x:c r="I300" s="76" t="str">
        <x:v>SQ-Forward 转发探针（同地址/部分重叠 store-to-load forwarding、字节掩码、alias、replay）</x:v>
      </x:c>
      <x:c r="J300" s="76" t="str">
        <x:v>SQ-Forward 转发探针（同地址/部分重叠 store-to-load forwarding、字节掩码、alias、replay）
执行定义与 oracle：同地址与部分重叠 store-to-load forwarding、不同字节掩码、地址晚到/数据晚到、alias、replay</x:v>
      </x:c>
      <x:c r="K300" s="76" t="str">
        <x:v>年轻load先执行且更老store地址在后续周期解析</x:v>
      </x:c>
      <x:c r="L300" s="76" t="str">
        <x:v>L1比较向量与replay队列；L2 violation、replay、load数据来源；L3最终内存可见序；L4提交值；L5结局</x:v>
      </x:c>
      <x:c r="M300" s="76" t="str">
        <x:v>false negative或replay丢失可能让陈旧load值静默提交；false positive主要造成性能下降</x:v>
      </x:c>
      <x:c r="N300" s="76" t="str">
        <x:v>把内存依赖预测错误与最终正确性兜底机制分开，覆盖真正可能把预测错误升级为SDC的路径</x:v>
      </x:c>
      <x:c r="O300" s="76" t="str">
        <x:v>与TC'23所述提交前依赖检查保护机制直接相关；具体逻辑故障缺少现有实测</x:v>
      </x:c>
      <x:c r="P300" s="78"/>
      <x:c r="Q300" s="78"/>
      <x:c r="R300" s="78"/>
      <x:c r="S300" s="78"/>
      <x:c r="T300" s="78"/>
      <x:c r="U300" s="78"/>
      <x:c r="V300" s="78"/>
      <x:c r="W300" s="78"/>
      <x:c r="X300" s="82" t="str">
        <x:f>IF(OR(R300="",R300=0),"",U300/R300)</x:f>
      </x:c>
      <x:c r="Y300" s="82" t="str">
        <x:f>IF(OR(Q300="",Q300=0),"",R300/Q300)</x:f>
      </x:c>
      <x:c r="Z300" s="80" t="str">
        <x:v>待执行</x:v>
      </x:c>
      <x:c r="AA300" s="78"/>
    </x:row>
    <x:row r="301" ht="188.10000610351562" customHeight="1">
      <x:c r="A301" s="77" t="str">
        <x:v>L03-F4-W12</x:v>
      </x:c>
      <x:c r="B301" s="77" t="str">
        <x:v>L03</x:v>
      </x:c>
      <x:c r="C301" s="77" t="str">
        <x:v>Load Queue</x:v>
      </x:c>
      <x:c r="D301" s="76" t="str">
        <x:v>Load Queue 的内存序违规检测与 replay 元数据，包括更老 store 的地址比较结果、violation 标记、replay 原因和重放选择。</x:v>
      </x:c>
      <x:c r="E301" s="76" t="str">
        <x:v>换值/时序</x:v>
      </x:c>
      <x:c r="F301" s="76" t="str">
        <x:v>当年轻 load 已执行而更老 store 地址稍后解析时，制造 false negative violation、丢失一次 replay，或把 replay 目标替换为另一条有效 load。三种子模型独立执行；数据本身不翻转。仅当存在真实或潜在地址冲突时计为 eligible。</x:v>
      </x:c>
      <x:c r="G301" s="76" t="str">
        <x:v>F4</x:v>
      </x:c>
      <x:c r="H301" s="76" t="str">
        <x:v>每 100,000 个 eligible events 触发一次，连续污染 2-4 个 eligible events</x:v>
      </x:c>
      <x:c r="I301" s="76" t="str">
        <x:v>SQLite-Speedtest1 真实应用（B树、事务与完整性检查）</x:v>
      </x:c>
      <x:c r="J301" s="76" t="str">
        <x:v>SQLite-Speedtest1 真实应用（B树、事务与完整性检查）
执行定义与 oracle：SQLite speedtest1 固定数据库与事务脚本；用 PRAGMA integrity_check、查询结果和数据库文件哈希作为 oracle</x:v>
      </x:c>
      <x:c r="K301" s="76" t="str">
        <x:v>年轻load先执行且更老store地址在后续周期解析</x:v>
      </x:c>
      <x:c r="L301" s="76" t="str">
        <x:v>L1比较向量与replay队列；L2 violation、replay、load数据来源；L3最终内存可见序；L4提交值；L5结局</x:v>
      </x:c>
      <x:c r="M301" s="76" t="str">
        <x:v>false negative或replay丢失可能让陈旧load值静默提交；false positive主要造成性能下降</x:v>
      </x:c>
      <x:c r="N301" s="76" t="str">
        <x:v>把内存依赖预测错误与最终正确性兜底机制分开，覆盖真正可能把预测错误升级为SDC的路径</x:v>
      </x:c>
      <x:c r="O301" s="76" t="str">
        <x:v>与TC'23所述提交前依赖检查保护机制直接相关；具体逻辑故障缺少现有实测</x:v>
      </x:c>
      <x:c r="P301" s="78"/>
      <x:c r="Q301" s="78"/>
      <x:c r="R301" s="78"/>
      <x:c r="S301" s="78"/>
      <x:c r="T301" s="78"/>
      <x:c r="U301" s="78"/>
      <x:c r="V301" s="78"/>
      <x:c r="W301" s="78"/>
      <x:c r="X301" s="82" t="str">
        <x:f>IF(OR(R301="",R301=0),"",U301/R301)</x:f>
      </x:c>
      <x:c r="Y301" s="82" t="str">
        <x:f>IF(OR(Q301="",Q301=0),"",R301/Q301)</x:f>
      </x:c>
      <x:c r="Z301" s="80" t="str">
        <x:v>待执行</x:v>
      </x:c>
      <x:c r="AA301" s="78"/>
    </x:row>
    <x:row r="302" ht="188.10000610351562" customHeight="1">
      <x:c r="A302" s="77" t="str">
        <x:v>L03-F6-W5</x:v>
      </x:c>
      <x:c r="B302" s="77" t="str">
        <x:v>L03</x:v>
      </x:c>
      <x:c r="C302" s="77" t="str">
        <x:v>Load Queue</x:v>
      </x:c>
      <x:c r="D302" s="76" t="str">
        <x:v>Load Queue 的内存序违规检测与 replay 元数据，包括更老 store 的地址比较结果、violation 标记、replay 原因和重放选择。</x:v>
      </x:c>
      <x:c r="E302" s="76" t="str">
        <x:v>换值/时序</x:v>
      </x:c>
      <x:c r="F302" s="76" t="str">
        <x:v>当年轻 load 已执行而更老 store 地址稍后解析时，制造 false negative violation、丢失一次 replay，或把 replay 目标替换为另一条有效 load。三种子模型独立执行；数据本身不翻转。仅当存在真实或潜在地址冲突时计为 eligible。</x:v>
      </x:c>
      <x:c r="G302" s="76" t="str">
        <x:v>F6</x:v>
      </x:c>
      <x:c r="H302" s="76" t="str">
        <x:v>首次出现指定事件时注入一次；仍以故障值被下游消费作为 activated 判据</x:v>
      </x:c>
      <x:c r="I302" s="76" t="str">
        <x:v>SQ-Forward 转发探针（同地址/部分重叠 store-to-load forwarding、字节掩码、alias、replay）</x:v>
      </x:c>
      <x:c r="J302" s="76" t="str">
        <x:v>SQ-Forward 转发探针（同地址/部分重叠 store-to-load forwarding、字节掩码、alias、replay）
执行定义与 oracle：同地址与部分重叠 store-to-load forwarding、不同字节掩码、地址晚到/数据晚到、alias、replay</x:v>
      </x:c>
      <x:c r="K302" s="76" t="str">
        <x:v>年轻load先执行且更老store地址在后续周期解析</x:v>
      </x:c>
      <x:c r="L302" s="76" t="str">
        <x:v>L1比较向量与replay队列；L2 violation、replay、load数据来源；L3最终内存可见序；L4提交值；L5结局</x:v>
      </x:c>
      <x:c r="M302" s="76" t="str">
        <x:v>false negative或replay丢失可能让陈旧load值静默提交；false positive主要造成性能下降</x:v>
      </x:c>
      <x:c r="N302" s="76" t="str">
        <x:v>把内存依赖预测错误与最终正确性兜底机制分开，覆盖真正可能把预测错误升级为SDC的路径</x:v>
      </x:c>
      <x:c r="O302" s="76" t="str">
        <x:v>与TC'23所述提交前依赖检查保护机制直接相关；具体逻辑故障缺少现有实测</x:v>
      </x:c>
      <x:c r="P302" s="78"/>
      <x:c r="Q302" s="78"/>
      <x:c r="R302" s="78"/>
      <x:c r="S302" s="78"/>
      <x:c r="T302" s="78"/>
      <x:c r="U302" s="78"/>
      <x:c r="V302" s="78"/>
      <x:c r="W302" s="78"/>
      <x:c r="X302" s="82" t="str">
        <x:f>IF(OR(R302="",R302=0),"",U302/R302)</x:f>
      </x:c>
      <x:c r="Y302" s="82" t="str">
        <x:f>IF(OR(Q302="",Q302=0),"",R302/Q302)</x:f>
      </x:c>
      <x:c r="Z302" s="80" t="str">
        <x:v>待执行</x:v>
      </x:c>
      <x:c r="AA302" s="78"/>
    </x:row>
    <x:row r="303" ht="188.10000610351562" customHeight="1">
      <x:c r="A303" s="77" t="str">
        <x:v>L03-F6-W12</x:v>
      </x:c>
      <x:c r="B303" s="77" t="str">
        <x:v>L03</x:v>
      </x:c>
      <x:c r="C303" s="77" t="str">
        <x:v>Load Queue</x:v>
      </x:c>
      <x:c r="D303" s="76" t="str">
        <x:v>Load Queue 的内存序违规检测与 replay 元数据，包括更老 store 的地址比较结果、violation 标记、replay 原因和重放选择。</x:v>
      </x:c>
      <x:c r="E303" s="76" t="str">
        <x:v>换值/时序</x:v>
      </x:c>
      <x:c r="F303" s="76" t="str">
        <x:v>当年轻 load 已执行而更老 store 地址稍后解析时，制造 false negative violation、丢失一次 replay，或把 replay 目标替换为另一条有效 load。三种子模型独立执行；数据本身不翻转。仅当存在真实或潜在地址冲突时计为 eligible。</x:v>
      </x:c>
      <x:c r="G303" s="76" t="str">
        <x:v>F6</x:v>
      </x:c>
      <x:c r="H303" s="76" t="str">
        <x:v>首次出现指定事件时注入一次；仍以故障值被下游消费作为 activated 判据</x:v>
      </x:c>
      <x:c r="I303" s="76" t="str">
        <x:v>SQLite-Speedtest1 真实应用（B树、事务与完整性检查）</x:v>
      </x:c>
      <x:c r="J303" s="76" t="str">
        <x:v>SQLite-Speedtest1 真实应用（B树、事务与完整性检查）
执行定义与 oracle：SQLite speedtest1 固定数据库与事务脚本；用 PRAGMA integrity_check、查询结果和数据库文件哈希作为 oracle</x:v>
      </x:c>
      <x:c r="K303" s="76" t="str">
        <x:v>年轻load先执行且更老store地址在后续周期解析</x:v>
      </x:c>
      <x:c r="L303" s="76" t="str">
        <x:v>L1比较向量与replay队列；L2 violation、replay、load数据来源；L3最终内存可见序；L4提交值；L5结局</x:v>
      </x:c>
      <x:c r="M303" s="76" t="str">
        <x:v>false negative或replay丢失可能让陈旧load值静默提交；false positive主要造成性能下降</x:v>
      </x:c>
      <x:c r="N303" s="76" t="str">
        <x:v>把内存依赖预测错误与最终正确性兜底机制分开，覆盖真正可能把预测错误升级为SDC的路径</x:v>
      </x:c>
      <x:c r="O303" s="76" t="str">
        <x:v>与TC'23所述提交前依赖检查保护机制直接相关；具体逻辑故障缺少现有实测</x:v>
      </x:c>
      <x:c r="P303" s="78"/>
      <x:c r="Q303" s="78"/>
      <x:c r="R303" s="78"/>
      <x:c r="S303" s="78"/>
      <x:c r="T303" s="78"/>
      <x:c r="U303" s="78"/>
      <x:c r="V303" s="78"/>
      <x:c r="W303" s="78"/>
      <x:c r="X303" s="82" t="str">
        <x:f>IF(OR(R303="",R303=0),"",U303/R303)</x:f>
      </x:c>
      <x:c r="Y303" s="82" t="str">
        <x:f>IF(OR(Q303="",Q303=0),"",R303/Q303)</x:f>
      </x:c>
      <x:c r="Z303" s="80" t="str">
        <x:v>待执行</x:v>
      </x:c>
      <x:c r="AA303" s="78"/>
    </x:row>
    <x:row r="304" ht="188.10000610351562" customHeight="1">
      <x:c r="A304" s="77" t="str">
        <x:v>L04-F0-W5</x:v>
      </x:c>
      <x:c r="B304" s="77" t="str">
        <x:v>L04</x:v>
      </x:c>
      <x:c r="C304" s="77" t="str">
        <x:v>Load Queue</x:v>
      </x:c>
      <x:c r="D304" s="76" t="str">
        <x:v>cache 返回到 LSU/LQ 的 load response transaction ID、目标动态指令和目的寄存器路由。多个在途 load 返回时必须与原请求一一配对。</x:v>
      </x:c>
      <x:c r="E304" s="76" t="str">
        <x:v>换值</x:v>
      </x:c>
      <x:c r="F304" s="76" t="str">
        <x:v>在至少两个在途 load 时，把返回响应的 transaction ID 或目标动态指令替换为另一当前有效 load 的 ID；返回 data 保持原值。每次只错配一个响应，保存 source/target ID。只有错误响应被写回或参与提交时计为 activated。</x:v>
      </x:c>
      <x:c r="G304" s="76" t="str">
        <x:v>F0</x:v>
      </x:c>
      <x:c r="H304" s="76" t="str">
        <x:v>每次运行只注入 1 次；在 warm-up 后的 eligible event 中均匀抽样</x:v>
      </x:c>
      <x:c r="I304" s="76" t="str">
        <x:v>SQ-Forward 转发探针（同地址/部分重叠 store-to-load forwarding、字节掩码、alias、replay）</x:v>
      </x:c>
      <x:c r="J304" s="76" t="str">
        <x:v>SQ-Forward 转发探针（同地址/部分重叠 store-to-load forwarding、字节掩码、alias、replay）
执行定义与 oracle：同地址与部分重叠 store-to-load forwarding、不同字节掩码、地址晚到/数据晚到、alias、replay</x:v>
      </x:c>
      <x:c r="K304" s="76" t="str">
        <x:v>同时存在至少两个在途load且发生cache response</x:v>
      </x:c>
      <x:c r="L304" s="76" t="str">
        <x:v>L1 LQ目标与response ID；L2请求-响应配对；L3返回line；L4目的寄存器、首个错误commit及扇出；L5结局</x:v>
      </x:c>
      <x:c r="M304" s="76" t="str">
        <x:v>两个响应数据各自合法但送错消费者，异常检测较弱，可能形成高SDC路径</x:v>
      </x:c>
      <x:c r="N304" s="76" t="str">
        <x:v>补足LQ除地址/状态之外的返回配对风险，与MSHR target错配形成端到端对照</x:v>
      </x:c>
      <x:c r="O304" s="76" t="str">
        <x:v>无直接字段级文献；与MSHR/ROB目标错配机制类比</x:v>
      </x:c>
      <x:c r="P304" s="78"/>
      <x:c r="Q304" s="78"/>
      <x:c r="R304" s="78"/>
      <x:c r="S304" s="78"/>
      <x:c r="T304" s="78"/>
      <x:c r="U304" s="78"/>
      <x:c r="V304" s="78"/>
      <x:c r="W304" s="78"/>
      <x:c r="X304" s="82" t="str">
        <x:f>IF(OR(R304="",R304=0),"",U304/R304)</x:f>
      </x:c>
      <x:c r="Y304" s="82" t="str">
        <x:f>IF(OR(Q304="",Q304=0),"",R304/Q304)</x:f>
      </x:c>
      <x:c r="Z304" s="80" t="str">
        <x:v>待执行</x:v>
      </x:c>
      <x:c r="AA304" s="78"/>
    </x:row>
    <x:row r="305" ht="188.10000610351562" customHeight="1">
      <x:c r="A305" s="77" t="str">
        <x:v>L04-F0-W11</x:v>
      </x:c>
      <x:c r="B305" s="77" t="str">
        <x:v>L04</x:v>
      </x:c>
      <x:c r="C305" s="77" t="str">
        <x:v>Load Queue</x:v>
      </x:c>
      <x:c r="D305" s="76" t="str">
        <x:v>cache 返回到 LSU/LQ 的 load response transaction ID、目标动态指令和目的寄存器路由。多个在途 load 返回时必须与原请求一一配对。</x:v>
      </x:c>
      <x:c r="E305" s="76" t="str">
        <x:v>换值</x:v>
      </x:c>
      <x:c r="F305" s="76" t="str">
        <x:v>在至少两个在途 load 时，把返回响应的 transaction ID 或目标动态指令替换为另一当前有效 load 的 ID；返回 data 保持原值。每次只错配一个响应，保存 source/target ID。只有错误响应被写回或参与提交时计为 activated。</x:v>
      </x:c>
      <x:c r="G305" s="76" t="str">
        <x:v>F0</x:v>
      </x:c>
      <x:c r="H305" s="76" t="str">
        <x:v>每次运行只注入 1 次；在 warm-up 后的 eligible event 中均匀抽样</x:v>
      </x:c>
      <x:c r="I305" s="76" t="str">
        <x:v>SPEC CPU2017 采样区间</x:v>
      </x:c>
      <x:c r="J305" s="76" t="str">
        <x:v>SPEC CPU2017 采样区间
执行定义与 oracle：mcf、omnetpp、xalancbmk、lbm 的固定 SimPoint/checkpoint；使用参考输出或结果哈希</x:v>
      </x:c>
      <x:c r="K305" s="76" t="str">
        <x:v>同时存在至少两个在途load且发生cache response</x:v>
      </x:c>
      <x:c r="L305" s="76" t="str">
        <x:v>L1 LQ目标与response ID；L2请求-响应配对；L3返回line；L4目的寄存器、首个错误commit及扇出；L5结局</x:v>
      </x:c>
      <x:c r="M305" s="76" t="str">
        <x:v>两个响应数据各自合法但送错消费者，异常检测较弱，可能形成高SDC路径</x:v>
      </x:c>
      <x:c r="N305" s="76" t="str">
        <x:v>补足LQ除地址/状态之外的返回配对风险，与MSHR target错配形成端到端对照</x:v>
      </x:c>
      <x:c r="O305" s="76" t="str">
        <x:v>无直接字段级文献；与MSHR/ROB目标错配机制类比</x:v>
      </x:c>
      <x:c r="P305" s="78"/>
      <x:c r="Q305" s="78"/>
      <x:c r="R305" s="78"/>
      <x:c r="S305" s="78"/>
      <x:c r="T305" s="78"/>
      <x:c r="U305" s="78"/>
      <x:c r="V305" s="78"/>
      <x:c r="W305" s="78"/>
      <x:c r="X305" s="82" t="str">
        <x:f>IF(OR(R305="",R305=0),"",U305/R305)</x:f>
      </x:c>
      <x:c r="Y305" s="82" t="str">
        <x:f>IF(OR(Q305="",Q305=0),"",R305/Q305)</x:f>
      </x:c>
      <x:c r="Z305" s="80" t="str">
        <x:v>待执行</x:v>
      </x:c>
      <x:c r="AA305" s="78"/>
    </x:row>
    <x:row r="306" ht="188.10000610351562" customHeight="1">
      <x:c r="A306" s="77" t="str">
        <x:v>L04-F0-W12</x:v>
      </x:c>
      <x:c r="B306" s="77" t="str">
        <x:v>L04</x:v>
      </x:c>
      <x:c r="C306" s="77" t="str">
        <x:v>Load Queue</x:v>
      </x:c>
      <x:c r="D306" s="76" t="str">
        <x:v>cache 返回到 LSU/LQ 的 load response transaction ID、目标动态指令和目的寄存器路由。多个在途 load 返回时必须与原请求一一配对。</x:v>
      </x:c>
      <x:c r="E306" s="76" t="str">
        <x:v>换值</x:v>
      </x:c>
      <x:c r="F306" s="76" t="str">
        <x:v>在至少两个在途 load 时，把返回响应的 transaction ID 或目标动态指令替换为另一当前有效 load 的 ID；返回 data 保持原值。每次只错配一个响应，保存 source/target ID。只有错误响应被写回或参与提交时计为 activated。</x:v>
      </x:c>
      <x:c r="G306" s="76" t="str">
        <x:v>F0</x:v>
      </x:c>
      <x:c r="H306" s="76" t="str">
        <x:v>每次运行只注入 1 次；在 warm-up 后的 eligible event 中均匀抽样</x:v>
      </x:c>
      <x:c r="I306" s="76" t="str">
        <x:v>SQLite-Speedtest1 真实应用（B树、事务与完整性检查）</x:v>
      </x:c>
      <x:c r="J306" s="76" t="str">
        <x:v>SQLite-Speedtest1 真实应用（B树、事务与完整性检查）
执行定义与 oracle：SQLite speedtest1 固定数据库与事务脚本；用 PRAGMA integrity_check、查询结果和数据库文件哈希作为 oracle</x:v>
      </x:c>
      <x:c r="K306" s="76" t="str">
        <x:v>同时存在至少两个在途load且发生cache response</x:v>
      </x:c>
      <x:c r="L306" s="76" t="str">
        <x:v>L1 LQ目标与response ID；L2请求-响应配对；L3返回line；L4目的寄存器、首个错误commit及扇出；L5结局</x:v>
      </x:c>
      <x:c r="M306" s="76" t="str">
        <x:v>两个响应数据各自合法但送错消费者，异常检测较弱，可能形成高SDC路径</x:v>
      </x:c>
      <x:c r="N306" s="76" t="str">
        <x:v>补足LQ除地址/状态之外的返回配对风险，与MSHR target错配形成端到端对照</x:v>
      </x:c>
      <x:c r="O306" s="76" t="str">
        <x:v>无直接字段级文献；与MSHR/ROB目标错配机制类比</x:v>
      </x:c>
      <x:c r="P306" s="78"/>
      <x:c r="Q306" s="78"/>
      <x:c r="R306" s="78"/>
      <x:c r="S306" s="78"/>
      <x:c r="T306" s="78"/>
      <x:c r="U306" s="78"/>
      <x:c r="V306" s="78"/>
      <x:c r="W306" s="78"/>
      <x:c r="X306" s="82" t="str">
        <x:f>IF(OR(R306="",R306=0),"",U306/R306)</x:f>
      </x:c>
      <x:c r="Y306" s="82" t="str">
        <x:f>IF(OR(Q306="",Q306=0),"",R306/Q306)</x:f>
      </x:c>
      <x:c r="Z306" s="80" t="str">
        <x:v>待执行</x:v>
      </x:c>
      <x:c r="AA306" s="78"/>
    </x:row>
    <x:row r="307" ht="188.10000610351562" customHeight="1">
      <x:c r="A307" s="77" t="str">
        <x:v>L04-F2-W5</x:v>
      </x:c>
      <x:c r="B307" s="77" t="str">
        <x:v>L04</x:v>
      </x:c>
      <x:c r="C307" s="77" t="str">
        <x:v>Load Queue</x:v>
      </x:c>
      <x:c r="D307" s="76" t="str">
        <x:v>cache 返回到 LSU/LQ 的 load response transaction ID、目标动态指令和目的寄存器路由。多个在途 load 返回时必须与原请求一一配对。</x:v>
      </x:c>
      <x:c r="E307" s="76" t="str">
        <x:v>换值</x:v>
      </x:c>
      <x:c r="F307" s="76" t="str">
        <x:v>在至少两个在途 load 时，把返回响应的 transaction ID 或目标动态指令替换为另一当前有效 load 的 ID；返回 data 保持原值。每次只错配一个响应，保存 source/target ID。只有错误响应被写回或参与提交时计为 activated。</x:v>
      </x:c>
      <x:c r="G307" s="76" t="str">
        <x:v>F2</x:v>
      </x:c>
      <x:c r="H307" s="76" t="str">
        <x:v>平均每 100,000 个 eligible events 注入 1 次，间隔加入 ±50% 抖动</x:v>
      </x:c>
      <x:c r="I307" s="76" t="str">
        <x:v>SQ-Forward 转发探针（同地址/部分重叠 store-to-load forwarding、字节掩码、alias、replay）</x:v>
      </x:c>
      <x:c r="J307" s="76" t="str">
        <x:v>SQ-Forward 转发探针（同地址/部分重叠 store-to-load forwarding、字节掩码、alias、replay）
执行定义与 oracle：同地址与部分重叠 store-to-load forwarding、不同字节掩码、地址晚到/数据晚到、alias、replay</x:v>
      </x:c>
      <x:c r="K307" s="76" t="str">
        <x:v>同时存在至少两个在途load且发生cache response</x:v>
      </x:c>
      <x:c r="L307" s="76" t="str">
        <x:v>L1 LQ目标与response ID；L2请求-响应配对；L3返回line；L4目的寄存器、首个错误commit及扇出；L5结局</x:v>
      </x:c>
      <x:c r="M307" s="76" t="str">
        <x:v>两个响应数据各自合法但送错消费者，异常检测较弱，可能形成高SDC路径</x:v>
      </x:c>
      <x:c r="N307" s="76" t="str">
        <x:v>补足LQ除地址/状态之外的返回配对风险，与MSHR target错配形成端到端对照</x:v>
      </x:c>
      <x:c r="O307" s="76" t="str">
        <x:v>无直接字段级文献；与MSHR/ROB目标错配机制类比</x:v>
      </x:c>
      <x:c r="P307" s="78"/>
      <x:c r="Q307" s="78"/>
      <x:c r="R307" s="78"/>
      <x:c r="S307" s="78"/>
      <x:c r="T307" s="78"/>
      <x:c r="U307" s="78"/>
      <x:c r="V307" s="78"/>
      <x:c r="W307" s="78"/>
      <x:c r="X307" s="82" t="str">
        <x:f>IF(OR(R307="",R307=0),"",U307/R307)</x:f>
      </x:c>
      <x:c r="Y307" s="82" t="str">
        <x:f>IF(OR(Q307="",Q307=0),"",R307/Q307)</x:f>
      </x:c>
      <x:c r="Z307" s="80" t="str">
        <x:v>待执行</x:v>
      </x:c>
      <x:c r="AA307" s="78"/>
    </x:row>
    <x:row r="308" ht="188.10000610351562" customHeight="1">
      <x:c r="A308" s="77" t="str">
        <x:v>L04-F2-W11</x:v>
      </x:c>
      <x:c r="B308" s="77" t="str">
        <x:v>L04</x:v>
      </x:c>
      <x:c r="C308" s="77" t="str">
        <x:v>Load Queue</x:v>
      </x:c>
      <x:c r="D308" s="76" t="str">
        <x:v>cache 返回到 LSU/LQ 的 load response transaction ID、目标动态指令和目的寄存器路由。多个在途 load 返回时必须与原请求一一配对。</x:v>
      </x:c>
      <x:c r="E308" s="76" t="str">
        <x:v>换值</x:v>
      </x:c>
      <x:c r="F308" s="76" t="str">
        <x:v>在至少两个在途 load 时，把返回响应的 transaction ID 或目标动态指令替换为另一当前有效 load 的 ID；返回 data 保持原值。每次只错配一个响应，保存 source/target ID。只有错误响应被写回或参与提交时计为 activated。</x:v>
      </x:c>
      <x:c r="G308" s="76" t="str">
        <x:v>F2</x:v>
      </x:c>
      <x:c r="H308" s="76" t="str">
        <x:v>平均每 100,000 个 eligible events 注入 1 次，间隔加入 ±50% 抖动</x:v>
      </x:c>
      <x:c r="I308" s="76" t="str">
        <x:v>SPEC CPU2017 采样区间</x:v>
      </x:c>
      <x:c r="J308" s="76" t="str">
        <x:v>SPEC CPU2017 采样区间
执行定义与 oracle：mcf、omnetpp、xalancbmk、lbm 的固定 SimPoint/checkpoint；使用参考输出或结果哈希</x:v>
      </x:c>
      <x:c r="K308" s="76" t="str">
        <x:v>同时存在至少两个在途load且发生cache response</x:v>
      </x:c>
      <x:c r="L308" s="76" t="str">
        <x:v>L1 LQ目标与response ID；L2请求-响应配对；L3返回line；L4目的寄存器、首个错误commit及扇出；L5结局</x:v>
      </x:c>
      <x:c r="M308" s="76" t="str">
        <x:v>两个响应数据各自合法但送错消费者，异常检测较弱，可能形成高SDC路径</x:v>
      </x:c>
      <x:c r="N308" s="76" t="str">
        <x:v>补足LQ除地址/状态之外的返回配对风险，与MSHR target错配形成端到端对照</x:v>
      </x:c>
      <x:c r="O308" s="76" t="str">
        <x:v>无直接字段级文献；与MSHR/ROB目标错配机制类比</x:v>
      </x:c>
      <x:c r="P308" s="78"/>
      <x:c r="Q308" s="78"/>
      <x:c r="R308" s="78"/>
      <x:c r="S308" s="78"/>
      <x:c r="T308" s="78"/>
      <x:c r="U308" s="78"/>
      <x:c r="V308" s="78"/>
      <x:c r="W308" s="78"/>
      <x:c r="X308" s="82" t="str">
        <x:f>IF(OR(R308="",R308=0),"",U308/R308)</x:f>
      </x:c>
      <x:c r="Y308" s="82" t="str">
        <x:f>IF(OR(Q308="",Q308=0),"",R308/Q308)</x:f>
      </x:c>
      <x:c r="Z308" s="80" t="str">
        <x:v>待执行</x:v>
      </x:c>
      <x:c r="AA308" s="78"/>
    </x:row>
    <x:row r="309" ht="188.10000610351562" customHeight="1">
      <x:c r="A309" s="77" t="str">
        <x:v>L04-F2-W12</x:v>
      </x:c>
      <x:c r="B309" s="77" t="str">
        <x:v>L04</x:v>
      </x:c>
      <x:c r="C309" s="77" t="str">
        <x:v>Load Queue</x:v>
      </x:c>
      <x:c r="D309" s="76" t="str">
        <x:v>cache 返回到 LSU/LQ 的 load response transaction ID、目标动态指令和目的寄存器路由。多个在途 load 返回时必须与原请求一一配对。</x:v>
      </x:c>
      <x:c r="E309" s="76" t="str">
        <x:v>换值</x:v>
      </x:c>
      <x:c r="F309" s="76" t="str">
        <x:v>在至少两个在途 load 时，把返回响应的 transaction ID 或目标动态指令替换为另一当前有效 load 的 ID；返回 data 保持原值。每次只错配一个响应，保存 source/target ID。只有错误响应被写回或参与提交时计为 activated。</x:v>
      </x:c>
      <x:c r="G309" s="76" t="str">
        <x:v>F2</x:v>
      </x:c>
      <x:c r="H309" s="76" t="str">
        <x:v>平均每 100,000 个 eligible events 注入 1 次，间隔加入 ±50% 抖动</x:v>
      </x:c>
      <x:c r="I309" s="76" t="str">
        <x:v>SQLite-Speedtest1 真实应用（B树、事务与完整性检查）</x:v>
      </x:c>
      <x:c r="J309" s="76" t="str">
        <x:v>SQLite-Speedtest1 真实应用（B树、事务与完整性检查）
执行定义与 oracle：SQLite speedtest1 固定数据库与事务脚本；用 PRAGMA integrity_check、查询结果和数据库文件哈希作为 oracle</x:v>
      </x:c>
      <x:c r="K309" s="76" t="str">
        <x:v>同时存在至少两个在途load且发生cache response</x:v>
      </x:c>
      <x:c r="L309" s="76" t="str">
        <x:v>L1 LQ目标与response ID；L2请求-响应配对；L3返回line；L4目的寄存器、首个错误commit及扇出；L5结局</x:v>
      </x:c>
      <x:c r="M309" s="76" t="str">
        <x:v>两个响应数据各自合法但送错消费者，异常检测较弱，可能形成高SDC路径</x:v>
      </x:c>
      <x:c r="N309" s="76" t="str">
        <x:v>补足LQ除地址/状态之外的返回配对风险，与MSHR target错配形成端到端对照</x:v>
      </x:c>
      <x:c r="O309" s="76" t="str">
        <x:v>无直接字段级文献；与MSHR/ROB目标错配机制类比</x:v>
      </x:c>
      <x:c r="P309" s="78"/>
      <x:c r="Q309" s="78"/>
      <x:c r="R309" s="78"/>
      <x:c r="S309" s="78"/>
      <x:c r="T309" s="78"/>
      <x:c r="U309" s="78"/>
      <x:c r="V309" s="78"/>
      <x:c r="W309" s="78"/>
      <x:c r="X309" s="82" t="str">
        <x:f>IF(OR(R309="",R309=0),"",U309/R309)</x:f>
      </x:c>
      <x:c r="Y309" s="82" t="str">
        <x:f>IF(OR(Q309="",Q309=0),"",R309/Q309)</x:f>
      </x:c>
      <x:c r="Z309" s="80" t="str">
        <x:v>待执行</x:v>
      </x:c>
      <x:c r="AA309" s="78"/>
    </x:row>
    <x:row r="310" ht="188.10000610351562" customHeight="1">
      <x:c r="A310" s="77" t="str">
        <x:v>L04-F6-W5</x:v>
      </x:c>
      <x:c r="B310" s="77" t="str">
        <x:v>L04</x:v>
      </x:c>
      <x:c r="C310" s="77" t="str">
        <x:v>Load Queue</x:v>
      </x:c>
      <x:c r="D310" s="76" t="str">
        <x:v>cache 返回到 LSU/LQ 的 load response transaction ID、目标动态指令和目的寄存器路由。多个在途 load 返回时必须与原请求一一配对。</x:v>
      </x:c>
      <x:c r="E310" s="76" t="str">
        <x:v>换值</x:v>
      </x:c>
      <x:c r="F310" s="76" t="str">
        <x:v>在至少两个在途 load 时，把返回响应的 transaction ID 或目标动态指令替换为另一当前有效 load 的 ID；返回 data 保持原值。每次只错配一个响应，保存 source/target ID。只有错误响应被写回或参与提交时计为 activated。</x:v>
      </x:c>
      <x:c r="G310" s="76" t="str">
        <x:v>F6</x:v>
      </x:c>
      <x:c r="H310" s="76" t="str">
        <x:v>首次出现指定事件时注入一次；仍以故障值被下游消费作为 activated 判据</x:v>
      </x:c>
      <x:c r="I310" s="76" t="str">
        <x:v>SQ-Forward 转发探针（同地址/部分重叠 store-to-load forwarding、字节掩码、alias、replay）</x:v>
      </x:c>
      <x:c r="J310" s="76" t="str">
        <x:v>SQ-Forward 转发探针（同地址/部分重叠 store-to-load forwarding、字节掩码、alias、replay）
执行定义与 oracle：同地址与部分重叠 store-to-load forwarding、不同字节掩码、地址晚到/数据晚到、alias、replay</x:v>
      </x:c>
      <x:c r="K310" s="76" t="str">
        <x:v>同时存在至少两个在途load且发生cache response</x:v>
      </x:c>
      <x:c r="L310" s="76" t="str">
        <x:v>L1 LQ目标与response ID；L2请求-响应配对；L3返回line；L4目的寄存器、首个错误commit及扇出；L5结局</x:v>
      </x:c>
      <x:c r="M310" s="76" t="str">
        <x:v>两个响应数据各自合法但送错消费者，异常检测较弱，可能形成高SDC路径</x:v>
      </x:c>
      <x:c r="N310" s="76" t="str">
        <x:v>补足LQ除地址/状态之外的返回配对风险，与MSHR target错配形成端到端对照</x:v>
      </x:c>
      <x:c r="O310" s="76" t="str">
        <x:v>无直接字段级文献；与MSHR/ROB目标错配机制类比</x:v>
      </x:c>
      <x:c r="P310" s="78"/>
      <x:c r="Q310" s="78"/>
      <x:c r="R310" s="78"/>
      <x:c r="S310" s="78"/>
      <x:c r="T310" s="78"/>
      <x:c r="U310" s="78"/>
      <x:c r="V310" s="78"/>
      <x:c r="W310" s="78"/>
      <x:c r="X310" s="82" t="str">
        <x:f>IF(OR(R310="",R310=0),"",U310/R310)</x:f>
      </x:c>
      <x:c r="Y310" s="82" t="str">
        <x:f>IF(OR(Q310="",Q310=0),"",R310/Q310)</x:f>
      </x:c>
      <x:c r="Z310" s="80" t="str">
        <x:v>待执行</x:v>
      </x:c>
      <x:c r="AA310" s="78"/>
    </x:row>
    <x:row r="311" ht="188.10000610351562" customHeight="1">
      <x:c r="A311" s="77" t="str">
        <x:v>L04-F6-W11</x:v>
      </x:c>
      <x:c r="B311" s="77" t="str">
        <x:v>L04</x:v>
      </x:c>
      <x:c r="C311" s="77" t="str">
        <x:v>Load Queue</x:v>
      </x:c>
      <x:c r="D311" s="76" t="str">
        <x:v>cache 返回到 LSU/LQ 的 load response transaction ID、目标动态指令和目的寄存器路由。多个在途 load 返回时必须与原请求一一配对。</x:v>
      </x:c>
      <x:c r="E311" s="76" t="str">
        <x:v>换值</x:v>
      </x:c>
      <x:c r="F311" s="76" t="str">
        <x:v>在至少两个在途 load 时，把返回响应的 transaction ID 或目标动态指令替换为另一当前有效 load 的 ID；返回 data 保持原值。每次只错配一个响应，保存 source/target ID。只有错误响应被写回或参与提交时计为 activated。</x:v>
      </x:c>
      <x:c r="G311" s="76" t="str">
        <x:v>F6</x:v>
      </x:c>
      <x:c r="H311" s="76" t="str">
        <x:v>首次出现指定事件时注入一次；仍以故障值被下游消费作为 activated 判据</x:v>
      </x:c>
      <x:c r="I311" s="76" t="str">
        <x:v>SPEC CPU2017 采样区间</x:v>
      </x:c>
      <x:c r="J311" s="76" t="str">
        <x:v>SPEC CPU2017 采样区间
执行定义与 oracle：mcf、omnetpp、xalancbmk、lbm 的固定 SimPoint/checkpoint；使用参考输出或结果哈希</x:v>
      </x:c>
      <x:c r="K311" s="76" t="str">
        <x:v>同时存在至少两个在途load且发生cache response</x:v>
      </x:c>
      <x:c r="L311" s="76" t="str">
        <x:v>L1 LQ目标与response ID；L2请求-响应配对；L3返回line；L4目的寄存器、首个错误commit及扇出；L5结局</x:v>
      </x:c>
      <x:c r="M311" s="76" t="str">
        <x:v>两个响应数据各自合法但送错消费者，异常检测较弱，可能形成高SDC路径</x:v>
      </x:c>
      <x:c r="N311" s="76" t="str">
        <x:v>补足LQ除地址/状态之外的返回配对风险，与MSHR target错配形成端到端对照</x:v>
      </x:c>
      <x:c r="O311" s="76" t="str">
        <x:v>无直接字段级文献；与MSHR/ROB目标错配机制类比</x:v>
      </x:c>
      <x:c r="P311" s="78"/>
      <x:c r="Q311" s="78"/>
      <x:c r="R311" s="78"/>
      <x:c r="S311" s="78"/>
      <x:c r="T311" s="78"/>
      <x:c r="U311" s="78"/>
      <x:c r="V311" s="78"/>
      <x:c r="W311" s="78"/>
      <x:c r="X311" s="82" t="str">
        <x:f>IF(OR(R311="",R311=0),"",U311/R311)</x:f>
      </x:c>
      <x:c r="Y311" s="82" t="str">
        <x:f>IF(OR(Q311="",Q311=0),"",R311/Q311)</x:f>
      </x:c>
      <x:c r="Z311" s="80" t="str">
        <x:v>待执行</x:v>
      </x:c>
      <x:c r="AA311" s="78"/>
    </x:row>
    <x:row r="312" ht="188.10000610351562" customHeight="1">
      <x:c r="A312" s="77" t="str">
        <x:v>L04-F6-W12</x:v>
      </x:c>
      <x:c r="B312" s="77" t="str">
        <x:v>L04</x:v>
      </x:c>
      <x:c r="C312" s="77" t="str">
        <x:v>Load Queue</x:v>
      </x:c>
      <x:c r="D312" s="76" t="str">
        <x:v>cache 返回到 LSU/LQ 的 load response transaction ID、目标动态指令和目的寄存器路由。多个在途 load 返回时必须与原请求一一配对。</x:v>
      </x:c>
      <x:c r="E312" s="76" t="str">
        <x:v>换值</x:v>
      </x:c>
      <x:c r="F312" s="76" t="str">
        <x:v>在至少两个在途 load 时，把返回响应的 transaction ID 或目标动态指令替换为另一当前有效 load 的 ID；返回 data 保持原值。每次只错配一个响应，保存 source/target ID。只有错误响应被写回或参与提交时计为 activated。</x:v>
      </x:c>
      <x:c r="G312" s="76" t="str">
        <x:v>F6</x:v>
      </x:c>
      <x:c r="H312" s="76" t="str">
        <x:v>首次出现指定事件时注入一次；仍以故障值被下游消费作为 activated 判据</x:v>
      </x:c>
      <x:c r="I312" s="76" t="str">
        <x:v>SQLite-Speedtest1 真实应用（B树、事务与完整性检查）</x:v>
      </x:c>
      <x:c r="J312" s="76" t="str">
        <x:v>SQLite-Speedtest1 真实应用（B树、事务与完整性检查）
执行定义与 oracle：SQLite speedtest1 固定数据库与事务脚本；用 PRAGMA integrity_check、查询结果和数据库文件哈希作为 oracle</x:v>
      </x:c>
      <x:c r="K312" s="76" t="str">
        <x:v>同时存在至少两个在途load且发生cache response</x:v>
      </x:c>
      <x:c r="L312" s="76" t="str">
        <x:v>L1 LQ目标与response ID；L2请求-响应配对；L3返回line；L4目的寄存器、首个错误commit及扇出；L5结局</x:v>
      </x:c>
      <x:c r="M312" s="76" t="str">
        <x:v>两个响应数据各自合法但送错消费者，异常检测较弱，可能形成高SDC路径</x:v>
      </x:c>
      <x:c r="N312" s="76" t="str">
        <x:v>补足LQ除地址/状态之外的返回配对风险，与MSHR target错配形成端到端对照</x:v>
      </x:c>
      <x:c r="O312" s="76" t="str">
        <x:v>无直接字段级文献；与MSHR/ROB目标错配机制类比</x:v>
      </x:c>
      <x:c r="P312" s="78"/>
      <x:c r="Q312" s="78"/>
      <x:c r="R312" s="78"/>
      <x:c r="S312" s="78"/>
      <x:c r="T312" s="78"/>
      <x:c r="U312" s="78"/>
      <x:c r="V312" s="78"/>
      <x:c r="W312" s="78"/>
      <x:c r="X312" s="82" t="str">
        <x:f>IF(OR(R312="",R312=0),"",U312/R312)</x:f>
      </x:c>
      <x:c r="Y312" s="82" t="str">
        <x:f>IF(OR(Q312="",Q312=0),"",R312/Q312)</x:f>
      </x:c>
      <x:c r="Z312" s="80" t="str">
        <x:v>待执行</x:v>
      </x:c>
      <x:c r="AA312" s="78"/>
    </x:row>
    <x:row r="313" ht="188.10000610351562" customHeight="1">
      <x:c r="A313" s="77" t="str">
        <x:v>C14-F5-W6</x:v>
      </x:c>
      <x:c r="B313" s="77" t="str">
        <x:v>C14</x:v>
      </x:c>
      <x:c r="C313" s="77" t="str">
        <x:v>L1d-Cache</x:v>
      </x:c>
      <x:c r="D313" s="76" t="str">
        <x:v>L1D MSHR 表项的 busy/occupied 状态和释放路径。请求完成后表项应准确释放；状态卡死会逐步耗尽可用 MSHR。</x:v>
      </x:c>
      <x:c r="E313" s="76" t="str">
        <x:v>卡死</x:v>
      </x:c>
      <x:c r="F313" s="76" t="str">
        <x:v>warm-up 后选择一个 MSHR 表项，使 busy/occupied stuck-at-1；对应 miss 正常完成，但表项不回到 free list。每次运行只固定一个表项，并记录实际可用容量、排队长度和是否形成死锁。</x:v>
      </x:c>
      <x:c r="G313" s="76" t="str">
        <x:v>F5</x:v>
      </x:c>
      <x:c r="H313" s="76" t="str">
        <x:v>warm-up 后第一个 eligible event 起持续到运行结束；每次运行仅选一个 bit/字段</x:v>
      </x:c>
      <x:c r="I313" s="76" t="str">
        <x:v>Cache-DirtyEvict 缓存探针（0.5×/1×/2×L1D working set、conflict set、dirty eviction、writeback）</x:v>
      </x:c>
      <x:c r="J313" s="76" t="str">
        <x:v>Cache-DirtyEvict 缓存探针（0.5×/1×/2×L1D working set、conflict set、dirty eviction、writeback）
执行定义与 oracle：working set=0.5×/1×/2×L1D；读改写、dirty eviction、writeback、conflict set、共享行 false sharing</x:v>
      </x:c>
      <x:c r="K313" s="76" t="str">
        <x:v>目标MSHR首次完成并应释放后持续</x:v>
      </x:c>
      <x:c r="L313" s="76" t="str">
        <x:v>L1 MSHR占用与free list；L2 miss发射/阻塞；L3fill完成；L4提交进度；L5性能、Timeout和结局</x:v>
      </x:c>
      <x:c r="M313" s="76" t="str">
        <x:v>主要表现为容量退化和Timeout；若实现错误复用被占用表项，则可能升级为数据错配</x:v>
      </x:c>
      <x:c r="N313" s="76" t="str">
        <x:v>恢复旧版已有的MSHR资源泄漏模型，与C11的数据/target错配分开归因</x:v>
      </x:c>
      <x:c r="O313" s="76" t="str">
        <x:v>无直接文献；资源状态机制推理</x:v>
      </x:c>
      <x:c r="P313" s="78"/>
      <x:c r="Q313" s="78"/>
      <x:c r="R313" s="78"/>
      <x:c r="S313" s="78"/>
      <x:c r="T313" s="78"/>
      <x:c r="U313" s="78"/>
      <x:c r="V313" s="78"/>
      <x:c r="W313" s="78"/>
      <x:c r="X313" s="82" t="str">
        <x:f>IF(OR(R313="",R313=0),"",U313/R313)</x:f>
      </x:c>
      <x:c r="Y313" s="82" t="str">
        <x:f>IF(OR(Q313="",Q313=0),"",R313/Q313)</x:f>
      </x:c>
      <x:c r="Z313" s="80" t="str">
        <x:v>待执行</x:v>
      </x:c>
      <x:c r="AA313" s="78"/>
    </x:row>
    <x:row r="314" ht="188.10000610351562" customHeight="1">
      <x:c r="A314" s="77" t="str">
        <x:v>C14-F5-W10</x:v>
      </x:c>
      <x:c r="B314" s="77" t="str">
        <x:v>C14</x:v>
      </x:c>
      <x:c r="C314" s="77" t="str">
        <x:v>L1d-Cache</x:v>
      </x:c>
      <x:c r="D314" s="76" t="str">
        <x:v>L1D MSHR 表项的 busy/occupied 状态和释放路径。请求完成后表项应准确释放；状态卡死会逐步耗尽可用 MSHR。</x:v>
      </x:c>
      <x:c r="E314" s="76" t="str">
        <x:v>卡死</x:v>
      </x:c>
      <x:c r="F314" s="76" t="str">
        <x:v>warm-up 后选择一个 MSHR 表项，使 busy/occupied stuck-at-1；对应 miss 正常完成，但表项不回到 free list。每次运行只固定一个表项，并记录实际可用容量、排队长度和是否形成死锁。</x:v>
      </x:c>
      <x:c r="G314" s="76" t="str">
        <x:v>F5</x:v>
      </x:c>
      <x:c r="H314" s="76" t="str">
        <x:v>warm-up 后第一个 eligible event 起持续到运行结束；每次运行仅选一个 bit/字段</x:v>
      </x:c>
      <x:c r="I314" s="76" t="str">
        <x:v>STREAM+PointerChase（Copy、Scale、Add、Triad 与随机指针链）</x:v>
      </x:c>
      <x:c r="J314" s="76" t="str">
        <x:v>STREAM+PointerChase（Copy、Scale、Add、Triad 与随机指针链）
执行定义与 oracle：STREAM Copy/Scale/Add/Triad 加随机 pointer chase；检查数组 hash 与遍历节点数</x:v>
      </x:c>
      <x:c r="K314" s="76" t="str">
        <x:v>目标MSHR首次完成并应释放后持续</x:v>
      </x:c>
      <x:c r="L314" s="76" t="str">
        <x:v>L1 MSHR占用与free list；L2 miss发射/阻塞；L3fill完成；L4提交进度；L5性能、Timeout和结局</x:v>
      </x:c>
      <x:c r="M314" s="76" t="str">
        <x:v>主要表现为容量退化和Timeout；若实现错误复用被占用表项，则可能升级为数据错配</x:v>
      </x:c>
      <x:c r="N314" s="76" t="str">
        <x:v>恢复旧版已有的MSHR资源泄漏模型，与C11的数据/target错配分开归因</x:v>
      </x:c>
      <x:c r="O314" s="76" t="str">
        <x:v>无直接文献；资源状态机制推理</x:v>
      </x:c>
      <x:c r="P314" s="78"/>
      <x:c r="Q314" s="78"/>
      <x:c r="R314" s="78"/>
      <x:c r="S314" s="78"/>
      <x:c r="T314" s="78"/>
      <x:c r="U314" s="78"/>
      <x:c r="V314" s="78"/>
      <x:c r="W314" s="78"/>
      <x:c r="X314" s="82" t="str">
        <x:f>IF(OR(R314="",R314=0),"",U314/R314)</x:f>
      </x:c>
      <x:c r="Y314" s="82" t="str">
        <x:f>IF(OR(Q314="",Q314=0),"",R314/Q314)</x:f>
      </x:c>
      <x:c r="Z314" s="80" t="str">
        <x:v>待执行</x:v>
      </x:c>
      <x:c r="AA314" s="78"/>
    </x:row>
    <x:row r="315" ht="188.10000610351562" customHeight="1">
      <x:c r="A315" s="77" t="str">
        <x:v>C15-F0-W6</x:v>
      </x:c>
      <x:c r="B315" s="77" t="str">
        <x:v>C15</x:v>
      </x:c>
      <x:c r="C315" s="77" t="str">
        <x:v>L1d-Cache</x:v>
      </x:c>
      <x:c r="D315" s="76" t="str">
        <x:v>L1D MSHR occupancy counter、free-list 和容量仲裁逻辑。它决定是否允许新 miss 分配以及选择哪个空闲表项。</x:v>
      </x:c>
      <x:c r="E315" s="76" t="str">
        <x:v>状态/换值</x:v>
      </x:c>
      <x:c r="F315" s="76" t="str">
        <x:v>独立执行三种子模型：占用计数±1、在容量已满时伪造空位、free-list选择另一在用表项。仅在仲裁结果真正允许/阻止一次miss分配时计为 activated；不得与C11 target错配同时注入。</x:v>
      </x:c>
      <x:c r="G315" s="76" t="str">
        <x:v>F0</x:v>
      </x:c>
      <x:c r="H315" s="76" t="str">
        <x:v>每次运行只注入 1 次；在 warm-up 后的 eligible event 中均匀抽样</x:v>
      </x:c>
      <x:c r="I315" s="76" t="str">
        <x:v>Cache-DirtyEvict 缓存探针（0.5×/1×/2×L1D working set、conflict set、dirty eviction、writeback）</x:v>
      </x:c>
      <x:c r="J315" s="76" t="str">
        <x:v>Cache-DirtyEvict 缓存探针（0.5×/1×/2×L1D working set、conflict set、dirty eviction、writeback）
执行定义与 oracle：working set=0.5×/1×/2×L1D；读改写、dirty eviction、writeback、conflict set、共享行 false sharing</x:v>
      </x:c>
      <x:c r="K315" s="76" t="str">
        <x:v>MSHR接近或达到容量上限时发生新miss分配</x:v>
      </x:c>
      <x:c r="L315" s="76" t="str">
        <x:v>L1 occupancy/free-list守恒；L2分配、阻塞和覆盖对象；L3fill transaction ID；L4错误load值/停顿；L5结局</x:v>
      </x:c>
      <x:c r="M315" s="76" t="str">
        <x:v>少计可能覆盖在用表项并造成响应错配或SDC；多计主要降低并发度并增加Timeout风险</x:v>
      </x:c>
      <x:c r="N315" s="76" t="str">
        <x:v>补回旧版容量计数逻辑，并显式区分资源记账错误与MSHR内容错误</x:v>
      </x:c>
      <x:c r="O315" s="76" t="str">
        <x:v>无直接文献；MSHR容量和并发miss机制推理</x:v>
      </x:c>
      <x:c r="P315" s="78"/>
      <x:c r="Q315" s="78"/>
      <x:c r="R315" s="78"/>
      <x:c r="S315" s="78"/>
      <x:c r="T315" s="78"/>
      <x:c r="U315" s="78"/>
      <x:c r="V315" s="78"/>
      <x:c r="W315" s="78"/>
      <x:c r="X315" s="82" t="str">
        <x:f>IF(OR(R315="",R315=0),"",U315/R315)</x:f>
      </x:c>
      <x:c r="Y315" s="82" t="str">
        <x:f>IF(OR(Q315="",Q315=0),"",R315/Q315)</x:f>
      </x:c>
      <x:c r="Z315" s="80" t="str">
        <x:v>待执行</x:v>
      </x:c>
      <x:c r="AA315" s="78"/>
    </x:row>
    <x:row r="316" ht="188.10000610351562" customHeight="1">
      <x:c r="A316" s="77" t="str">
        <x:v>C15-F0-W10</x:v>
      </x:c>
      <x:c r="B316" s="77" t="str">
        <x:v>C15</x:v>
      </x:c>
      <x:c r="C316" s="77" t="str">
        <x:v>L1d-Cache</x:v>
      </x:c>
      <x:c r="D316" s="76" t="str">
        <x:v>L1D MSHR occupancy counter、free-list 和容量仲裁逻辑。它决定是否允许新 miss 分配以及选择哪个空闲表项。</x:v>
      </x:c>
      <x:c r="E316" s="76" t="str">
        <x:v>状态/换值</x:v>
      </x:c>
      <x:c r="F316" s="76" t="str">
        <x:v>独立执行三种子模型：占用计数±1、在容量已满时伪造空位、free-list选择另一在用表项。仅在仲裁结果真正允许/阻止一次miss分配时计为 activated；不得与C11 target错配同时注入。</x:v>
      </x:c>
      <x:c r="G316" s="76" t="str">
        <x:v>F0</x:v>
      </x:c>
      <x:c r="H316" s="76" t="str">
        <x:v>每次运行只注入 1 次；在 warm-up 后的 eligible event 中均匀抽样</x:v>
      </x:c>
      <x:c r="I316" s="76" t="str">
        <x:v>STREAM+PointerChase（Copy、Scale、Add、Triad 与随机指针链）</x:v>
      </x:c>
      <x:c r="J316" s="76" t="str">
        <x:v>STREAM+PointerChase（Copy、Scale、Add、Triad 与随机指针链）
执行定义与 oracle：STREAM Copy/Scale/Add/Triad 加随机 pointer chase；检查数组 hash 与遍历节点数</x:v>
      </x:c>
      <x:c r="K316" s="76" t="str">
        <x:v>MSHR接近或达到容量上限时发生新miss分配</x:v>
      </x:c>
      <x:c r="L316" s="76" t="str">
        <x:v>L1 occupancy/free-list守恒；L2分配、阻塞和覆盖对象；L3fill transaction ID；L4错误load值/停顿；L5结局</x:v>
      </x:c>
      <x:c r="M316" s="76" t="str">
        <x:v>少计可能覆盖在用表项并造成响应错配或SDC；多计主要降低并发度并增加Timeout风险</x:v>
      </x:c>
      <x:c r="N316" s="76" t="str">
        <x:v>补回旧版容量计数逻辑，并显式区分资源记账错误与MSHR内容错误</x:v>
      </x:c>
      <x:c r="O316" s="76" t="str">
        <x:v>无直接文献；MSHR容量和并发miss机制推理</x:v>
      </x:c>
      <x:c r="P316" s="78"/>
      <x:c r="Q316" s="78"/>
      <x:c r="R316" s="78"/>
      <x:c r="S316" s="78"/>
      <x:c r="T316" s="78"/>
      <x:c r="U316" s="78"/>
      <x:c r="V316" s="78"/>
      <x:c r="W316" s="78"/>
      <x:c r="X316" s="82" t="str">
        <x:f>IF(OR(R316="",R316=0),"",U316/R316)</x:f>
      </x:c>
      <x:c r="Y316" s="82" t="str">
        <x:f>IF(OR(Q316="",Q316=0),"",R316/Q316)</x:f>
      </x:c>
      <x:c r="Z316" s="80" t="str">
        <x:v>待执行</x:v>
      </x:c>
      <x:c r="AA316" s="78"/>
    </x:row>
    <x:row r="317" ht="188.10000610351562" customHeight="1">
      <x:c r="A317" s="77" t="str">
        <x:v>C15-F0-W11</x:v>
      </x:c>
      <x:c r="B317" s="77" t="str">
        <x:v>C15</x:v>
      </x:c>
      <x:c r="C317" s="77" t="str">
        <x:v>L1d-Cache</x:v>
      </x:c>
      <x:c r="D317" s="76" t="str">
        <x:v>L1D MSHR occupancy counter、free-list 和容量仲裁逻辑。它决定是否允许新 miss 分配以及选择哪个空闲表项。</x:v>
      </x:c>
      <x:c r="E317" s="76" t="str">
        <x:v>状态/换值</x:v>
      </x:c>
      <x:c r="F317" s="76" t="str">
        <x:v>独立执行三种子模型：占用计数±1、在容量已满时伪造空位、free-list选择另一在用表项。仅在仲裁结果真正允许/阻止一次miss分配时计为 activated；不得与C11 target错配同时注入。</x:v>
      </x:c>
      <x:c r="G317" s="76" t="str">
        <x:v>F0</x:v>
      </x:c>
      <x:c r="H317" s="76" t="str">
        <x:v>每次运行只注入 1 次；在 warm-up 后的 eligible event 中均匀抽样</x:v>
      </x:c>
      <x:c r="I317" s="76" t="str">
        <x:v>SPEC CPU2017 采样区间</x:v>
      </x:c>
      <x:c r="J317" s="76" t="str">
        <x:v>SPEC CPU2017 采样区间
执行定义与 oracle：mcf、omnetpp、xalancbmk、lbm 的固定 SimPoint/checkpoint；使用参考输出或结果哈希</x:v>
      </x:c>
      <x:c r="K317" s="76" t="str">
        <x:v>MSHR接近或达到容量上限时发生新miss分配</x:v>
      </x:c>
      <x:c r="L317" s="76" t="str">
        <x:v>L1 occupancy/free-list守恒；L2分配、阻塞和覆盖对象；L3fill transaction ID；L4错误load值/停顿；L5结局</x:v>
      </x:c>
      <x:c r="M317" s="76" t="str">
        <x:v>少计可能覆盖在用表项并造成响应错配或SDC；多计主要降低并发度并增加Timeout风险</x:v>
      </x:c>
      <x:c r="N317" s="76" t="str">
        <x:v>补回旧版容量计数逻辑，并显式区分资源记账错误与MSHR内容错误</x:v>
      </x:c>
      <x:c r="O317" s="76" t="str">
        <x:v>无直接文献；MSHR容量和并发miss机制推理</x:v>
      </x:c>
      <x:c r="P317" s="78"/>
      <x:c r="Q317" s="78"/>
      <x:c r="R317" s="78"/>
      <x:c r="S317" s="78"/>
      <x:c r="T317" s="78"/>
      <x:c r="U317" s="78"/>
      <x:c r="V317" s="78"/>
      <x:c r="W317" s="78"/>
      <x:c r="X317" s="82" t="str">
        <x:f>IF(OR(R317="",R317=0),"",U317/R317)</x:f>
      </x:c>
      <x:c r="Y317" s="82" t="str">
        <x:f>IF(OR(Q317="",Q317=0),"",R317/Q317)</x:f>
      </x:c>
      <x:c r="Z317" s="80" t="str">
        <x:v>待执行</x:v>
      </x:c>
      <x:c r="AA317" s="78"/>
    </x:row>
    <x:row r="318" ht="188.10000610351562" customHeight="1">
      <x:c r="A318" s="77" t="str">
        <x:v>C15-F4-W6</x:v>
      </x:c>
      <x:c r="B318" s="77" t="str">
        <x:v>C15</x:v>
      </x:c>
      <x:c r="C318" s="77" t="str">
        <x:v>L1d-Cache</x:v>
      </x:c>
      <x:c r="D318" s="76" t="str">
        <x:v>L1D MSHR occupancy counter、free-list 和容量仲裁逻辑。它决定是否允许新 miss 分配以及选择哪个空闲表项。</x:v>
      </x:c>
      <x:c r="E318" s="76" t="str">
        <x:v>状态/换值</x:v>
      </x:c>
      <x:c r="F318" s="76" t="str">
        <x:v>独立执行三种子模型：占用计数±1、在容量已满时伪造空位、free-list选择另一在用表项。仅在仲裁结果真正允许/阻止一次miss分配时计为 activated；不得与C11 target错配同时注入。</x:v>
      </x:c>
      <x:c r="G318" s="76" t="str">
        <x:v>F4</x:v>
      </x:c>
      <x:c r="H318" s="76" t="str">
        <x:v>每 100,000 个 eligible events 触发一次，连续污染 2-4 个 eligible events</x:v>
      </x:c>
      <x:c r="I318" s="76" t="str">
        <x:v>Cache-DirtyEvict 缓存探针（0.5×/1×/2×L1D working set、conflict set、dirty eviction、writeback）</x:v>
      </x:c>
      <x:c r="J318" s="76" t="str">
        <x:v>Cache-DirtyEvict 缓存探针（0.5×/1×/2×L1D working set、conflict set、dirty eviction、writeback）
执行定义与 oracle：working set=0.5×/1×/2×L1D；读改写、dirty eviction、writeback、conflict set、共享行 false sharing</x:v>
      </x:c>
      <x:c r="K318" s="76" t="str">
        <x:v>MSHR接近或达到容量上限时发生新miss分配</x:v>
      </x:c>
      <x:c r="L318" s="76" t="str">
        <x:v>L1 occupancy/free-list守恒；L2分配、阻塞和覆盖对象；L3fill transaction ID；L4错误load值/停顿；L5结局</x:v>
      </x:c>
      <x:c r="M318" s="76" t="str">
        <x:v>少计可能覆盖在用表项并造成响应错配或SDC；多计主要降低并发度并增加Timeout风险</x:v>
      </x:c>
      <x:c r="N318" s="76" t="str">
        <x:v>补回旧版容量计数逻辑，并显式区分资源记账错误与MSHR内容错误</x:v>
      </x:c>
      <x:c r="O318" s="76" t="str">
        <x:v>无直接文献；MSHR容量和并发miss机制推理</x:v>
      </x:c>
      <x:c r="P318" s="78"/>
      <x:c r="Q318" s="78"/>
      <x:c r="R318" s="78"/>
      <x:c r="S318" s="78"/>
      <x:c r="T318" s="78"/>
      <x:c r="U318" s="78"/>
      <x:c r="V318" s="78"/>
      <x:c r="W318" s="78"/>
      <x:c r="X318" s="82" t="str">
        <x:f>IF(OR(R318="",R318=0),"",U318/R318)</x:f>
      </x:c>
      <x:c r="Y318" s="82" t="str">
        <x:f>IF(OR(Q318="",Q318=0),"",R318/Q318)</x:f>
      </x:c>
      <x:c r="Z318" s="80" t="str">
        <x:v>待执行</x:v>
      </x:c>
      <x:c r="AA318" s="78"/>
    </x:row>
    <x:row r="319" ht="188.10000610351562" customHeight="1">
      <x:c r="A319" s="77" t="str">
        <x:v>C15-F4-W10</x:v>
      </x:c>
      <x:c r="B319" s="77" t="str">
        <x:v>C15</x:v>
      </x:c>
      <x:c r="C319" s="77" t="str">
        <x:v>L1d-Cache</x:v>
      </x:c>
      <x:c r="D319" s="76" t="str">
        <x:v>L1D MSHR occupancy counter、free-list 和容量仲裁逻辑。它决定是否允许新 miss 分配以及选择哪个空闲表项。</x:v>
      </x:c>
      <x:c r="E319" s="76" t="str">
        <x:v>状态/换值</x:v>
      </x:c>
      <x:c r="F319" s="76" t="str">
        <x:v>独立执行三种子模型：占用计数±1、在容量已满时伪造空位、free-list选择另一在用表项。仅在仲裁结果真正允许/阻止一次miss分配时计为 activated；不得与C11 target错配同时注入。</x:v>
      </x:c>
      <x:c r="G319" s="76" t="str">
        <x:v>F4</x:v>
      </x:c>
      <x:c r="H319" s="76" t="str">
        <x:v>每 100,000 个 eligible events 触发一次，连续污染 2-4 个 eligible events</x:v>
      </x:c>
      <x:c r="I319" s="76" t="str">
        <x:v>STREAM+PointerChase（Copy、Scale、Add、Triad 与随机指针链）</x:v>
      </x:c>
      <x:c r="J319" s="76" t="str">
        <x:v>STREAM+PointerChase（Copy、Scale、Add、Triad 与随机指针链）
执行定义与 oracle：STREAM Copy/Scale/Add/Triad 加随机 pointer chase；检查数组 hash 与遍历节点数</x:v>
      </x:c>
      <x:c r="K319" s="76" t="str">
        <x:v>MSHR接近或达到容量上限时发生新miss分配</x:v>
      </x:c>
      <x:c r="L319" s="76" t="str">
        <x:v>L1 occupancy/free-list守恒；L2分配、阻塞和覆盖对象；L3fill transaction ID；L4错误load值/停顿；L5结局</x:v>
      </x:c>
      <x:c r="M319" s="76" t="str">
        <x:v>少计可能覆盖在用表项并造成响应错配或SDC；多计主要降低并发度并增加Timeout风险</x:v>
      </x:c>
      <x:c r="N319" s="76" t="str">
        <x:v>补回旧版容量计数逻辑，并显式区分资源记账错误与MSHR内容错误</x:v>
      </x:c>
      <x:c r="O319" s="76" t="str">
        <x:v>无直接文献；MSHR容量和并发miss机制推理</x:v>
      </x:c>
      <x:c r="P319" s="78"/>
      <x:c r="Q319" s="78"/>
      <x:c r="R319" s="78"/>
      <x:c r="S319" s="78"/>
      <x:c r="T319" s="78"/>
      <x:c r="U319" s="78"/>
      <x:c r="V319" s="78"/>
      <x:c r="W319" s="78"/>
      <x:c r="X319" s="82" t="str">
        <x:f>IF(OR(R319="",R319=0),"",U319/R319)</x:f>
      </x:c>
      <x:c r="Y319" s="82" t="str">
        <x:f>IF(OR(Q319="",Q319=0),"",R319/Q319)</x:f>
      </x:c>
      <x:c r="Z319" s="80" t="str">
        <x:v>待执行</x:v>
      </x:c>
      <x:c r="AA319" s="78"/>
    </x:row>
    <x:row r="320" ht="188.10000610351562" customHeight="1">
      <x:c r="A320" s="77" t="str">
        <x:v>C15-F4-W11</x:v>
      </x:c>
      <x:c r="B320" s="77" t="str">
        <x:v>C15</x:v>
      </x:c>
      <x:c r="C320" s="77" t="str">
        <x:v>L1d-Cache</x:v>
      </x:c>
      <x:c r="D320" s="76" t="str">
        <x:v>L1D MSHR occupancy counter、free-list 和容量仲裁逻辑。它决定是否允许新 miss 分配以及选择哪个空闲表项。</x:v>
      </x:c>
      <x:c r="E320" s="76" t="str">
        <x:v>状态/换值</x:v>
      </x:c>
      <x:c r="F320" s="76" t="str">
        <x:v>独立执行三种子模型：占用计数±1、在容量已满时伪造空位、free-list选择另一在用表项。仅在仲裁结果真正允许/阻止一次miss分配时计为 activated；不得与C11 target错配同时注入。</x:v>
      </x:c>
      <x:c r="G320" s="76" t="str">
        <x:v>F4</x:v>
      </x:c>
      <x:c r="H320" s="76" t="str">
        <x:v>每 100,000 个 eligible events 触发一次，连续污染 2-4 个 eligible events</x:v>
      </x:c>
      <x:c r="I320" s="76" t="str">
        <x:v>SPEC CPU2017 采样区间</x:v>
      </x:c>
      <x:c r="J320" s="76" t="str">
        <x:v>SPEC CPU2017 采样区间
执行定义与 oracle：mcf、omnetpp、xalancbmk、lbm 的固定 SimPoint/checkpoint；使用参考输出或结果哈希</x:v>
      </x:c>
      <x:c r="K320" s="76" t="str">
        <x:v>MSHR接近或达到容量上限时发生新miss分配</x:v>
      </x:c>
      <x:c r="L320" s="76" t="str">
        <x:v>L1 occupancy/free-list守恒；L2分配、阻塞和覆盖对象；L3fill transaction ID；L4错误load值/停顿；L5结局</x:v>
      </x:c>
      <x:c r="M320" s="76" t="str">
        <x:v>少计可能覆盖在用表项并造成响应错配或SDC；多计主要降低并发度并增加Timeout风险</x:v>
      </x:c>
      <x:c r="N320" s="76" t="str">
        <x:v>补回旧版容量计数逻辑，并显式区分资源记账错误与MSHR内容错误</x:v>
      </x:c>
      <x:c r="O320" s="76" t="str">
        <x:v>无直接文献；MSHR容量和并发miss机制推理</x:v>
      </x:c>
      <x:c r="P320" s="78"/>
      <x:c r="Q320" s="78"/>
      <x:c r="R320" s="78"/>
      <x:c r="S320" s="78"/>
      <x:c r="T320" s="78"/>
      <x:c r="U320" s="78"/>
      <x:c r="V320" s="78"/>
      <x:c r="W320" s="78"/>
      <x:c r="X320" s="82" t="str">
        <x:f>IF(OR(R320="",R320=0),"",U320/R320)</x:f>
      </x:c>
      <x:c r="Y320" s="82" t="str">
        <x:f>IF(OR(Q320="",Q320=0),"",R320/Q320)</x:f>
      </x:c>
      <x:c r="Z320" s="80" t="str">
        <x:v>待执行</x:v>
      </x:c>
      <x:c r="AA320" s="78"/>
    </x:row>
    <x:row r="321" ht="188.10000610351562" customHeight="1">
      <x:c r="A321" s="77" t="str">
        <x:v>C15-F6-W6</x:v>
      </x:c>
      <x:c r="B321" s="77" t="str">
        <x:v>C15</x:v>
      </x:c>
      <x:c r="C321" s="77" t="str">
        <x:v>L1d-Cache</x:v>
      </x:c>
      <x:c r="D321" s="76" t="str">
        <x:v>L1D MSHR occupancy counter、free-list 和容量仲裁逻辑。它决定是否允许新 miss 分配以及选择哪个空闲表项。</x:v>
      </x:c>
      <x:c r="E321" s="76" t="str">
        <x:v>状态/换值</x:v>
      </x:c>
      <x:c r="F321" s="76" t="str">
        <x:v>独立执行三种子模型：占用计数±1、在容量已满时伪造空位、free-list选择另一在用表项。仅在仲裁结果真正允许/阻止一次miss分配时计为 activated；不得与C11 target错配同时注入。</x:v>
      </x:c>
      <x:c r="G321" s="76" t="str">
        <x:v>F6</x:v>
      </x:c>
      <x:c r="H321" s="76" t="str">
        <x:v>首次出现指定事件时注入一次；仍以故障值被下游消费作为 activated 判据</x:v>
      </x:c>
      <x:c r="I321" s="76" t="str">
        <x:v>Cache-DirtyEvict 缓存探针（0.5×/1×/2×L1D working set、conflict set、dirty eviction、writeback）</x:v>
      </x:c>
      <x:c r="J321" s="76" t="str">
        <x:v>Cache-DirtyEvict 缓存探针（0.5×/1×/2×L1D working set、conflict set、dirty eviction、writeback）
执行定义与 oracle：working set=0.5×/1×/2×L1D；读改写、dirty eviction、writeback、conflict set、共享行 false sharing</x:v>
      </x:c>
      <x:c r="K321" s="76" t="str">
        <x:v>MSHR接近或达到容量上限时发生新miss分配</x:v>
      </x:c>
      <x:c r="L321" s="76" t="str">
        <x:v>L1 occupancy/free-list守恒；L2分配、阻塞和覆盖对象；L3fill transaction ID；L4错误load值/停顿；L5结局</x:v>
      </x:c>
      <x:c r="M321" s="76" t="str">
        <x:v>少计可能覆盖在用表项并造成响应错配或SDC；多计主要降低并发度并增加Timeout风险</x:v>
      </x:c>
      <x:c r="N321" s="76" t="str">
        <x:v>补回旧版容量计数逻辑，并显式区分资源记账错误与MSHR内容错误</x:v>
      </x:c>
      <x:c r="O321" s="76" t="str">
        <x:v>无直接文献；MSHR容量和并发miss机制推理</x:v>
      </x:c>
      <x:c r="P321" s="78"/>
      <x:c r="Q321" s="78"/>
      <x:c r="R321" s="78"/>
      <x:c r="S321" s="78"/>
      <x:c r="T321" s="78"/>
      <x:c r="U321" s="78"/>
      <x:c r="V321" s="78"/>
      <x:c r="W321" s="78"/>
      <x:c r="X321" s="82" t="str">
        <x:f>IF(OR(R321="",R321=0),"",U321/R321)</x:f>
      </x:c>
      <x:c r="Y321" s="82" t="str">
        <x:f>IF(OR(Q321="",Q321=0),"",R321/Q321)</x:f>
      </x:c>
      <x:c r="Z321" s="80" t="str">
        <x:v>待执行</x:v>
      </x:c>
      <x:c r="AA321" s="78"/>
    </x:row>
    <x:row r="322" ht="188.10000610351562" customHeight="1">
      <x:c r="A322" s="77" t="str">
        <x:v>C15-F6-W10</x:v>
      </x:c>
      <x:c r="B322" s="77" t="str">
        <x:v>C15</x:v>
      </x:c>
      <x:c r="C322" s="77" t="str">
        <x:v>L1d-Cache</x:v>
      </x:c>
      <x:c r="D322" s="76" t="str">
        <x:v>L1D MSHR occupancy counter、free-list 和容量仲裁逻辑。它决定是否允许新 miss 分配以及选择哪个空闲表项。</x:v>
      </x:c>
      <x:c r="E322" s="76" t="str">
        <x:v>状态/换值</x:v>
      </x:c>
      <x:c r="F322" s="76" t="str">
        <x:v>独立执行三种子模型：占用计数±1、在容量已满时伪造空位、free-list选择另一在用表项。仅在仲裁结果真正允许/阻止一次miss分配时计为 activated；不得与C11 target错配同时注入。</x:v>
      </x:c>
      <x:c r="G322" s="76" t="str">
        <x:v>F6</x:v>
      </x:c>
      <x:c r="H322" s="76" t="str">
        <x:v>首次出现指定事件时注入一次；仍以故障值被下游消费作为 activated 判据</x:v>
      </x:c>
      <x:c r="I322" s="76" t="str">
        <x:v>STREAM+PointerChase（Copy、Scale、Add、Triad 与随机指针链）</x:v>
      </x:c>
      <x:c r="J322" s="76" t="str">
        <x:v>STREAM+PointerChase（Copy、Scale、Add、Triad 与随机指针链）
执行定义与 oracle：STREAM Copy/Scale/Add/Triad 加随机 pointer chase；检查数组 hash 与遍历节点数</x:v>
      </x:c>
      <x:c r="K322" s="76" t="str">
        <x:v>MSHR接近或达到容量上限时发生新miss分配</x:v>
      </x:c>
      <x:c r="L322" s="76" t="str">
        <x:v>L1 occupancy/free-list守恒；L2分配、阻塞和覆盖对象；L3fill transaction ID；L4错误load值/停顿；L5结局</x:v>
      </x:c>
      <x:c r="M322" s="76" t="str">
        <x:v>少计可能覆盖在用表项并造成响应错配或SDC；多计主要降低并发度并增加Timeout风险</x:v>
      </x:c>
      <x:c r="N322" s="76" t="str">
        <x:v>补回旧版容量计数逻辑，并显式区分资源记账错误与MSHR内容错误</x:v>
      </x:c>
      <x:c r="O322" s="76" t="str">
        <x:v>无直接文献；MSHR容量和并发miss机制推理</x:v>
      </x:c>
      <x:c r="P322" s="78"/>
      <x:c r="Q322" s="78"/>
      <x:c r="R322" s="78"/>
      <x:c r="S322" s="78"/>
      <x:c r="T322" s="78"/>
      <x:c r="U322" s="78"/>
      <x:c r="V322" s="78"/>
      <x:c r="W322" s="78"/>
      <x:c r="X322" s="82" t="str">
        <x:f>IF(OR(R322="",R322=0),"",U322/R322)</x:f>
      </x:c>
      <x:c r="Y322" s="82" t="str">
        <x:f>IF(OR(Q322="",Q322=0),"",R322/Q322)</x:f>
      </x:c>
      <x:c r="Z322" s="80" t="str">
        <x:v>待执行</x:v>
      </x:c>
      <x:c r="AA322" s="78"/>
    </x:row>
    <x:row r="323" ht="188.10000610351562" customHeight="1">
      <x:c r="A323" s="77" t="str">
        <x:v>C15-F6-W11</x:v>
      </x:c>
      <x:c r="B323" s="77" t="str">
        <x:v>C15</x:v>
      </x:c>
      <x:c r="C323" s="77" t="str">
        <x:v>L1d-Cache</x:v>
      </x:c>
      <x:c r="D323" s="76" t="str">
        <x:v>L1D MSHR occupancy counter、free-list 和容量仲裁逻辑。它决定是否允许新 miss 分配以及选择哪个空闲表项。</x:v>
      </x:c>
      <x:c r="E323" s="76" t="str">
        <x:v>状态/换值</x:v>
      </x:c>
      <x:c r="F323" s="76" t="str">
        <x:v>独立执行三种子模型：占用计数±1、在容量已满时伪造空位、free-list选择另一在用表项。仅在仲裁结果真正允许/阻止一次miss分配时计为 activated；不得与C11 target错配同时注入。</x:v>
      </x:c>
      <x:c r="G323" s="76" t="str">
        <x:v>F6</x:v>
      </x:c>
      <x:c r="H323" s="76" t="str">
        <x:v>首次出现指定事件时注入一次；仍以故障值被下游消费作为 activated 判据</x:v>
      </x:c>
      <x:c r="I323" s="76" t="str">
        <x:v>SPEC CPU2017 采样区间</x:v>
      </x:c>
      <x:c r="J323" s="76" t="str">
        <x:v>SPEC CPU2017 采样区间
执行定义与 oracle：mcf、omnetpp、xalancbmk、lbm 的固定 SimPoint/checkpoint；使用参考输出或结果哈希</x:v>
      </x:c>
      <x:c r="K323" s="76" t="str">
        <x:v>MSHR接近或达到容量上限时发生新miss分配</x:v>
      </x:c>
      <x:c r="L323" s="76" t="str">
        <x:v>L1 occupancy/free-list守恒；L2分配、阻塞和覆盖对象；L3fill transaction ID；L4错误load值/停顿；L5结局</x:v>
      </x:c>
      <x:c r="M323" s="76" t="str">
        <x:v>少计可能覆盖在用表项并造成响应错配或SDC；多计主要降低并发度并增加Timeout风险</x:v>
      </x:c>
      <x:c r="N323" s="76" t="str">
        <x:v>补回旧版容量计数逻辑，并显式区分资源记账错误与MSHR内容错误</x:v>
      </x:c>
      <x:c r="O323" s="76" t="str">
        <x:v>无直接文献；MSHR容量和并发miss机制推理</x:v>
      </x:c>
      <x:c r="P323" s="78"/>
      <x:c r="Q323" s="78"/>
      <x:c r="R323" s="78"/>
      <x:c r="S323" s="78"/>
      <x:c r="T323" s="78"/>
      <x:c r="U323" s="78"/>
      <x:c r="V323" s="78"/>
      <x:c r="W323" s="78"/>
      <x:c r="X323" s="82" t="str">
        <x:f>IF(OR(R323="",R323=0),"",U323/R323)</x:f>
      </x:c>
      <x:c r="Y323" s="82" t="str">
        <x:f>IF(OR(Q323="",Q323=0),"",R323/Q323)</x:f>
      </x:c>
      <x:c r="Z323" s="80" t="str">
        <x:v>待执行</x:v>
      </x:c>
      <x:c r="AA323" s="78"/>
    </x:row>
    <x:row r="324" ht="188.10000610351562" customHeight="1">
      <x:c r="A324" s="77" t="str">
        <x:v>O09-F0-W7</x:v>
      </x:c>
      <x:c r="B324" s="77" t="str">
        <x:v>O09</x:v>
      </x:c>
      <x:c r="C324" s="77" t="str">
        <x:v>原子与同步</x:v>
      </x:c>
      <x:c r="D324" s="76" t="str">
        <x:v>LSE 原子 RMW 指令的 compare、replacement、addend、old-value 或 result 数据锁存器。该位置保存原子操作真实参与计算或返回软件的数据。</x:v>
      </x:c>
      <x:c r="E324" s="76" t="str">
        <x:v>单比特翻转</x:v>
      </x:c>
      <x:c r="F324" s="76" t="str">
        <x:v>在一次 CAS/SWP/LDADD 等原子操作中，只对一个操作数或结果锁存器翻转 1 bit；地址、操作码、成功状态和事务时序不变。compare/replacement/addend/old-value 分开统计。仅当故障值参与比较、写内存或返回软件时计为 activated。</x:v>
      </x:c>
      <x:c r="G324" s="76" t="str">
        <x:v>F0</x:v>
      </x:c>
      <x:c r="H324" s="76" t="str">
        <x:v>每次运行只注入 1 次；在 warm-up 后的 eligible event 中均匀抽样</x:v>
      </x:c>
      <x:c r="I324" s="76" t="str">
        <x:v>Atomic-Litmus 并发探针（MP、SB、LB、IRIW、Dekker、ticket lock、CAS counter、LDXR/STXR）</x:v>
      </x:c>
      <x:c r="J324" s="76" t="str">
        <x:v>Atomic-Litmus 并发探针（MP、SB、LB、IRIW、Dekker、ticket lock、CAS counter、LDXR/STXR）
执行定义与 oracle：MP、SB、LB、IRIW、Dekker、ticket lock、CAS counter、LDXR/STXR 竞争；每轮检查禁出现结果</x:v>
      </x:c>
      <x:c r="K324" s="76" t="str">
        <x:v>CAS/SWP/LDADD 等原子操作进入执行或返回阶段</x:v>
      </x:c>
      <x:c r="L324" s="76" t="str">
        <x:v>L1正确/故障操作数；L2原子请求和成功判定；L3内存更新与全局可见序；L4返回寄存器、共享变量和锁状态；L5结局</x:v>
      </x:c>
      <x:c r="M324" s="76" t="str">
        <x:v>可能造成错误比较、错误更新或错误返回，通常不触发地址异常；在复杂同步负载中可表现为lost update、死锁或SDC</x:v>
      </x:c>
      <x:c r="N324" s="76" t="str">
        <x:v>恢复旧版最基本的原子数据瞬态基线，使O04结构化MUX错选有可比较对象</x:v>
      </x:c>
      <x:c r="O324" s="76" t="str">
        <x:v>本地论文缺少原子单元直接结果；属于必要基础故障模型</x:v>
      </x:c>
      <x:c r="P324" s="78"/>
      <x:c r="Q324" s="78"/>
      <x:c r="R324" s="78"/>
      <x:c r="S324" s="78"/>
      <x:c r="T324" s="78"/>
      <x:c r="U324" s="78"/>
      <x:c r="V324" s="78"/>
      <x:c r="W324" s="78"/>
      <x:c r="X324" s="82" t="str">
        <x:f>IF(OR(R324="",R324=0),"",U324/R324)</x:f>
      </x:c>
      <x:c r="Y324" s="82" t="str">
        <x:f>IF(OR(Q324="",Q324=0),"",R324/Q324)</x:f>
      </x:c>
      <x:c r="Z324" s="80" t="str">
        <x:v>待执行</x:v>
      </x:c>
      <x:c r="AA324" s="78"/>
    </x:row>
    <x:row r="325" ht="188.10000610351562" customHeight="1">
      <x:c r="A325" s="77" t="str">
        <x:v>O09-F0-W13</x:v>
      </x:c>
      <x:c r="B325" s="77" t="str">
        <x:v>O09</x:v>
      </x:c>
      <x:c r="C325" s="77" t="str">
        <x:v>原子与同步</x:v>
      </x:c>
      <x:c r="D325" s="76" t="str">
        <x:v>LSE 原子 RMW 指令的 compare、replacement、addend、old-value 或 result 数据锁存器。该位置保存原子操作真实参与计算或返回软件的数据。</x:v>
      </x:c>
      <x:c r="E325" s="76" t="str">
        <x:v>单比特翻转</x:v>
      </x:c>
      <x:c r="F325" s="76" t="str">
        <x:v>在一次 CAS/SWP/LDADD 等原子操作中，只对一个操作数或结果锁存器翻转 1 bit；地址、操作码、成功状态和事务时序不变。compare/replacement/addend/old-value 分开统计。仅当故障值参与比较、写内存或返回软件时计为 activated。</x:v>
      </x:c>
      <x:c r="G325" s="76" t="str">
        <x:v>F0</x:v>
      </x:c>
      <x:c r="H325" s="76" t="str">
        <x:v>每次运行只注入 1 次；在 warm-up 后的 eligible event 中均匀抽样</x:v>
      </x:c>
      <x:c r="I325" s="76" t="str">
        <x:v>PARSEC-Selected 多线程应用（共享队列、锁与任务并行）</x:v>
      </x:c>
      <x:c r="J325" s="76" t="str">
        <x:v>PARSEC-Selected 多线程应用（共享队列、锁与任务并行）
执行定义与 oracle：PARSEC 中选 dedup、ferret、streamcluster 等共享队列/锁密集程序；固定线程数与输入，核对参考输出和结果哈希</x:v>
      </x:c>
      <x:c r="K325" s="76" t="str">
        <x:v>CAS/SWP/LDADD 等原子操作进入执行或返回阶段</x:v>
      </x:c>
      <x:c r="L325" s="76" t="str">
        <x:v>L1正确/故障操作数；L2原子请求和成功判定；L3内存更新与全局可见序；L4返回寄存器、共享变量和锁状态；L5结局</x:v>
      </x:c>
      <x:c r="M325" s="76" t="str">
        <x:v>可能造成错误比较、错误更新或错误返回，通常不触发地址异常；在复杂同步负载中可表现为lost update、死锁或SDC</x:v>
      </x:c>
      <x:c r="N325" s="76" t="str">
        <x:v>恢复旧版最基本的原子数据瞬态基线，使O04结构化MUX错选有可比较对象</x:v>
      </x:c>
      <x:c r="O325" s="76" t="str">
        <x:v>本地论文缺少原子单元直接结果；属于必要基础故障模型</x:v>
      </x:c>
      <x:c r="P325" s="78"/>
      <x:c r="Q325" s="78"/>
      <x:c r="R325" s="78"/>
      <x:c r="S325" s="78"/>
      <x:c r="T325" s="78"/>
      <x:c r="U325" s="78"/>
      <x:c r="V325" s="78"/>
      <x:c r="W325" s="78"/>
      <x:c r="X325" s="82" t="str">
        <x:f>IF(OR(R325="",R325=0),"",U325/R325)</x:f>
      </x:c>
      <x:c r="Y325" s="82" t="str">
        <x:f>IF(OR(Q325="",Q325=0),"",R325/Q325)</x:f>
      </x:c>
      <x:c r="Z325" s="80" t="str">
        <x:v>待执行</x:v>
      </x:c>
      <x:c r="AA325" s="78"/>
    </x:row>
    <x:row r="326" ht="188.10000610351562" customHeight="1">
      <x:c r="A326" s="77" t="str">
        <x:v>O09-F1-W7</x:v>
      </x:c>
      <x:c r="B326" s="77" t="str">
        <x:v>O09</x:v>
      </x:c>
      <x:c r="C326" s="77" t="str">
        <x:v>原子与同步</x:v>
      </x:c>
      <x:c r="D326" s="76" t="str">
        <x:v>LSE 原子 RMW 指令的 compare、replacement、addend、old-value 或 result 数据锁存器。该位置保存原子操作真实参与计算或返回软件的数据。</x:v>
      </x:c>
      <x:c r="E326" s="76" t="str">
        <x:v>单比特翻转</x:v>
      </x:c>
      <x:c r="F326" s="76" t="str">
        <x:v>在一次 CAS/SWP/LDADD 等原子操作中，只对一个操作数或结果锁存器翻转 1 bit；地址、操作码、成功状态和事务时序不变。compare/replacement/addend/old-value 分开统计。仅当故障值参与比较、写内存或返回软件时计为 activated。</x:v>
      </x:c>
      <x:c r="G326" s="76" t="str">
        <x:v>F1</x:v>
      </x:c>
      <x:c r="H326" s="76" t="str">
        <x:v>平均每 1,000,000 个 eligible events 注入 1 次，间隔加入 ±50% 抖动</x:v>
      </x:c>
      <x:c r="I326" s="76" t="str">
        <x:v>Atomic-Litmus 并发探针（MP、SB、LB、IRIW、Dekker、ticket lock、CAS counter、LDXR/STXR）</x:v>
      </x:c>
      <x:c r="J326" s="76" t="str">
        <x:v>Atomic-Litmus 并发探针（MP、SB、LB、IRIW、Dekker、ticket lock、CAS counter、LDXR/STXR）
执行定义与 oracle：MP、SB、LB、IRIW、Dekker、ticket lock、CAS counter、LDXR/STXR 竞争；每轮检查禁出现结果</x:v>
      </x:c>
      <x:c r="K326" s="76" t="str">
        <x:v>CAS/SWP/LDADD 等原子操作进入执行或返回阶段</x:v>
      </x:c>
      <x:c r="L326" s="76" t="str">
        <x:v>L1正确/故障操作数；L2原子请求和成功判定；L3内存更新与全局可见序；L4返回寄存器、共享变量和锁状态；L5结局</x:v>
      </x:c>
      <x:c r="M326" s="76" t="str">
        <x:v>可能造成错误比较、错误更新或错误返回，通常不触发地址异常；在复杂同步负载中可表现为lost update、死锁或SDC</x:v>
      </x:c>
      <x:c r="N326" s="76" t="str">
        <x:v>恢复旧版最基本的原子数据瞬态基线，使O04结构化MUX错选有可比较对象</x:v>
      </x:c>
      <x:c r="O326" s="76" t="str">
        <x:v>本地论文缺少原子单元直接结果；属于必要基础故障模型</x:v>
      </x:c>
      <x:c r="P326" s="78"/>
      <x:c r="Q326" s="78"/>
      <x:c r="R326" s="78"/>
      <x:c r="S326" s="78"/>
      <x:c r="T326" s="78"/>
      <x:c r="U326" s="78"/>
      <x:c r="V326" s="78"/>
      <x:c r="W326" s="78"/>
      <x:c r="X326" s="82" t="str">
        <x:f>IF(OR(R326="",R326=0),"",U326/R326)</x:f>
      </x:c>
      <x:c r="Y326" s="82" t="str">
        <x:f>IF(OR(Q326="",Q326=0),"",R326/Q326)</x:f>
      </x:c>
      <x:c r="Z326" s="80" t="str">
        <x:v>待执行</x:v>
      </x:c>
      <x:c r="AA326" s="78"/>
    </x:row>
    <x:row r="327" ht="188.10000610351562" customHeight="1">
      <x:c r="A327" s="77" t="str">
        <x:v>O09-F1-W13</x:v>
      </x:c>
      <x:c r="B327" s="77" t="str">
        <x:v>O09</x:v>
      </x:c>
      <x:c r="C327" s="77" t="str">
        <x:v>原子与同步</x:v>
      </x:c>
      <x:c r="D327" s="76" t="str">
        <x:v>LSE 原子 RMW 指令的 compare、replacement、addend、old-value 或 result 数据锁存器。该位置保存原子操作真实参与计算或返回软件的数据。</x:v>
      </x:c>
      <x:c r="E327" s="76" t="str">
        <x:v>单比特翻转</x:v>
      </x:c>
      <x:c r="F327" s="76" t="str">
        <x:v>在一次 CAS/SWP/LDADD 等原子操作中，只对一个操作数或结果锁存器翻转 1 bit；地址、操作码、成功状态和事务时序不变。compare/replacement/addend/old-value 分开统计。仅当故障值参与比较、写内存或返回软件时计为 activated。</x:v>
      </x:c>
      <x:c r="G327" s="76" t="str">
        <x:v>F1</x:v>
      </x:c>
      <x:c r="H327" s="76" t="str">
        <x:v>平均每 1,000,000 个 eligible events 注入 1 次，间隔加入 ±50% 抖动</x:v>
      </x:c>
      <x:c r="I327" s="76" t="str">
        <x:v>PARSEC-Selected 多线程应用（共享队列、锁与任务并行）</x:v>
      </x:c>
      <x:c r="J327" s="76" t="str">
        <x:v>PARSEC-Selected 多线程应用（共享队列、锁与任务并行）
执行定义与 oracle：PARSEC 中选 dedup、ferret、streamcluster 等共享队列/锁密集程序；固定线程数与输入，核对参考输出和结果哈希</x:v>
      </x:c>
      <x:c r="K327" s="76" t="str">
        <x:v>CAS/SWP/LDADD 等原子操作进入执行或返回阶段</x:v>
      </x:c>
      <x:c r="L327" s="76" t="str">
        <x:v>L1正确/故障操作数；L2原子请求和成功判定；L3内存更新与全局可见序；L4返回寄存器、共享变量和锁状态；L5结局</x:v>
      </x:c>
      <x:c r="M327" s="76" t="str">
        <x:v>可能造成错误比较、错误更新或错误返回，通常不触发地址异常；在复杂同步负载中可表现为lost update、死锁或SDC</x:v>
      </x:c>
      <x:c r="N327" s="76" t="str">
        <x:v>恢复旧版最基本的原子数据瞬态基线，使O04结构化MUX错选有可比较对象</x:v>
      </x:c>
      <x:c r="O327" s="76" t="str">
        <x:v>本地论文缺少原子单元直接结果；属于必要基础故障模型</x:v>
      </x:c>
      <x:c r="P327" s="78"/>
      <x:c r="Q327" s="78"/>
      <x:c r="R327" s="78"/>
      <x:c r="S327" s="78"/>
      <x:c r="T327" s="78"/>
      <x:c r="U327" s="78"/>
      <x:c r="V327" s="78"/>
      <x:c r="W327" s="78"/>
      <x:c r="X327" s="82" t="str">
        <x:f>IF(OR(R327="",R327=0),"",U327/R327)</x:f>
      </x:c>
      <x:c r="Y327" s="82" t="str">
        <x:f>IF(OR(Q327="",Q327=0),"",R327/Q327)</x:f>
      </x:c>
      <x:c r="Z327" s="80" t="str">
        <x:v>待执行</x:v>
      </x:c>
      <x:c r="AA327" s="78"/>
    </x:row>
    <x:row r="328" ht="188.10000610351562" customHeight="1">
      <x:c r="A328" s="77" t="str">
        <x:v>O09-F2-W7</x:v>
      </x:c>
      <x:c r="B328" s="77" t="str">
        <x:v>O09</x:v>
      </x:c>
      <x:c r="C328" s="77" t="str">
        <x:v>原子与同步</x:v>
      </x:c>
      <x:c r="D328" s="76" t="str">
        <x:v>LSE 原子 RMW 指令的 compare、replacement、addend、old-value 或 result 数据锁存器。该位置保存原子操作真实参与计算或返回软件的数据。</x:v>
      </x:c>
      <x:c r="E328" s="76" t="str">
        <x:v>单比特翻转</x:v>
      </x:c>
      <x:c r="F328" s="76" t="str">
        <x:v>在一次 CAS/SWP/LDADD 等原子操作中，只对一个操作数或结果锁存器翻转 1 bit；地址、操作码、成功状态和事务时序不变。compare/replacement/addend/old-value 分开统计。仅当故障值参与比较、写内存或返回软件时计为 activated。</x:v>
      </x:c>
      <x:c r="G328" s="76" t="str">
        <x:v>F2</x:v>
      </x:c>
      <x:c r="H328" s="76" t="str">
        <x:v>平均每 100,000 个 eligible events 注入 1 次，间隔加入 ±50% 抖动</x:v>
      </x:c>
      <x:c r="I328" s="76" t="str">
        <x:v>Atomic-Litmus 并发探针（MP、SB、LB、IRIW、Dekker、ticket lock、CAS counter、LDXR/STXR）</x:v>
      </x:c>
      <x:c r="J328" s="76" t="str">
        <x:v>Atomic-Litmus 并发探针（MP、SB、LB、IRIW、Dekker、ticket lock、CAS counter、LDXR/STXR）
执行定义与 oracle：MP、SB、LB、IRIW、Dekker、ticket lock、CAS counter、LDXR/STXR 竞争；每轮检查禁出现结果</x:v>
      </x:c>
      <x:c r="K328" s="76" t="str">
        <x:v>CAS/SWP/LDADD 等原子操作进入执行或返回阶段</x:v>
      </x:c>
      <x:c r="L328" s="76" t="str">
        <x:v>L1正确/故障操作数；L2原子请求和成功判定；L3内存更新与全局可见序；L4返回寄存器、共享变量和锁状态；L5结局</x:v>
      </x:c>
      <x:c r="M328" s="76" t="str">
        <x:v>可能造成错误比较、错误更新或错误返回，通常不触发地址异常；在复杂同步负载中可表现为lost update、死锁或SDC</x:v>
      </x:c>
      <x:c r="N328" s="76" t="str">
        <x:v>恢复旧版最基本的原子数据瞬态基线，使O04结构化MUX错选有可比较对象</x:v>
      </x:c>
      <x:c r="O328" s="76" t="str">
        <x:v>本地论文缺少原子单元直接结果；属于必要基础故障模型</x:v>
      </x:c>
      <x:c r="P328" s="78"/>
      <x:c r="Q328" s="78"/>
      <x:c r="R328" s="78"/>
      <x:c r="S328" s="78"/>
      <x:c r="T328" s="78"/>
      <x:c r="U328" s="78"/>
      <x:c r="V328" s="78"/>
      <x:c r="W328" s="78"/>
      <x:c r="X328" s="82" t="str">
        <x:f>IF(OR(R328="",R328=0),"",U328/R328)</x:f>
      </x:c>
      <x:c r="Y328" s="82" t="str">
        <x:f>IF(OR(Q328="",Q328=0),"",R328/Q328)</x:f>
      </x:c>
      <x:c r="Z328" s="80" t="str">
        <x:v>待执行</x:v>
      </x:c>
      <x:c r="AA328" s="78"/>
    </x:row>
    <x:row r="329" ht="188.10000610351562" customHeight="1">
      <x:c r="A329" s="77" t="str">
        <x:v>O09-F2-W13</x:v>
      </x:c>
      <x:c r="B329" s="77" t="str">
        <x:v>O09</x:v>
      </x:c>
      <x:c r="C329" s="77" t="str">
        <x:v>原子与同步</x:v>
      </x:c>
      <x:c r="D329" s="76" t="str">
        <x:v>LSE 原子 RMW 指令的 compare、replacement、addend、old-value 或 result 数据锁存器。该位置保存原子操作真实参与计算或返回软件的数据。</x:v>
      </x:c>
      <x:c r="E329" s="76" t="str">
        <x:v>单比特翻转</x:v>
      </x:c>
      <x:c r="F329" s="76" t="str">
        <x:v>在一次 CAS/SWP/LDADD 等原子操作中，只对一个操作数或结果锁存器翻转 1 bit；地址、操作码、成功状态和事务时序不变。compare/replacement/addend/old-value 分开统计。仅当故障值参与比较、写内存或返回软件时计为 activated。</x:v>
      </x:c>
      <x:c r="G329" s="76" t="str">
        <x:v>F2</x:v>
      </x:c>
      <x:c r="H329" s="76" t="str">
        <x:v>平均每 100,000 个 eligible events 注入 1 次，间隔加入 ±50% 抖动</x:v>
      </x:c>
      <x:c r="I329" s="76" t="str">
        <x:v>PARSEC-Selected 多线程应用（共享队列、锁与任务并行）</x:v>
      </x:c>
      <x:c r="J329" s="76" t="str">
        <x:v>PARSEC-Selected 多线程应用（共享队列、锁与任务并行）
执行定义与 oracle：PARSEC 中选 dedup、ferret、streamcluster 等共享队列/锁密集程序；固定线程数与输入，核对参考输出和结果哈希</x:v>
      </x:c>
      <x:c r="K329" s="76" t="str">
        <x:v>CAS/SWP/LDADD 等原子操作进入执行或返回阶段</x:v>
      </x:c>
      <x:c r="L329" s="76" t="str">
        <x:v>L1正确/故障操作数；L2原子请求和成功判定；L3内存更新与全局可见序；L4返回寄存器、共享变量和锁状态；L5结局</x:v>
      </x:c>
      <x:c r="M329" s="76" t="str">
        <x:v>可能造成错误比较、错误更新或错误返回，通常不触发地址异常；在复杂同步负载中可表现为lost update、死锁或SDC</x:v>
      </x:c>
      <x:c r="N329" s="76" t="str">
        <x:v>恢复旧版最基本的原子数据瞬态基线，使O04结构化MUX错选有可比较对象</x:v>
      </x:c>
      <x:c r="O329" s="76" t="str">
        <x:v>本地论文缺少原子单元直接结果；属于必要基础故障模型</x:v>
      </x:c>
      <x:c r="P329" s="78"/>
      <x:c r="Q329" s="78"/>
      <x:c r="R329" s="78"/>
      <x:c r="S329" s="78"/>
      <x:c r="T329" s="78"/>
      <x:c r="U329" s="78"/>
      <x:c r="V329" s="78"/>
      <x:c r="W329" s="78"/>
      <x:c r="X329" s="82" t="str">
        <x:f>IF(OR(R329="",R329=0),"",U329/R329)</x:f>
      </x:c>
      <x:c r="Y329" s="82" t="str">
        <x:f>IF(OR(Q329="",Q329=0),"",R329/Q329)</x:f>
      </x:c>
      <x:c r="Z329" s="80" t="str">
        <x:v>待执行</x:v>
      </x:c>
      <x:c r="AA329" s="78"/>
    </x:row>
    <x:row r="330" ht="188.10000610351562" customHeight="1">
      <x:c r="A330" s="77" t="str">
        <x:v>P09-F0-W6</x:v>
      </x:c>
      <x:c r="B330" s="77" t="str">
        <x:v>P09</x:v>
      </x:c>
      <x:c r="C330" s="77" t="str">
        <x:v>数据预取器</x:v>
      </x:c>
      <x:c r="D330" s="76" t="str">
        <x:v>由预取请求触发的 cache victim 选择、dirty victim writeback 请求及完成握手。该路径与需求miss共享底层写回资源，但触发来源明确标记为prefetch。</x:v>
      </x:c>
      <x:c r="E330" s="76" t="str">
        <x:v>时序/状态</x:v>
      </x:c>
      <x:c r="F330" s="76" t="str">
        <x:v>仅在预取分配导致 dirty line 驱逐时，独立执行：丢失writeback request、提前报告writeback done、或把dirty状态错误清除。victim tag/data 保持不变；记录prefetch transaction和victim line。</x:v>
      </x:c>
      <x:c r="G330" s="76" t="str">
        <x:v>F0</x:v>
      </x:c>
      <x:c r="H330" s="76" t="str">
        <x:v>每次运行只注入 1 次；在 warm-up 后的 eligible event 中均匀抽样</x:v>
      </x:c>
      <x:c r="I330" s="76" t="str">
        <x:v>Cache-DirtyEvict 缓存探针（0.5×/1×/2×L1D working set、conflict set、dirty eviction、writeback）</x:v>
      </x:c>
      <x:c r="J330" s="76" t="str">
        <x:v>Cache-DirtyEvict 缓存探针（0.5×/1×/2×L1D working set、conflict set、dirty eviction、writeback）
执行定义与 oracle：working set=0.5×/1×/2×L1D；读改写、dirty eviction、writeback、conflict set、共享行 false sharing</x:v>
      </x:c>
      <x:c r="K330" s="76" t="str">
        <x:v>prefetch分配cache line并驱逐dirty victim</x:v>
      </x:c>
      <x:c r="L330" s="76" t="str">
        <x:v>L1预取来源与victim选择；L2prefetch/demand分类和request ID；L3dirty、writeback地址/数据及后续重读；L4共享变量/输出；L5结局</x:v>
      </x:c>
      <x:c r="M330" s="76" t="str">
        <x:v>跳过脏行写回会静默丢失最新数据；与普通预取地址错误不同，预期可产生非零SDC</x:v>
      </x:c>
      <x:c r="N330" s="76" t="str">
        <x:v>恢复旧版对预取触发脏驱逐的独立问题定义，用事件标签检验预取激进度是否放大正确性风险</x:v>
      </x:c>
      <x:c r="O330" s="76" t="str">
        <x:v>无直接预取器文献；与L1D dirty/writeback故障共享机制但触发来源不同</x:v>
      </x:c>
      <x:c r="P330" s="78"/>
      <x:c r="Q330" s="78"/>
      <x:c r="R330" s="78"/>
      <x:c r="S330" s="78"/>
      <x:c r="T330" s="78"/>
      <x:c r="U330" s="78"/>
      <x:c r="V330" s="78"/>
      <x:c r="W330" s="78"/>
      <x:c r="X330" s="82" t="str">
        <x:f>IF(OR(R330="",R330=0),"",U330/R330)</x:f>
      </x:c>
      <x:c r="Y330" s="82" t="str">
        <x:f>IF(OR(Q330="",Q330=0),"",R330/Q330)</x:f>
      </x:c>
      <x:c r="Z330" s="80" t="str">
        <x:v>待执行</x:v>
      </x:c>
      <x:c r="AA330" s="78"/>
    </x:row>
    <x:row r="331" ht="188.10000610351562" customHeight="1">
      <x:c r="A331" s="77" t="str">
        <x:v>P09-F0-W8</x:v>
      </x:c>
      <x:c r="B331" s="77" t="str">
        <x:v>P09</x:v>
      </x:c>
      <x:c r="C331" s="77" t="str">
        <x:v>数据预取器</x:v>
      </x:c>
      <x:c r="D331" s="76" t="str">
        <x:v>由预取请求触发的 cache victim 选择、dirty victim writeback 请求及完成握手。该路径与需求miss共享底层写回资源，但触发来源明确标记为prefetch。</x:v>
      </x:c>
      <x:c r="E331" s="76" t="str">
        <x:v>时序/状态</x:v>
      </x:c>
      <x:c r="F331" s="76" t="str">
        <x:v>仅在预取分配导致 dirty line 驱逐时，独立执行：丢失writeback request、提前报告writeback done、或把dirty状态错误清除。victim tag/data 保持不变；记录prefetch transaction和victim line。</x:v>
      </x:c>
      <x:c r="G331" s="76" t="str">
        <x:v>F0</x:v>
      </x:c>
      <x:c r="H331" s="76" t="str">
        <x:v>每次运行只注入 1 次；在 warm-up 后的 eligible event 中均匀抽样</x:v>
      </x:c>
      <x:c r="I331" s="76" t="str">
        <x:v>Prefetch-Stride 预取探针（正/负/交错 stride、pointer chase、跨页 stride、训练后变步长）</x:v>
      </x:c>
      <x:c r="J331" s="76" t="str">
        <x:v>Prefetch-Stride 预取探针（正/负/交错 stride、pointer chase、跨页 stride、训练后变步长）
执行定义与 oracle：正/负/交错 stride、随机 pointer chase、跨页 stride、训练后变步长、需求/预取竞争</x:v>
      </x:c>
      <x:c r="K331" s="76" t="str">
        <x:v>prefetch分配cache line并驱逐dirty victim</x:v>
      </x:c>
      <x:c r="L331" s="76" t="str">
        <x:v>L1预取来源与victim选择；L2prefetch/demand分类和request ID；L3dirty、writeback地址/数据及后续重读；L4共享变量/输出；L5结局</x:v>
      </x:c>
      <x:c r="M331" s="76" t="str">
        <x:v>跳过脏行写回会静默丢失最新数据；与普通预取地址错误不同，预期可产生非零SDC</x:v>
      </x:c>
      <x:c r="N331" s="76" t="str">
        <x:v>恢复旧版对预取触发脏驱逐的独立问题定义，用事件标签检验预取激进度是否放大正确性风险</x:v>
      </x:c>
      <x:c r="O331" s="76" t="str">
        <x:v>无直接预取器文献；与L1D dirty/writeback故障共享机制但触发来源不同</x:v>
      </x:c>
      <x:c r="P331" s="78"/>
      <x:c r="Q331" s="78"/>
      <x:c r="R331" s="78"/>
      <x:c r="S331" s="78"/>
      <x:c r="T331" s="78"/>
      <x:c r="U331" s="78"/>
      <x:c r="V331" s="78"/>
      <x:c r="W331" s="78"/>
      <x:c r="X331" s="82" t="str">
        <x:f>IF(OR(R331="",R331=0),"",U331/R331)</x:f>
      </x:c>
      <x:c r="Y331" s="82" t="str">
        <x:f>IF(OR(Q331="",Q331=0),"",R331/Q331)</x:f>
      </x:c>
      <x:c r="Z331" s="80" t="str">
        <x:v>待执行</x:v>
      </x:c>
      <x:c r="AA331" s="78"/>
    </x:row>
    <x:row r="332" ht="188.10000610351562" customHeight="1">
      <x:c r="A332" s="77" t="str">
        <x:v>P09-F0-W13</x:v>
      </x:c>
      <x:c r="B332" s="77" t="str">
        <x:v>P09</x:v>
      </x:c>
      <x:c r="C332" s="77" t="str">
        <x:v>数据预取器</x:v>
      </x:c>
      <x:c r="D332" s="76" t="str">
        <x:v>由预取请求触发的 cache victim 选择、dirty victim writeback 请求及完成握手。该路径与需求miss共享底层写回资源，但触发来源明确标记为prefetch。</x:v>
      </x:c>
      <x:c r="E332" s="76" t="str">
        <x:v>时序/状态</x:v>
      </x:c>
      <x:c r="F332" s="76" t="str">
        <x:v>仅在预取分配导致 dirty line 驱逐时，独立执行：丢失writeback request、提前报告writeback done、或把dirty状态错误清除。victim tag/data 保持不变；记录prefetch transaction和victim line。</x:v>
      </x:c>
      <x:c r="G332" s="76" t="str">
        <x:v>F0</x:v>
      </x:c>
      <x:c r="H332" s="76" t="str">
        <x:v>每次运行只注入 1 次；在 warm-up 后的 eligible event 中均匀抽样</x:v>
      </x:c>
      <x:c r="I332" s="76" t="str">
        <x:v>PARSEC-Selected 多线程应用（共享队列、锁与任务并行）</x:v>
      </x:c>
      <x:c r="J332" s="76" t="str">
        <x:v>PARSEC-Selected 多线程应用（共享队列、锁与任务并行）
执行定义与 oracle：PARSEC 中选 dedup、ferret、streamcluster 等共享队列/锁密集程序；固定线程数与输入，核对参考输出和结果哈希</x:v>
      </x:c>
      <x:c r="K332" s="76" t="str">
        <x:v>prefetch分配cache line并驱逐dirty victim</x:v>
      </x:c>
      <x:c r="L332" s="76" t="str">
        <x:v>L1预取来源与victim选择；L2prefetch/demand分类和request ID；L3dirty、writeback地址/数据及后续重读；L4共享变量/输出；L5结局</x:v>
      </x:c>
      <x:c r="M332" s="76" t="str">
        <x:v>跳过脏行写回会静默丢失最新数据；与普通预取地址错误不同，预期可产生非零SDC</x:v>
      </x:c>
      <x:c r="N332" s="76" t="str">
        <x:v>恢复旧版对预取触发脏驱逐的独立问题定义，用事件标签检验预取激进度是否放大正确性风险</x:v>
      </x:c>
      <x:c r="O332" s="76" t="str">
        <x:v>无直接预取器文献；与L1D dirty/writeback故障共享机制但触发来源不同</x:v>
      </x:c>
      <x:c r="P332" s="78"/>
      <x:c r="Q332" s="78"/>
      <x:c r="R332" s="78"/>
      <x:c r="S332" s="78"/>
      <x:c r="T332" s="78"/>
      <x:c r="U332" s="78"/>
      <x:c r="V332" s="78"/>
      <x:c r="W332" s="78"/>
      <x:c r="X332" s="82" t="str">
        <x:f>IF(OR(R332="",R332=0),"",U332/R332)</x:f>
      </x:c>
      <x:c r="Y332" s="82" t="str">
        <x:f>IF(OR(Q332="",Q332=0),"",R332/Q332)</x:f>
      </x:c>
      <x:c r="Z332" s="80" t="str">
        <x:v>待执行</x:v>
      </x:c>
      <x:c r="AA332" s="78"/>
    </x:row>
    <x:row r="333" ht="188.10000610351562" customHeight="1">
      <x:c r="A333" s="77" t="str">
        <x:v>P09-F4-W6</x:v>
      </x:c>
      <x:c r="B333" s="77" t="str">
        <x:v>P09</x:v>
      </x:c>
      <x:c r="C333" s="77" t="str">
        <x:v>数据预取器</x:v>
      </x:c>
      <x:c r="D333" s="76" t="str">
        <x:v>由预取请求触发的 cache victim 选择、dirty victim writeback 请求及完成握手。该路径与需求miss共享底层写回资源，但触发来源明确标记为prefetch。</x:v>
      </x:c>
      <x:c r="E333" s="76" t="str">
        <x:v>时序/状态</x:v>
      </x:c>
      <x:c r="F333" s="76" t="str">
        <x:v>仅在预取分配导致 dirty line 驱逐时，独立执行：丢失writeback request、提前报告writeback done、或把dirty状态错误清除。victim tag/data 保持不变；记录prefetch transaction和victim line。</x:v>
      </x:c>
      <x:c r="G333" s="76" t="str">
        <x:v>F4</x:v>
      </x:c>
      <x:c r="H333" s="76" t="str">
        <x:v>每 100,000 个 eligible events 触发一次，连续污染 2-4 个 eligible events</x:v>
      </x:c>
      <x:c r="I333" s="76" t="str">
        <x:v>Cache-DirtyEvict 缓存探针（0.5×/1×/2×L1D working set、conflict set、dirty eviction、writeback）</x:v>
      </x:c>
      <x:c r="J333" s="76" t="str">
        <x:v>Cache-DirtyEvict 缓存探针（0.5×/1×/2×L1D working set、conflict set、dirty eviction、writeback）
执行定义与 oracle：working set=0.5×/1×/2×L1D；读改写、dirty eviction、writeback、conflict set、共享行 false sharing</x:v>
      </x:c>
      <x:c r="K333" s="76" t="str">
        <x:v>prefetch分配cache line并驱逐dirty victim</x:v>
      </x:c>
      <x:c r="L333" s="76" t="str">
        <x:v>L1预取来源与victim选择；L2prefetch/demand分类和request ID；L3dirty、writeback地址/数据及后续重读；L4共享变量/输出；L5结局</x:v>
      </x:c>
      <x:c r="M333" s="76" t="str">
        <x:v>跳过脏行写回会静默丢失最新数据；与普通预取地址错误不同，预期可产生非零SDC</x:v>
      </x:c>
      <x:c r="N333" s="76" t="str">
        <x:v>恢复旧版对预取触发脏驱逐的独立问题定义，用事件标签检验预取激进度是否放大正确性风险</x:v>
      </x:c>
      <x:c r="O333" s="76" t="str">
        <x:v>无直接预取器文献；与L1D dirty/writeback故障共享机制但触发来源不同</x:v>
      </x:c>
      <x:c r="P333" s="78"/>
      <x:c r="Q333" s="78"/>
      <x:c r="R333" s="78"/>
      <x:c r="S333" s="78"/>
      <x:c r="T333" s="78"/>
      <x:c r="U333" s="78"/>
      <x:c r="V333" s="78"/>
      <x:c r="W333" s="78"/>
      <x:c r="X333" s="82" t="str">
        <x:f>IF(OR(R333="",R333=0),"",U333/R333)</x:f>
      </x:c>
      <x:c r="Y333" s="82" t="str">
        <x:f>IF(OR(Q333="",Q333=0),"",R333/Q333)</x:f>
      </x:c>
      <x:c r="Z333" s="80" t="str">
        <x:v>待执行</x:v>
      </x:c>
      <x:c r="AA333" s="78"/>
    </x:row>
    <x:row r="334" ht="188.10000610351562" customHeight="1">
      <x:c r="A334" s="77" t="str">
        <x:v>P09-F4-W8</x:v>
      </x:c>
      <x:c r="B334" s="77" t="str">
        <x:v>P09</x:v>
      </x:c>
      <x:c r="C334" s="77" t="str">
        <x:v>数据预取器</x:v>
      </x:c>
      <x:c r="D334" s="76" t="str">
        <x:v>由预取请求触发的 cache victim 选择、dirty victim writeback 请求及完成握手。该路径与需求miss共享底层写回资源，但触发来源明确标记为prefetch。</x:v>
      </x:c>
      <x:c r="E334" s="76" t="str">
        <x:v>时序/状态</x:v>
      </x:c>
      <x:c r="F334" s="76" t="str">
        <x:v>仅在预取分配导致 dirty line 驱逐时，独立执行：丢失writeback request、提前报告writeback done、或把dirty状态错误清除。victim tag/data 保持不变；记录prefetch transaction和victim line。</x:v>
      </x:c>
      <x:c r="G334" s="76" t="str">
        <x:v>F4</x:v>
      </x:c>
      <x:c r="H334" s="76" t="str">
        <x:v>每 100,000 个 eligible events 触发一次，连续污染 2-4 个 eligible events</x:v>
      </x:c>
      <x:c r="I334" s="76" t="str">
        <x:v>Prefetch-Stride 预取探针（正/负/交错 stride、pointer chase、跨页 stride、训练后变步长）</x:v>
      </x:c>
      <x:c r="J334" s="76" t="str">
        <x:v>Prefetch-Stride 预取探针（正/负/交错 stride、pointer chase、跨页 stride、训练后变步长）
执行定义与 oracle：正/负/交错 stride、随机 pointer chase、跨页 stride、训练后变步长、需求/预取竞争</x:v>
      </x:c>
      <x:c r="K334" s="76" t="str">
        <x:v>prefetch分配cache line并驱逐dirty victim</x:v>
      </x:c>
      <x:c r="L334" s="76" t="str">
        <x:v>L1预取来源与victim选择；L2prefetch/demand分类和request ID；L3dirty、writeback地址/数据及后续重读；L4共享变量/输出；L5结局</x:v>
      </x:c>
      <x:c r="M334" s="76" t="str">
        <x:v>跳过脏行写回会静默丢失最新数据；与普通预取地址错误不同，预期可产生非零SDC</x:v>
      </x:c>
      <x:c r="N334" s="76" t="str">
        <x:v>恢复旧版对预取触发脏驱逐的独立问题定义，用事件标签检验预取激进度是否放大正确性风险</x:v>
      </x:c>
      <x:c r="O334" s="76" t="str">
        <x:v>无直接预取器文献；与L1D dirty/writeback故障共享机制但触发来源不同</x:v>
      </x:c>
      <x:c r="P334" s="78"/>
      <x:c r="Q334" s="78"/>
      <x:c r="R334" s="78"/>
      <x:c r="S334" s="78"/>
      <x:c r="T334" s="78"/>
      <x:c r="U334" s="78"/>
      <x:c r="V334" s="78"/>
      <x:c r="W334" s="78"/>
      <x:c r="X334" s="82" t="str">
        <x:f>IF(OR(R334="",R334=0),"",U334/R334)</x:f>
      </x:c>
      <x:c r="Y334" s="82" t="str">
        <x:f>IF(OR(Q334="",Q334=0),"",R334/Q334)</x:f>
      </x:c>
      <x:c r="Z334" s="80" t="str">
        <x:v>待执行</x:v>
      </x:c>
      <x:c r="AA334" s="78"/>
    </x:row>
    <x:row r="335" ht="188.10000610351562" customHeight="1">
      <x:c r="A335" s="77" t="str">
        <x:v>P09-F4-W13</x:v>
      </x:c>
      <x:c r="B335" s="77" t="str">
        <x:v>P09</x:v>
      </x:c>
      <x:c r="C335" s="77" t="str">
        <x:v>数据预取器</x:v>
      </x:c>
      <x:c r="D335" s="76" t="str">
        <x:v>由预取请求触发的 cache victim 选择、dirty victim writeback 请求及完成握手。该路径与需求miss共享底层写回资源，但触发来源明确标记为prefetch。</x:v>
      </x:c>
      <x:c r="E335" s="76" t="str">
        <x:v>时序/状态</x:v>
      </x:c>
      <x:c r="F335" s="76" t="str">
        <x:v>仅在预取分配导致 dirty line 驱逐时，独立执行：丢失writeback request、提前报告writeback done、或把dirty状态错误清除。victim tag/data 保持不变；记录prefetch transaction和victim line。</x:v>
      </x:c>
      <x:c r="G335" s="76" t="str">
        <x:v>F4</x:v>
      </x:c>
      <x:c r="H335" s="76" t="str">
        <x:v>每 100,000 个 eligible events 触发一次，连续污染 2-4 个 eligible events</x:v>
      </x:c>
      <x:c r="I335" s="76" t="str">
        <x:v>PARSEC-Selected 多线程应用（共享队列、锁与任务并行）</x:v>
      </x:c>
      <x:c r="J335" s="76" t="str">
        <x:v>PARSEC-Selected 多线程应用（共享队列、锁与任务并行）
执行定义与 oracle：PARSEC 中选 dedup、ferret、streamcluster 等共享队列/锁密集程序；固定线程数与输入，核对参考输出和结果哈希</x:v>
      </x:c>
      <x:c r="K335" s="76" t="str">
        <x:v>prefetch分配cache line并驱逐dirty victim</x:v>
      </x:c>
      <x:c r="L335" s="76" t="str">
        <x:v>L1预取来源与victim选择；L2prefetch/demand分类和request ID；L3dirty、writeback地址/数据及后续重读；L4共享变量/输出；L5结局</x:v>
      </x:c>
      <x:c r="M335" s="76" t="str">
        <x:v>跳过脏行写回会静默丢失最新数据；与普通预取地址错误不同，预期可产生非零SDC</x:v>
      </x:c>
      <x:c r="N335" s="76" t="str">
        <x:v>恢复旧版对预取触发脏驱逐的独立问题定义，用事件标签检验预取激进度是否放大正确性风险</x:v>
      </x:c>
      <x:c r="O335" s="76" t="str">
        <x:v>无直接预取器文献；与L1D dirty/writeback故障共享机制但触发来源不同</x:v>
      </x:c>
      <x:c r="P335" s="78"/>
      <x:c r="Q335" s="78"/>
      <x:c r="R335" s="78"/>
      <x:c r="S335" s="78"/>
      <x:c r="T335" s="78"/>
      <x:c r="U335" s="78"/>
      <x:c r="V335" s="78"/>
      <x:c r="W335" s="78"/>
      <x:c r="X335" s="82" t="str">
        <x:f>IF(OR(R335="",R335=0),"",U335/R335)</x:f>
      </x:c>
      <x:c r="Y335" s="82" t="str">
        <x:f>IF(OR(Q335="",Q335=0),"",R335/Q335)</x:f>
      </x:c>
      <x:c r="Z335" s="80" t="str">
        <x:v>待执行</x:v>
      </x:c>
      <x:c r="AA335" s="78"/>
    </x:row>
    <x:row r="336" ht="188.10000610351562" customHeight="1">
      <x:c r="A336" s="77" t="str">
        <x:v>P09-F6-W6</x:v>
      </x:c>
      <x:c r="B336" s="77" t="str">
        <x:v>P09</x:v>
      </x:c>
      <x:c r="C336" s="77" t="str">
        <x:v>数据预取器</x:v>
      </x:c>
      <x:c r="D336" s="76" t="str">
        <x:v>由预取请求触发的 cache victim 选择、dirty victim writeback 请求及完成握手。该路径与需求miss共享底层写回资源，但触发来源明确标记为prefetch。</x:v>
      </x:c>
      <x:c r="E336" s="76" t="str">
        <x:v>时序/状态</x:v>
      </x:c>
      <x:c r="F336" s="76" t="str">
        <x:v>仅在预取分配导致 dirty line 驱逐时，独立执行：丢失writeback request、提前报告writeback done、或把dirty状态错误清除。victim tag/data 保持不变；记录prefetch transaction和victim line。</x:v>
      </x:c>
      <x:c r="G336" s="76" t="str">
        <x:v>F6</x:v>
      </x:c>
      <x:c r="H336" s="76" t="str">
        <x:v>首次出现指定事件时注入一次；仍以故障值被下游消费作为 activated 判据</x:v>
      </x:c>
      <x:c r="I336" s="76" t="str">
        <x:v>Cache-DirtyEvict 缓存探针（0.5×/1×/2×L1D working set、conflict set、dirty eviction、writeback）</x:v>
      </x:c>
      <x:c r="J336" s="76" t="str">
        <x:v>Cache-DirtyEvict 缓存探针（0.5×/1×/2×L1D working set、conflict set、dirty eviction、writeback）
执行定义与 oracle：working set=0.5×/1×/2×L1D；读改写、dirty eviction、writeback、conflict set、共享行 false sharing</x:v>
      </x:c>
      <x:c r="K336" s="76" t="str">
        <x:v>prefetch分配cache line并驱逐dirty victim</x:v>
      </x:c>
      <x:c r="L336" s="76" t="str">
        <x:v>L1预取来源与victim选择；L2prefetch/demand分类和request ID；L3dirty、writeback地址/数据及后续重读；L4共享变量/输出；L5结局</x:v>
      </x:c>
      <x:c r="M336" s="76" t="str">
        <x:v>跳过脏行写回会静默丢失最新数据；与普通预取地址错误不同，预期可产生非零SDC</x:v>
      </x:c>
      <x:c r="N336" s="76" t="str">
        <x:v>恢复旧版对预取触发脏驱逐的独立问题定义，用事件标签检验预取激进度是否放大正确性风险</x:v>
      </x:c>
      <x:c r="O336" s="76" t="str">
        <x:v>无直接预取器文献；与L1D dirty/writeback故障共享机制但触发来源不同</x:v>
      </x:c>
      <x:c r="P336" s="78"/>
      <x:c r="Q336" s="78"/>
      <x:c r="R336" s="78"/>
      <x:c r="S336" s="78"/>
      <x:c r="T336" s="78"/>
      <x:c r="U336" s="78"/>
      <x:c r="V336" s="78"/>
      <x:c r="W336" s="78"/>
      <x:c r="X336" s="82" t="str">
        <x:f>IF(OR(R336="",R336=0),"",U336/R336)</x:f>
      </x:c>
      <x:c r="Y336" s="82" t="str">
        <x:f>IF(OR(Q336="",Q336=0),"",R336/Q336)</x:f>
      </x:c>
      <x:c r="Z336" s="80" t="str">
        <x:v>待执行</x:v>
      </x:c>
      <x:c r="AA336" s="78"/>
    </x:row>
    <x:row r="337" ht="188.10000610351562" customHeight="1">
      <x:c r="A337" s="77" t="str">
        <x:v>P09-F6-W8</x:v>
      </x:c>
      <x:c r="B337" s="77" t="str">
        <x:v>P09</x:v>
      </x:c>
      <x:c r="C337" s="77" t="str">
        <x:v>数据预取器</x:v>
      </x:c>
      <x:c r="D337" s="76" t="str">
        <x:v>由预取请求触发的 cache victim 选择、dirty victim writeback 请求及完成握手。该路径与需求miss共享底层写回资源，但触发来源明确标记为prefetch。</x:v>
      </x:c>
      <x:c r="E337" s="76" t="str">
        <x:v>时序/状态</x:v>
      </x:c>
      <x:c r="F337" s="76" t="str">
        <x:v>仅在预取分配导致 dirty line 驱逐时，独立执行：丢失writeback request、提前报告writeback done、或把dirty状态错误清除。victim tag/data 保持不变；记录prefetch transaction和victim line。</x:v>
      </x:c>
      <x:c r="G337" s="76" t="str">
        <x:v>F6</x:v>
      </x:c>
      <x:c r="H337" s="76" t="str">
        <x:v>首次出现指定事件时注入一次；仍以故障值被下游消费作为 activated 判据</x:v>
      </x:c>
      <x:c r="I337" s="76" t="str">
        <x:v>Prefetch-Stride 预取探针（正/负/交错 stride、pointer chase、跨页 stride、训练后变步长）</x:v>
      </x:c>
      <x:c r="J337" s="76" t="str">
        <x:v>Prefetch-Stride 预取探针（正/负/交错 stride、pointer chase、跨页 stride、训练后变步长）
执行定义与 oracle：正/负/交错 stride、随机 pointer chase、跨页 stride、训练后变步长、需求/预取竞争</x:v>
      </x:c>
      <x:c r="K337" s="76" t="str">
        <x:v>prefetch分配cache line并驱逐dirty victim</x:v>
      </x:c>
      <x:c r="L337" s="76" t="str">
        <x:v>L1预取来源与victim选择；L2prefetch/demand分类和request ID；L3dirty、writeback地址/数据及后续重读；L4共享变量/输出；L5结局</x:v>
      </x:c>
      <x:c r="M337" s="76" t="str">
        <x:v>跳过脏行写回会静默丢失最新数据；与普通预取地址错误不同，预期可产生非零SDC</x:v>
      </x:c>
      <x:c r="N337" s="76" t="str">
        <x:v>恢复旧版对预取触发脏驱逐的独立问题定义，用事件标签检验预取激进度是否放大正确性风险</x:v>
      </x:c>
      <x:c r="O337" s="76" t="str">
        <x:v>无直接预取器文献；与L1D dirty/writeback故障共享机制但触发来源不同</x:v>
      </x:c>
      <x:c r="P337" s="78"/>
      <x:c r="Q337" s="78"/>
      <x:c r="R337" s="78"/>
      <x:c r="S337" s="78"/>
      <x:c r="T337" s="78"/>
      <x:c r="U337" s="78"/>
      <x:c r="V337" s="78"/>
      <x:c r="W337" s="78"/>
      <x:c r="X337" s="82" t="str">
        <x:f>IF(OR(R337="",R337=0),"",U337/R337)</x:f>
      </x:c>
      <x:c r="Y337" s="82" t="str">
        <x:f>IF(OR(Q337="",Q337=0),"",R337/Q337)</x:f>
      </x:c>
      <x:c r="Z337" s="80" t="str">
        <x:v>待执行</x:v>
      </x:c>
      <x:c r="AA337" s="78"/>
    </x:row>
    <x:row r="338" ht="188.10000610351562" customHeight="1">
      <x:c r="A338" s="77" t="str">
        <x:v>P09-F6-W13</x:v>
      </x:c>
      <x:c r="B338" s="77" t="str">
        <x:v>P09</x:v>
      </x:c>
      <x:c r="C338" s="77" t="str">
        <x:v>数据预取器</x:v>
      </x:c>
      <x:c r="D338" s="76" t="str">
        <x:v>由预取请求触发的 cache victim 选择、dirty victim writeback 请求及完成握手。该路径与需求miss共享底层写回资源，但触发来源明确标记为prefetch。</x:v>
      </x:c>
      <x:c r="E338" s="76" t="str">
        <x:v>时序/状态</x:v>
      </x:c>
      <x:c r="F338" s="76" t="str">
        <x:v>仅在预取分配导致 dirty line 驱逐时，独立执行：丢失writeback request、提前报告writeback done、或把dirty状态错误清除。victim tag/data 保持不变；记录prefetch transaction和victim line。</x:v>
      </x:c>
      <x:c r="G338" s="76" t="str">
        <x:v>F6</x:v>
      </x:c>
      <x:c r="H338" s="76" t="str">
        <x:v>首次出现指定事件时注入一次；仍以故障值被下游消费作为 activated 判据</x:v>
      </x:c>
      <x:c r="I338" s="76" t="str">
        <x:v>PARSEC-Selected 多线程应用（共享队列、锁与任务并行）</x:v>
      </x:c>
      <x:c r="J338" s="76" t="str">
        <x:v>PARSEC-Selected 多线程应用（共享队列、锁与任务并行）
执行定义与 oracle：PARSEC 中选 dedup、ferret、streamcluster 等共享队列/锁密集程序；固定线程数与输入，核对参考输出和结果哈希</x:v>
      </x:c>
      <x:c r="K338" s="76" t="str">
        <x:v>prefetch分配cache line并驱逐dirty victim</x:v>
      </x:c>
      <x:c r="L338" s="76" t="str">
        <x:v>L1预取来源与victim选择；L2prefetch/demand分类和request ID；L3dirty、writeback地址/数据及后续重读；L4共享变量/输出；L5结局</x:v>
      </x:c>
      <x:c r="M338" s="76" t="str">
        <x:v>跳过脏行写回会静默丢失最新数据；与普通预取地址错误不同，预期可产生非零SDC</x:v>
      </x:c>
      <x:c r="N338" s="76" t="str">
        <x:v>恢复旧版对预取触发脏驱逐的独立问题定义，用事件标签检验预取激进度是否放大正确性风险</x:v>
      </x:c>
      <x:c r="O338" s="76" t="str">
        <x:v>无直接预取器文献；与L1D dirty/writeback故障共享机制但触发来源不同</x:v>
      </x:c>
      <x:c r="P338" s="78"/>
      <x:c r="Q338" s="78"/>
      <x:c r="R338" s="78"/>
      <x:c r="S338" s="78"/>
      <x:c r="T338" s="78"/>
      <x:c r="U338" s="78"/>
      <x:c r="V338" s="78"/>
      <x:c r="W338" s="78"/>
      <x:c r="X338" s="82" t="str">
        <x:f>IF(OR(R338="",R338=0),"",U338/R338)</x:f>
      </x:c>
      <x:c r="Y338" s="82" t="str">
        <x:f>IF(OR(Q338="",Q338=0),"",R338/Q338)</x:f>
      </x:c>
      <x:c r="Z338" s="80" t="str">
        <x:v>待执行</x:v>
      </x:c>
      <x:c r="AA338" s="78"/>
    </x:row>
  </x:sheetData>
  <x:conditionalFormatting sqref="Z2:Z261">
    <x:cfRule type="containsText" dxfId="1" priority="1" operator="containsText" text="核对计数"/>
    <x:cfRule type="containsText" dxfId="0" priority="2" operator="containsText" text="待执行"/>
  </x:conditionalFormatting>
  <x:pageMargins left="0.7" right="0.7" top="0.75" bottom="0.75" header="0.3" footer="0.3"/>
</x:worksheet>
</file>

<file path=xl/worksheets/sheet9.xml><?xml version="1.0" encoding="utf-8"?>
<x:worksheet xmlns:x="http://schemas.openxmlformats.org/spreadsheetml/2006/main">
  <x:sheetPr>
    <x:tabColor rgb="FF7F8C8D"/>
  </x:sheetPr>
  <x:sheetViews>
    <x:sheetView showGridLines="0" workbookViewId="0">
      <x:pane ySplit="1" topLeftCell="A2" activePane="bottomLeft" state="frozen"/>
    </x:sheetView>
  </x:sheetViews>
  <x:sheetFormatPr defaultRowHeight="14.25"/>
  <x:cols>
    <x:col min="1" max="1" width="13" style="2" customWidth="1"/>
    <x:col min="2" max="2" width="66" style="2" customWidth="1"/>
    <x:col min="3" max="3" width="25" style="2" customWidth="1"/>
    <x:col min="4" max="4" width="22" style="2" customWidth="1"/>
    <x:col min="5" max="5" width="62" style="2" customWidth="1"/>
    <x:col min="6" max="6" width="86" style="2" customWidth="1"/>
    <x:col min="7" max="16384" width="9" style="2" customWidth="0"/>
  </x:cols>
  <x:sheetData>
    <x:row r="1" ht="33.95000076293945" customHeight="1">
      <x:c r="A1" s="5" t="s">
        <x:v>1101</x:v>
      </x:c>
      <x:c r="B1" s="5" t="s">
        <x:v>1102</x:v>
      </x:c>
      <x:c r="C1" s="5" t="s">
        <x:v>1103</x:v>
      </x:c>
      <x:c r="D1" s="5" t="s">
        <x:v>1104</x:v>
      </x:c>
      <x:c r="E1" s="5" t="s">
        <x:v>1105</x:v>
      </x:c>
      <x:c r="F1" s="5" t="s">
        <x:v>1106</x:v>
      </x:c>
    </x:row>
    <x:row r="2" ht="62.099998474121094" customHeight="1">
      <x:c r="A2" s="21" t="s">
        <x:v>1107</x:v>
      </x:c>
      <x:c r="B2" s="19" t="s">
        <x:v>1108</x:v>
      </x:c>
      <x:c r="C2" s="19" t="s">
        <x:v>1109</x:v>
      </x:c>
      <x:c r="D2" s="19" t="s">
        <x:v>1110</x:v>
      </x:c>
      <x:c r="E2" s="19" t="s">
        <x:v>1111</x:v>
      </x:c>
      <x:c r="F2" s="19" t="s">
        <x:v>1112</x:v>
      </x:c>
    </x:row>
    <x:row r="3" ht="62.099998474121094" customHeight="1">
      <x:c r="A3" s="21" t="s">
        <x:v>1113</x:v>
      </x:c>
      <x:c r="B3" s="19" t="s">
        <x:v>1114</x:v>
      </x:c>
      <x:c r="C3" s="19" t="s">
        <x:v>1109</x:v>
      </x:c>
      <x:c r="D3" s="19" t="s">
        <x:v>1110</x:v>
      </x:c>
      <x:c r="E3" s="19" t="s">
        <x:v>1115</x:v>
      </x:c>
      <x:c r="F3" s="19" t="s">
        <x:v>1116</x:v>
      </x:c>
    </x:row>
    <x:row r="4" ht="62.099998474121094" customHeight="1">
      <x:c r="A4" s="21" t="s">
        <x:v>1117</x:v>
      </x:c>
      <x:c r="B4" s="19" t="s">
        <x:v>1118</x:v>
      </x:c>
      <x:c r="C4" s="19" t="s">
        <x:v>1109</x:v>
      </x:c>
      <x:c r="D4" s="19" t="s">
        <x:v>1110</x:v>
      </x:c>
      <x:c r="E4" s="19" t="s">
        <x:v>1119</x:v>
      </x:c>
      <x:c r="F4" s="19" t="s">
        <x:v>1120</x:v>
      </x:c>
    </x:row>
    <x:row r="5" ht="62.099998474121094" customHeight="1">
      <x:c r="A5" s="21" t="s">
        <x:v>1121</x:v>
      </x:c>
      <x:c r="B5" s="19" t="s">
        <x:v>1122</x:v>
      </x:c>
      <x:c r="C5" s="19" t="s">
        <x:v>1109</x:v>
      </x:c>
      <x:c r="D5" s="19" t="s">
        <x:v>1110</x:v>
      </x:c>
      <x:c r="E5" s="19" t="s">
        <x:v>1123</x:v>
      </x:c>
      <x:c r="F5" s="19" t="s">
        <x:v>1124</x:v>
      </x:c>
    </x:row>
    <x:row r="6" ht="62.099998474121094" customHeight="1">
      <x:c r="A6" s="21" t="s">
        <x:v>1125</x:v>
      </x:c>
      <x:c r="B6" s="19" t="s">
        <x:v>1126</x:v>
      </x:c>
      <x:c r="C6" s="19" t="s">
        <x:v>1127</x:v>
      </x:c>
      <x:c r="D6" s="19" t="s">
        <x:v>1128</x:v>
      </x:c>
      <x:c r="E6" s="19" t="s">
        <x:v>1129</x:v>
      </x:c>
      <x:c r="F6" s="19" t="s">
        <x:v>1130</x:v>
      </x:c>
    </x:row>
    <x:row r="7" ht="62.099998474121094" customHeight="1">
      <x:c r="A7" s="21" t="s">
        <x:v>1131</x:v>
      </x:c>
      <x:c r="B7" s="19" t="s">
        <x:v>1132</x:v>
      </x:c>
      <x:c r="C7" s="19" t="s">
        <x:v>1133</x:v>
      </x:c>
      <x:c r="D7" s="19" t="s">
        <x:v>1128</x:v>
      </x:c>
      <x:c r="E7" s="19" t="s">
        <x:v>1134</x:v>
      </x:c>
      <x:c r="F7" s="19" t="s">
        <x:v>1135</x:v>
      </x:c>
    </x:row>
    <x:row r="8" ht="62.099998474121094" customHeight="1">
      <x:c r="A8" s="21" t="s">
        <x:v>1136</x:v>
      </x:c>
      <x:c r="B8" s="19" t="s">
        <x:v>1137</x:v>
      </x:c>
      <x:c r="C8" s="19" t="s">
        <x:v>1138</x:v>
      </x:c>
      <x:c r="D8" s="19" t="s">
        <x:v>1128</x:v>
      </x:c>
      <x:c r="E8" s="19" t="s">
        <x:v>1139</x:v>
      </x:c>
      <x:c r="F8" s="19" t="s">
        <x:v>1140</x:v>
      </x:c>
    </x:row>
    <x:row r="9" ht="62.099998474121094" customHeight="1">
      <x:c r="A9" s="21" t="s">
        <x:v>1141</x:v>
      </x:c>
      <x:c r="B9" s="19" t="s">
        <x:v>1142</x:v>
      </x:c>
      <x:c r="C9" s="19" t="s">
        <x:v>1143</x:v>
      </x:c>
      <x:c r="D9" s="19" t="s">
        <x:v>1128</x:v>
      </x:c>
      <x:c r="E9" s="19" t="s">
        <x:v>1144</x:v>
      </x:c>
      <x:c r="F9" s="19" t="s">
        <x:v>1145</x:v>
      </x:c>
    </x:row>
    <x:row r="10" ht="62.099998474121094" customHeight="1">
      <x:c r="A10" s="21" t="s">
        <x:v>1146</x:v>
      </x:c>
      <x:c r="B10" s="19" t="s">
        <x:v>1147</x:v>
      </x:c>
      <x:c r="C10" s="19" t="s">
        <x:v>1148</x:v>
      </x:c>
      <x:c r="D10" s="19" t="s">
        <x:v>1128</x:v>
      </x:c>
      <x:c r="E10" s="19" t="s">
        <x:v>1149</x:v>
      </x:c>
      <x:c r="F10" s="19" t="s">
        <x:v>1150</x:v>
      </x:c>
    </x:row>
    <x:row r="11" ht="62.099998474121094" customHeight="1">
      <x:c r="A11" s="21" t="s">
        <x:v>1151</x:v>
      </x:c>
      <x:c r="B11" s="19" t="s">
        <x:v>1152</x:v>
      </x:c>
      <x:c r="C11" s="19" t="s">
        <x:v>1153</x:v>
      </x:c>
      <x:c r="D11" s="19" t="s">
        <x:v>1128</x:v>
      </x:c>
      <x:c r="E11" s="19" t="s">
        <x:v>1154</x:v>
      </x:c>
      <x:c r="F11" s="19" t="s">
        <x:v>1155</x:v>
      </x:c>
    </x:row>
    <x:row r="12" ht="62.099998474121094" customHeight="1">
      <x:c r="A12" s="21" t="s">
        <x:v>1156</x:v>
      </x:c>
      <x:c r="B12" s="19" t="s">
        <x:v>1157</x:v>
      </x:c>
      <x:c r="C12" s="19" t="s">
        <x:v>1158</x:v>
      </x:c>
      <x:c r="D12" s="19" t="s">
        <x:v>1128</x:v>
      </x:c>
      <x:c r="E12" s="19" t="s">
        <x:v>1159</x:v>
      </x:c>
      <x:c r="F12" s="19" t="s">
        <x:v>1160</x:v>
      </x:c>
    </x:row>
  </x:sheetData>
  <x:pageMargins left="0.7" right="0.7" top="0.75" bottom="0.75" header="0.3" footer="0.3"/>
  <x:tableParts count="1">
    <x:tablePart xmlns:r="http://schemas.openxmlformats.org/officeDocument/2006/relationships" r:id="R73e4310a56ac4ea7"/>
  </x:tableParts>
</x:worksheet>
</file>